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raCuu_VatLieu" sheetId="1" state="visible" r:id="rId1"/>
    <sheet xmlns:r="http://schemas.openxmlformats.org/officeDocument/2006/relationships" name="02_TraCuu_DungCu" sheetId="2" state="visible" r:id="rId2"/>
    <sheet xmlns:r="http://schemas.openxmlformats.org/officeDocument/2006/relationships" name="03_TraCuu_ThietBi_CaM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475569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10" customWidth="1" min="4" max="4"/>
    <col width="18" customWidth="1" min="5" max="5"/>
    <col width="14" customWidth="1" min="6" max="6"/>
    <col width="20" customWidth="1" min="7" max="7"/>
    <col width="28" customWidth="1" min="8" max="8"/>
    <col width="39" customWidth="1" min="9" max="9"/>
    <col width="24" customWidth="1" min="10" max="10"/>
    <col width="20" customWidth="1" min="11" max="11"/>
    <col width="27" customWidth="1" min="12" max="12"/>
    <col width="45" customWidth="1" min="13" max="13"/>
  </cols>
  <sheetData>
    <row r="1">
      <c r="A1" s="1" t="inlineStr">
        <is>
          <t>BẢNG DANH MỤC VẬT LIỆU &amp; HÓA CHẤT CHUẨN BỊ TRA CỨU MUA SẮM CÔNG</t>
        </is>
      </c>
    </row>
    <row r="2">
      <c r="A2" s="2" t="inlineStr">
        <is>
          <t>(Căn cứ: Khoản 4.4 TT 20/2017/TT-BTNMT cộng 8% hao hụt vụn vặt; Điều 16 NĐ 24/2024/NĐ-CP tra cứu KQLCNT)</t>
        </is>
      </c>
    </row>
    <row r="3"/>
    <row r="4">
      <c r="A4" s="3" t="inlineStr">
        <is>
          <t>STT</t>
        </is>
      </c>
      <c r="B4" s="3" t="inlineStr">
        <is>
          <t>Mã Vật Tư</t>
        </is>
      </c>
      <c r="C4" s="3" t="inlineStr">
        <is>
          <t>Tên Hóa Chất / Vật Liệu</t>
        </is>
      </c>
      <c r="D4" s="3" t="inlineStr">
        <is>
          <t>ĐVT</t>
        </is>
      </c>
      <c r="E4" s="3" t="inlineStr">
        <is>
          <t>Phân Loại</t>
        </is>
      </c>
      <c r="F4" s="3" t="inlineStr">
        <is>
          <t>KL Định Mức</t>
        </is>
      </c>
      <c r="G4" s="3" t="inlineStr">
        <is>
          <t>KL Có +8% Hao Hụt</t>
        </is>
      </c>
      <c r="H4" s="3" t="inlineStr">
        <is>
          <t>Đơn Giá Tra Cứu MSC (VNĐ)</t>
        </is>
      </c>
      <c r="I4" s="3" t="inlineStr">
        <is>
          <t>Mã Thông Báo Tra Cứu (TBMT / KQLCNT)</t>
        </is>
      </c>
      <c r="J4" s="3" t="inlineStr">
        <is>
          <t>Ngày Phê Duyệt KQLCNT</t>
        </is>
      </c>
      <c r="K4" s="3" t="inlineStr">
        <is>
          <t>Đơn Vị Trúng Thầu</t>
        </is>
      </c>
      <c r="L4" s="3" t="inlineStr">
        <is>
          <t>Thành Tiền Tra Cứu (VNĐ)</t>
        </is>
      </c>
      <c r="M4" s="3" t="inlineStr">
        <is>
          <t>Ghi Chú Tra Cứu</t>
        </is>
      </c>
    </row>
    <row r="5">
      <c r="A5" s="4" t="n">
        <v>1</v>
      </c>
      <c r="B5" s="4" t="inlineStr">
        <is>
          <t>VL_001</t>
        </is>
      </c>
      <c r="C5" s="4" t="inlineStr">
        <is>
          <t>(NH4)2Fe(SO4)2.6H2O</t>
        </is>
      </c>
      <c r="D5" s="4" t="inlineStr">
        <is>
          <t>gam</t>
        </is>
      </c>
      <c r="E5" s="4" t="inlineStr">
        <is>
          <t>hoa_chat</t>
        </is>
      </c>
      <c r="F5" s="4" t="n">
        <v>4</v>
      </c>
      <c r="G5" s="4" t="n">
        <v>4.32</v>
      </c>
      <c r="H5" s="4" t="n">
        <v>1180</v>
      </c>
      <c r="I5" s="4" t="inlineStr"/>
      <c r="J5" s="4" t="inlineStr"/>
      <c r="K5" s="4" t="inlineStr"/>
      <c r="L5" s="4">
        <f>G5*H5</f>
        <v/>
      </c>
      <c r="M5" s="4" t="inlineStr">
        <is>
          <t>Hóa chất phân tích tiêu chuẩn Vimcerts/Vilas</t>
        </is>
      </c>
    </row>
    <row r="6">
      <c r="A6" s="5" t="n">
        <v>2</v>
      </c>
      <c r="B6" s="5" t="inlineStr">
        <is>
          <t>VL_002</t>
        </is>
      </c>
      <c r="C6" s="5" t="inlineStr">
        <is>
          <t>(NH4)2HPO4</t>
        </is>
      </c>
      <c r="D6" s="5" t="inlineStr">
        <is>
          <t>gam</t>
        </is>
      </c>
      <c r="E6" s="5" t="inlineStr">
        <is>
          <t>hoa_chat</t>
        </is>
      </c>
      <c r="F6" s="5" t="n">
        <v>12</v>
      </c>
      <c r="G6" s="5" t="n">
        <v>12.96</v>
      </c>
      <c r="H6" s="5" t="n">
        <v>1180</v>
      </c>
      <c r="I6" s="5" t="inlineStr"/>
      <c r="J6" s="5" t="inlineStr"/>
      <c r="K6" s="5" t="inlineStr"/>
      <c r="L6" s="5">
        <f>G6*H6</f>
        <v/>
      </c>
      <c r="M6" s="5" t="inlineStr">
        <is>
          <t>Hóa chất phân tích tiêu chuẩn Vimcerts/Vilas</t>
        </is>
      </c>
    </row>
    <row r="7">
      <c r="A7" s="4" t="n">
        <v>3</v>
      </c>
      <c r="B7" s="4" t="inlineStr">
        <is>
          <t>VL_003</t>
        </is>
      </c>
      <c r="C7" s="4" t="inlineStr">
        <is>
          <t>(NH4)6Mo7O24.4H2O</t>
        </is>
      </c>
      <c r="D7" s="4" t="inlineStr">
        <is>
          <t>gam</t>
        </is>
      </c>
      <c r="E7" s="4" t="inlineStr">
        <is>
          <t>hoa_chat</t>
        </is>
      </c>
      <c r="F7" s="4" t="n">
        <v>2.4</v>
      </c>
      <c r="G7" s="4" t="n">
        <v>2.592</v>
      </c>
      <c r="H7" s="4" t="n">
        <v>1180</v>
      </c>
      <c r="I7" s="4" t="inlineStr"/>
      <c r="J7" s="4" t="inlineStr"/>
      <c r="K7" s="4" t="inlineStr"/>
      <c r="L7" s="4">
        <f>G7*H7</f>
        <v/>
      </c>
      <c r="M7" s="4" t="inlineStr">
        <is>
          <t>Hóa chất phân tích tiêu chuẩn Vimcerts/Vilas</t>
        </is>
      </c>
    </row>
    <row r="8">
      <c r="A8" s="5" t="n">
        <v>4</v>
      </c>
      <c r="B8" s="5" t="inlineStr">
        <is>
          <t>VL_004</t>
        </is>
      </c>
      <c r="C8" s="5" t="inlineStr">
        <is>
          <t>1,5-Diphenylcacbazid (C13H14N4O)</t>
        </is>
      </c>
      <c r="D8" s="5" t="inlineStr">
        <is>
          <t>gam</t>
        </is>
      </c>
      <c r="E8" s="5" t="inlineStr">
        <is>
          <t>hoa_chat</t>
        </is>
      </c>
      <c r="F8" s="5" t="n">
        <v>8</v>
      </c>
      <c r="G8" s="5" t="n">
        <v>8.640000000000001</v>
      </c>
      <c r="H8" s="5" t="n">
        <v>1180</v>
      </c>
      <c r="I8" s="5" t="inlineStr"/>
      <c r="J8" s="5" t="inlineStr"/>
      <c r="K8" s="5" t="inlineStr"/>
      <c r="L8" s="5">
        <f>G8*H8</f>
        <v/>
      </c>
      <c r="M8" s="5" t="inlineStr">
        <is>
          <t>Hóa chất phân tích tiêu chuẩn Vimcerts/Vilas</t>
        </is>
      </c>
    </row>
    <row r="9">
      <c r="A9" s="4" t="n">
        <v>5</v>
      </c>
      <c r="B9" s="4" t="inlineStr">
        <is>
          <t>VL_005</t>
        </is>
      </c>
      <c r="C9" s="4" t="inlineStr">
        <is>
          <t>Aceton</t>
        </is>
      </c>
      <c r="D9" s="4" t="inlineStr">
        <is>
          <t>Lít</t>
        </is>
      </c>
      <c r="E9" s="4" t="inlineStr">
        <is>
          <t>hoa_chat</t>
        </is>
      </c>
      <c r="F9" s="4" t="n">
        <v>1.08</v>
      </c>
      <c r="G9" s="4" t="n">
        <v>1.1664</v>
      </c>
      <c r="H9" s="4" t="n">
        <v>191100</v>
      </c>
      <c r="I9" s="4" t="inlineStr"/>
      <c r="J9" s="4" t="inlineStr"/>
      <c r="K9" s="4" t="inlineStr"/>
      <c r="L9" s="4">
        <f>G9*H9</f>
        <v/>
      </c>
      <c r="M9" s="4" t="inlineStr">
        <is>
          <t>Hóa chất phân tích tiêu chuẩn Vimcerts/Vilas</t>
        </is>
      </c>
    </row>
    <row r="10">
      <c r="A10" s="5" t="n">
        <v>6</v>
      </c>
      <c r="B10" s="5" t="inlineStr">
        <is>
          <t>VL_006</t>
        </is>
      </c>
      <c r="C10" s="5" t="inlineStr">
        <is>
          <t>Aceton</t>
        </is>
      </c>
      <c r="D10" s="5" t="inlineStr">
        <is>
          <t>ml</t>
        </is>
      </c>
      <c r="E10" s="5" t="inlineStr">
        <is>
          <t>hoa_chat</t>
        </is>
      </c>
      <c r="F10" s="5" t="n">
        <v>400</v>
      </c>
      <c r="G10" s="5" t="n">
        <v>432</v>
      </c>
      <c r="H10" s="5" t="n">
        <v>235</v>
      </c>
      <c r="I10" s="5" t="inlineStr"/>
      <c r="J10" s="5" t="inlineStr"/>
      <c r="K10" s="5" t="inlineStr"/>
      <c r="L10" s="5">
        <f>G10*H10</f>
        <v/>
      </c>
      <c r="M10" s="5" t="inlineStr">
        <is>
          <t>Hóa chất phân tích tiêu chuẩn Vimcerts/Vilas</t>
        </is>
      </c>
    </row>
    <row r="11">
      <c r="A11" s="4" t="n">
        <v>7</v>
      </c>
      <c r="B11" s="4" t="inlineStr">
        <is>
          <t>VL_007</t>
        </is>
      </c>
      <c r="C11" s="4" t="inlineStr">
        <is>
          <t>Ag2SO4</t>
        </is>
      </c>
      <c r="D11" s="4" t="inlineStr">
        <is>
          <t>gam</t>
        </is>
      </c>
      <c r="E11" s="4" t="inlineStr">
        <is>
          <t>hoa_chat</t>
        </is>
      </c>
      <c r="F11" s="4" t="n">
        <v>5.8</v>
      </c>
      <c r="G11" s="4" t="n">
        <v>6.264</v>
      </c>
      <c r="H11" s="4" t="n">
        <v>31360</v>
      </c>
      <c r="I11" s="4" t="inlineStr"/>
      <c r="J11" s="4" t="inlineStr"/>
      <c r="K11" s="4" t="inlineStr"/>
      <c r="L11" s="4">
        <f>G11*H11</f>
        <v/>
      </c>
      <c r="M11" s="4" t="inlineStr">
        <is>
          <t>Hóa chất phân tích tiêu chuẩn Vimcerts/Vilas</t>
        </is>
      </c>
    </row>
    <row r="12">
      <c r="A12" s="5" t="n">
        <v>8</v>
      </c>
      <c r="B12" s="5" t="inlineStr">
        <is>
          <t>VL_008</t>
        </is>
      </c>
      <c r="C12" s="5" t="inlineStr">
        <is>
          <t>AgNO3</t>
        </is>
      </c>
      <c r="D12" s="5" t="inlineStr">
        <is>
          <t>Gram</t>
        </is>
      </c>
      <c r="E12" s="5" t="inlineStr">
        <is>
          <t>hoa_chat</t>
        </is>
      </c>
      <c r="F12" s="5" t="n">
        <v>18</v>
      </c>
      <c r="G12" s="5" t="n">
        <v>19.44</v>
      </c>
      <c r="H12" s="5" t="n">
        <v>31360</v>
      </c>
      <c r="I12" s="5" t="inlineStr"/>
      <c r="J12" s="5" t="inlineStr"/>
      <c r="K12" s="5" t="inlineStr"/>
      <c r="L12" s="5">
        <f>G12*H12</f>
        <v/>
      </c>
      <c r="M12" s="5" t="inlineStr">
        <is>
          <t>Hóa chất phân tích tiêu chuẩn Vimcerts/Vilas</t>
        </is>
      </c>
    </row>
    <row r="13">
      <c r="A13" s="4" t="n">
        <v>9</v>
      </c>
      <c r="B13" s="4" t="inlineStr">
        <is>
          <t>VL_009</t>
        </is>
      </c>
      <c r="C13" s="4" t="inlineStr">
        <is>
          <t>Axit Bacbituric</t>
        </is>
      </c>
      <c r="D13" s="4" t="inlineStr">
        <is>
          <t>Gram</t>
        </is>
      </c>
      <c r="E13" s="4" t="inlineStr">
        <is>
          <t>hoa_chat</t>
        </is>
      </c>
      <c r="F13" s="4" t="n">
        <v>32.4</v>
      </c>
      <c r="G13" s="4" t="n">
        <v>34.992</v>
      </c>
      <c r="H13" s="4" t="n">
        <v>1180</v>
      </c>
      <c r="I13" s="4" t="inlineStr"/>
      <c r="J13" s="4" t="inlineStr"/>
      <c r="K13" s="4" t="inlineStr"/>
      <c r="L13" s="4">
        <f>G13*H13</f>
        <v/>
      </c>
      <c r="M13" s="4" t="inlineStr">
        <is>
          <t>Hóa chất phân tích tiêu chuẩn Vimcerts/Vilas</t>
        </is>
      </c>
    </row>
    <row r="14">
      <c r="A14" s="5" t="n">
        <v>10</v>
      </c>
      <c r="B14" s="5" t="inlineStr">
        <is>
          <t>VL_010</t>
        </is>
      </c>
      <c r="C14" s="5" t="inlineStr">
        <is>
          <t>Axit ascorbic</t>
        </is>
      </c>
      <c r="D14" s="5" t="inlineStr">
        <is>
          <t>gam</t>
        </is>
      </c>
      <c r="E14" s="5" t="inlineStr">
        <is>
          <t>hoa_chat</t>
        </is>
      </c>
      <c r="F14" s="5" t="n">
        <v>1.2</v>
      </c>
      <c r="G14" s="5" t="n">
        <v>1.296</v>
      </c>
      <c r="H14" s="5" t="n">
        <v>1180</v>
      </c>
      <c r="I14" s="5" t="inlineStr"/>
      <c r="J14" s="5" t="inlineStr"/>
      <c r="K14" s="5" t="inlineStr"/>
      <c r="L14" s="5">
        <f>G14*H14</f>
        <v/>
      </c>
      <c r="M14" s="5" t="inlineStr">
        <is>
          <t>Hóa chất phân tích tiêu chuẩn Vimcerts/Vilas</t>
        </is>
      </c>
    </row>
    <row r="15">
      <c r="A15" s="4" t="n">
        <v>11</v>
      </c>
      <c r="B15" s="4" t="inlineStr">
        <is>
          <t>VL_011</t>
        </is>
      </c>
      <c r="C15" s="4" t="inlineStr">
        <is>
          <t>Axit sulphamic</t>
        </is>
      </c>
      <c r="D15" s="4" t="inlineStr">
        <is>
          <t>gam</t>
        </is>
      </c>
      <c r="E15" s="4" t="inlineStr">
        <is>
          <t>hoa_chat</t>
        </is>
      </c>
      <c r="F15" s="4" t="n">
        <v>6.72</v>
      </c>
      <c r="G15" s="4" t="n">
        <v>7.2576</v>
      </c>
      <c r="H15" s="4" t="n">
        <v>1180</v>
      </c>
      <c r="I15" s="4" t="inlineStr"/>
      <c r="J15" s="4" t="inlineStr"/>
      <c r="K15" s="4" t="inlineStr"/>
      <c r="L15" s="4">
        <f>G15*H15</f>
        <v/>
      </c>
      <c r="M15" s="4" t="inlineStr">
        <is>
          <t>Hóa chất phân tích tiêu chuẩn Vimcerts/Vilas</t>
        </is>
      </c>
    </row>
    <row r="16">
      <c r="A16" s="5" t="n">
        <v>12</v>
      </c>
      <c r="B16" s="5" t="inlineStr">
        <is>
          <t>VL_012</t>
        </is>
      </c>
      <c r="C16" s="5" t="inlineStr">
        <is>
          <t>Axít acetic</t>
        </is>
      </c>
      <c r="D16" s="5" t="inlineStr">
        <is>
          <t>ml</t>
        </is>
      </c>
      <c r="E16" s="5" t="inlineStr">
        <is>
          <t>hoa_chat</t>
        </is>
      </c>
      <c r="F16" s="5" t="n">
        <v>2.4</v>
      </c>
      <c r="G16" s="5" t="n">
        <v>2.592</v>
      </c>
      <c r="H16" s="5" t="n">
        <v>314</v>
      </c>
      <c r="I16" s="5" t="inlineStr"/>
      <c r="J16" s="5" t="inlineStr"/>
      <c r="K16" s="5" t="inlineStr"/>
      <c r="L16" s="5">
        <f>G16*H16</f>
        <v/>
      </c>
      <c r="M16" s="5" t="inlineStr">
        <is>
          <t>Hóa chất phân tích tiêu chuẩn Vimcerts/Vilas</t>
        </is>
      </c>
    </row>
    <row r="17">
      <c r="A17" s="4" t="n">
        <v>13</v>
      </c>
      <c r="B17" s="4" t="inlineStr">
        <is>
          <t>VL_013</t>
        </is>
      </c>
      <c r="C17" s="4" t="inlineStr">
        <is>
          <t>Axít sulphanilic</t>
        </is>
      </c>
      <c r="D17" s="4" t="inlineStr">
        <is>
          <t>gam</t>
        </is>
      </c>
      <c r="E17" s="4" t="inlineStr">
        <is>
          <t>hoa_chat</t>
        </is>
      </c>
      <c r="F17" s="4" t="n">
        <v>3</v>
      </c>
      <c r="G17" s="4" t="n">
        <v>3.24</v>
      </c>
      <c r="H17" s="4" t="n">
        <v>1180</v>
      </c>
      <c r="I17" s="4" t="inlineStr"/>
      <c r="J17" s="4" t="inlineStr"/>
      <c r="K17" s="4" t="inlineStr"/>
      <c r="L17" s="4">
        <f>G17*H17</f>
        <v/>
      </c>
      <c r="M17" s="4" t="inlineStr">
        <is>
          <t>Hóa chất phân tích tiêu chuẩn Vimcerts/Vilas</t>
        </is>
      </c>
    </row>
    <row r="18">
      <c r="A18" s="5" t="n">
        <v>14</v>
      </c>
      <c r="B18" s="5" t="inlineStr">
        <is>
          <t>VL_014</t>
        </is>
      </c>
      <c r="C18" s="5" t="inlineStr">
        <is>
          <t>Bút ghi kính</t>
        </is>
      </c>
      <c r="D18" s="5" t="inlineStr">
        <is>
          <t>cái</t>
        </is>
      </c>
      <c r="E18" s="5" t="inlineStr">
        <is>
          <t>thong_dung</t>
        </is>
      </c>
      <c r="F18" s="5" t="n">
        <v>40.2</v>
      </c>
      <c r="G18" s="5" t="n">
        <v>43.416</v>
      </c>
      <c r="H18" s="5" t="n">
        <v>6370</v>
      </c>
      <c r="I18" s="5" t="inlineStr"/>
      <c r="J18" s="5" t="inlineStr"/>
      <c r="K18" s="5" t="inlineStr"/>
      <c r="L18" s="5">
        <f>G18*H18</f>
        <v/>
      </c>
      <c r="M18" s="5" t="inlineStr">
        <is>
          <t>Hóa chất phân tích tiêu chuẩn Vimcerts/Vilas</t>
        </is>
      </c>
    </row>
    <row r="19">
      <c r="A19" s="4" t="n">
        <v>15</v>
      </c>
      <c r="B19" s="4" t="inlineStr">
        <is>
          <t>VL_015</t>
        </is>
      </c>
      <c r="C19" s="4" t="inlineStr">
        <is>
          <t>Băng giấy in</t>
        </is>
      </c>
      <c r="D19" s="4" t="inlineStr">
        <is>
          <t>gam</t>
        </is>
      </c>
      <c r="E19" s="4" t="inlineStr">
        <is>
          <t>hoa_chat</t>
        </is>
      </c>
      <c r="F19" s="4" t="n">
        <v>2.1</v>
      </c>
      <c r="G19" s="4" t="n">
        <v>2.268</v>
      </c>
      <c r="H19" s="4" t="n">
        <v>1180</v>
      </c>
      <c r="I19" s="4" t="inlineStr"/>
      <c r="J19" s="4" t="inlineStr"/>
      <c r="K19" s="4" t="inlineStr"/>
      <c r="L19" s="4">
        <f>G19*H19</f>
        <v/>
      </c>
      <c r="M19" s="4" t="inlineStr">
        <is>
          <t>Hóa chất phân tích tiêu chuẩn Vimcerts/Vilas</t>
        </is>
      </c>
    </row>
    <row r="20">
      <c r="A20" s="5" t="n">
        <v>16</v>
      </c>
      <c r="B20" s="5" t="inlineStr">
        <is>
          <t>VL_016</t>
        </is>
      </c>
      <c r="C20" s="5" t="inlineStr">
        <is>
          <t>Băng giấy in</t>
        </is>
      </c>
      <c r="D20" s="5" t="inlineStr">
        <is>
          <t>gram</t>
        </is>
      </c>
      <c r="E20" s="5" t="inlineStr">
        <is>
          <t>hoa_chat</t>
        </is>
      </c>
      <c r="F20" s="5" t="n">
        <v>2</v>
      </c>
      <c r="G20" s="5" t="n">
        <v>2.16</v>
      </c>
      <c r="H20" s="5" t="n">
        <v>1180</v>
      </c>
      <c r="I20" s="5" t="inlineStr"/>
      <c r="J20" s="5" t="inlineStr"/>
      <c r="K20" s="5" t="inlineStr"/>
      <c r="L20" s="5">
        <f>G20*H20</f>
        <v/>
      </c>
      <c r="M20" s="5" t="inlineStr">
        <is>
          <t>Hóa chất phân tích tiêu chuẩn Vimcerts/Vilas</t>
        </is>
      </c>
    </row>
    <row r="21">
      <c r="A21" s="4" t="n">
        <v>17</v>
      </c>
      <c r="B21" s="4" t="inlineStr">
        <is>
          <t>VL_017</t>
        </is>
      </c>
      <c r="C21" s="4" t="inlineStr">
        <is>
          <t>Bản đồ địa hình</t>
        </is>
      </c>
      <c r="D21" s="4" t="inlineStr">
        <is>
          <t>cái</t>
        </is>
      </c>
      <c r="E21" s="4" t="inlineStr">
        <is>
          <t>thong_dung</t>
        </is>
      </c>
      <c r="F21" s="4" t="n">
        <v>19.88</v>
      </c>
      <c r="G21" s="4" t="n">
        <v>21.4704</v>
      </c>
      <c r="H21" s="4" t="n">
        <v>14700</v>
      </c>
      <c r="I21" s="4" t="inlineStr"/>
      <c r="J21" s="4" t="inlineStr"/>
      <c r="K21" s="4" t="inlineStr"/>
      <c r="L21" s="4">
        <f>G21*H21</f>
        <v/>
      </c>
      <c r="M21" s="4" t="inlineStr">
        <is>
          <t>Hóa chất phân tích tiêu chuẩn Vimcerts/Vilas</t>
        </is>
      </c>
    </row>
    <row r="22">
      <c r="A22" s="5" t="n">
        <v>18</v>
      </c>
      <c r="B22" s="5" t="inlineStr">
        <is>
          <t>VL_018</t>
        </is>
      </c>
      <c r="C22" s="5" t="inlineStr">
        <is>
          <t>Bản đồ địa hình</t>
        </is>
      </c>
      <c r="D22" s="5" t="inlineStr">
        <is>
          <t>tờ</t>
        </is>
      </c>
      <c r="E22" s="5" t="inlineStr">
        <is>
          <t>thong_dung</t>
        </is>
      </c>
      <c r="F22" s="5" t="n">
        <v>15.12</v>
      </c>
      <c r="G22" s="5" t="n">
        <v>16.3296</v>
      </c>
      <c r="H22" s="5" t="n">
        <v>14700</v>
      </c>
      <c r="I22" s="5" t="inlineStr"/>
      <c r="J22" s="5" t="inlineStr"/>
      <c r="K22" s="5" t="inlineStr"/>
      <c r="L22" s="5">
        <f>G22*H22</f>
        <v/>
      </c>
      <c r="M22" s="5" t="inlineStr">
        <is>
          <t>Hóa chất phân tích tiêu chuẩn Vimcerts/Vilas</t>
        </is>
      </c>
    </row>
    <row r="23">
      <c r="A23" s="4" t="n">
        <v>19</v>
      </c>
      <c r="B23" s="4" t="inlineStr">
        <is>
          <t>VL_019</t>
        </is>
      </c>
      <c r="C23" s="4" t="inlineStr">
        <is>
          <t>Bộ màng bơm, van, gioăng đệm</t>
        </is>
      </c>
      <c r="D23" s="4" t="inlineStr">
        <is>
          <t>bộ</t>
        </is>
      </c>
      <c r="E23" s="4" t="inlineStr">
        <is>
          <t>hoa_chat</t>
        </is>
      </c>
      <c r="F23" s="4" t="n">
        <v>0.4</v>
      </c>
      <c r="G23" s="4" t="n">
        <v>0.432</v>
      </c>
      <c r="H23" s="4" t="n">
        <v>4900</v>
      </c>
      <c r="I23" s="4" t="inlineStr"/>
      <c r="J23" s="4" t="inlineStr"/>
      <c r="K23" s="4" t="inlineStr"/>
      <c r="L23" s="4">
        <f>G23*H23</f>
        <v/>
      </c>
      <c r="M23" s="4" t="inlineStr">
        <is>
          <t>Hóa chất phân tích tiêu chuẩn Vimcerts/Vilas</t>
        </is>
      </c>
    </row>
    <row r="24">
      <c r="A24" s="5" t="n">
        <v>20</v>
      </c>
      <c r="B24" s="5" t="inlineStr">
        <is>
          <t>VL_020</t>
        </is>
      </c>
      <c r="C24" s="5" t="inlineStr">
        <is>
          <t>Bột Niken</t>
        </is>
      </c>
      <c r="D24" s="5" t="inlineStr">
        <is>
          <t>gam</t>
        </is>
      </c>
      <c r="E24" s="5" t="inlineStr">
        <is>
          <t>hoa_chat</t>
        </is>
      </c>
      <c r="F24" s="5" t="n">
        <v>0.6</v>
      </c>
      <c r="G24" s="5" t="n">
        <v>0.648</v>
      </c>
      <c r="H24" s="5" t="n">
        <v>1180</v>
      </c>
      <c r="I24" s="5" t="inlineStr"/>
      <c r="J24" s="5" t="inlineStr"/>
      <c r="K24" s="5" t="inlineStr"/>
      <c r="L24" s="5">
        <f>G24*H24</f>
        <v/>
      </c>
      <c r="M24" s="5" t="inlineStr">
        <is>
          <t>Hóa chất phân tích tiêu chuẩn Vimcerts/Vilas</t>
        </is>
      </c>
    </row>
    <row r="25">
      <c r="A25" s="4" t="n">
        <v>21</v>
      </c>
      <c r="B25" s="4" t="inlineStr">
        <is>
          <t>VL_021</t>
        </is>
      </c>
      <c r="C25" s="4" t="inlineStr">
        <is>
          <t>Bột Pd</t>
        </is>
      </c>
      <c r="D25" s="4" t="inlineStr">
        <is>
          <t>gam</t>
        </is>
      </c>
      <c r="E25" s="4" t="inlineStr">
        <is>
          <t>hoa_chat</t>
        </is>
      </c>
      <c r="F25" s="4" t="n">
        <v>0.1</v>
      </c>
      <c r="G25" s="4" t="n">
        <v>0.108</v>
      </c>
      <c r="H25" s="4" t="n">
        <v>1180</v>
      </c>
      <c r="I25" s="4" t="inlineStr"/>
      <c r="J25" s="4" t="inlineStr"/>
      <c r="K25" s="4" t="inlineStr"/>
      <c r="L25" s="4">
        <f>G25*H25</f>
        <v/>
      </c>
      <c r="M25" s="4" t="inlineStr">
        <is>
          <t>Hóa chất phân tích tiêu chuẩn Vimcerts/Vilas</t>
        </is>
      </c>
    </row>
    <row r="26">
      <c r="A26" s="5" t="n">
        <v>22</v>
      </c>
      <c r="B26" s="5" t="inlineStr">
        <is>
          <t>VL_022</t>
        </is>
      </c>
      <c r="C26" s="5" t="inlineStr">
        <is>
          <t>C12H8N2.H2O</t>
        </is>
      </c>
      <c r="D26" s="5" t="inlineStr">
        <is>
          <t>gam</t>
        </is>
      </c>
      <c r="E26" s="5" t="inlineStr">
        <is>
          <t>hoa_chat</t>
        </is>
      </c>
      <c r="F26" s="5" t="n">
        <v>0.4</v>
      </c>
      <c r="G26" s="5" t="n">
        <v>0.432</v>
      </c>
      <c r="H26" s="5" t="n">
        <v>1180</v>
      </c>
      <c r="I26" s="5" t="inlineStr"/>
      <c r="J26" s="5" t="inlineStr"/>
      <c r="K26" s="5" t="inlineStr"/>
      <c r="L26" s="5">
        <f>G26*H26</f>
        <v/>
      </c>
      <c r="M26" s="5" t="inlineStr">
        <is>
          <t>Hóa chất phân tích tiêu chuẩn Vimcerts/Vilas</t>
        </is>
      </c>
    </row>
    <row r="27">
      <c r="A27" s="4" t="n">
        <v>23</v>
      </c>
      <c r="B27" s="4" t="inlineStr">
        <is>
          <t>VL_023</t>
        </is>
      </c>
      <c r="C27" s="4" t="inlineStr">
        <is>
          <t>C3N3O3Cl2Na.2H2O</t>
        </is>
      </c>
      <c r="D27" s="4" t="inlineStr">
        <is>
          <t>gam</t>
        </is>
      </c>
      <c r="E27" s="4" t="inlineStr">
        <is>
          <t>hoa_chat</t>
        </is>
      </c>
      <c r="F27" s="4" t="n">
        <v>3.2</v>
      </c>
      <c r="G27" s="4" t="n">
        <v>3.456</v>
      </c>
      <c r="H27" s="4" t="n">
        <v>1180</v>
      </c>
      <c r="I27" s="4" t="inlineStr"/>
      <c r="J27" s="4" t="inlineStr"/>
      <c r="K27" s="4" t="inlineStr"/>
      <c r="L27" s="4">
        <f>G27*H27</f>
        <v/>
      </c>
      <c r="M27" s="4" t="inlineStr">
        <is>
          <t>Hóa chất phân tích tiêu chuẩn Vimcerts/Vilas</t>
        </is>
      </c>
    </row>
    <row r="28">
      <c r="A28" s="5" t="n">
        <v>24</v>
      </c>
      <c r="B28" s="5" t="inlineStr">
        <is>
          <t>VL_024</t>
        </is>
      </c>
      <c r="C28" s="5" t="inlineStr">
        <is>
          <t>CDTA- C14H22N2O8</t>
        </is>
      </c>
      <c r="D28" s="5" t="inlineStr">
        <is>
          <t>gam</t>
        </is>
      </c>
      <c r="E28" s="5" t="inlineStr">
        <is>
          <t>hoa_chat</t>
        </is>
      </c>
      <c r="F28" s="5" t="n">
        <v>10</v>
      </c>
      <c r="G28" s="5" t="n">
        <v>10.8</v>
      </c>
      <c r="H28" s="5" t="n">
        <v>1180</v>
      </c>
      <c r="I28" s="5" t="inlineStr"/>
      <c r="J28" s="5" t="inlineStr"/>
      <c r="K28" s="5" t="inlineStr"/>
      <c r="L28" s="5">
        <f>G28*H28</f>
        <v/>
      </c>
      <c r="M28" s="5" t="inlineStr">
        <is>
          <t>Hóa chất phân tích tiêu chuẩn Vimcerts/Vilas</t>
        </is>
      </c>
    </row>
    <row r="29">
      <c r="A29" s="4" t="n">
        <v>25</v>
      </c>
      <c r="B29" s="4" t="inlineStr">
        <is>
          <t>VL_025</t>
        </is>
      </c>
      <c r="C29" s="4" t="inlineStr">
        <is>
          <t>CH3COOH</t>
        </is>
      </c>
      <c r="D29" s="4" t="inlineStr">
        <is>
          <t>ml</t>
        </is>
      </c>
      <c r="E29" s="4" t="inlineStr">
        <is>
          <t>hoa_chat</t>
        </is>
      </c>
      <c r="F29" s="4" t="n">
        <v>56</v>
      </c>
      <c r="G29" s="4" t="n">
        <v>60.48</v>
      </c>
      <c r="H29" s="4" t="n">
        <v>274</v>
      </c>
      <c r="I29" s="4" t="inlineStr"/>
      <c r="J29" s="4" t="inlineStr"/>
      <c r="K29" s="4" t="inlineStr"/>
      <c r="L29" s="4">
        <f>G29*H29</f>
        <v/>
      </c>
      <c r="M29" s="4" t="inlineStr">
        <is>
          <t>Hóa chất phân tích tiêu chuẩn Vimcerts/Vilas</t>
        </is>
      </c>
    </row>
    <row r="30">
      <c r="A30" s="5" t="n">
        <v>26</v>
      </c>
      <c r="B30" s="5" t="inlineStr">
        <is>
          <t>VL_026</t>
        </is>
      </c>
      <c r="C30" s="5" t="inlineStr">
        <is>
          <t>CH3COONa.3H2O</t>
        </is>
      </c>
      <c r="D30" s="5" t="inlineStr">
        <is>
          <t>Gram</t>
        </is>
      </c>
      <c r="E30" s="5" t="inlineStr">
        <is>
          <t>hoa_chat</t>
        </is>
      </c>
      <c r="F30" s="5" t="n">
        <v>28.8</v>
      </c>
      <c r="G30" s="5" t="n">
        <v>31.104</v>
      </c>
      <c r="H30" s="5" t="n">
        <v>1180</v>
      </c>
      <c r="I30" s="5" t="inlineStr"/>
      <c r="J30" s="5" t="inlineStr"/>
      <c r="K30" s="5" t="inlineStr"/>
      <c r="L30" s="5">
        <f>G30*H30</f>
        <v/>
      </c>
      <c r="M30" s="5" t="inlineStr">
        <is>
          <t>Hóa chất phân tích tiêu chuẩn Vimcerts/Vilas</t>
        </is>
      </c>
    </row>
    <row r="31">
      <c r="A31" s="4" t="n">
        <v>27</v>
      </c>
      <c r="B31" s="4" t="inlineStr">
        <is>
          <t>VL_027</t>
        </is>
      </c>
      <c r="C31" s="4" t="inlineStr">
        <is>
          <t>CHCl3</t>
        </is>
      </c>
      <c r="D31" s="4" t="inlineStr">
        <is>
          <t>ml</t>
        </is>
      </c>
      <c r="E31" s="4" t="inlineStr">
        <is>
          <t>hoa_chat</t>
        </is>
      </c>
      <c r="F31" s="4" t="n">
        <v>22</v>
      </c>
      <c r="G31" s="4" t="n">
        <v>23.76</v>
      </c>
      <c r="H31" s="4" t="n">
        <v>314</v>
      </c>
      <c r="I31" s="4" t="inlineStr"/>
      <c r="J31" s="4" t="inlineStr"/>
      <c r="K31" s="4" t="inlineStr"/>
      <c r="L31" s="4">
        <f>G31*H31</f>
        <v/>
      </c>
      <c r="M31" s="4" t="inlineStr">
        <is>
          <t>Hóa chất phân tích tiêu chuẩn Vimcerts/Vilas</t>
        </is>
      </c>
    </row>
    <row r="32">
      <c r="A32" s="5" t="n">
        <v>28</v>
      </c>
      <c r="B32" s="5" t="inlineStr">
        <is>
          <t>VL_028</t>
        </is>
      </c>
      <c r="C32" s="5" t="inlineStr">
        <is>
          <t>CaCO3</t>
        </is>
      </c>
      <c r="D32" s="5" t="inlineStr">
        <is>
          <t>gam</t>
        </is>
      </c>
      <c r="E32" s="5" t="inlineStr">
        <is>
          <t>hoa_chat</t>
        </is>
      </c>
      <c r="F32" s="5" t="n">
        <v>3.2</v>
      </c>
      <c r="G32" s="5" t="n">
        <v>3.456</v>
      </c>
      <c r="H32" s="5" t="n">
        <v>1180</v>
      </c>
      <c r="I32" s="5" t="inlineStr"/>
      <c r="J32" s="5" t="inlineStr"/>
      <c r="K32" s="5" t="inlineStr"/>
      <c r="L32" s="5">
        <f>G32*H32</f>
        <v/>
      </c>
      <c r="M32" s="5" t="inlineStr">
        <is>
          <t>Hóa chất phân tích tiêu chuẩn Vimcerts/Vilas</t>
        </is>
      </c>
    </row>
    <row r="33">
      <c r="A33" s="4" t="n">
        <v>29</v>
      </c>
      <c r="B33" s="4" t="inlineStr">
        <is>
          <t>VL_029</t>
        </is>
      </c>
      <c r="C33" s="4" t="inlineStr">
        <is>
          <t>CaCl2</t>
        </is>
      </c>
      <c r="D33" s="4" t="inlineStr">
        <is>
          <t>gam</t>
        </is>
      </c>
      <c r="E33" s="4" t="inlineStr">
        <is>
          <t>hoa_chat</t>
        </is>
      </c>
      <c r="F33" s="4" t="n">
        <v>1.44</v>
      </c>
      <c r="G33" s="4" t="n">
        <v>1.5552</v>
      </c>
      <c r="H33" s="4" t="n">
        <v>1180</v>
      </c>
      <c r="I33" s="4" t="inlineStr"/>
      <c r="J33" s="4" t="inlineStr"/>
      <c r="K33" s="4" t="inlineStr"/>
      <c r="L33" s="4">
        <f>G33*H33</f>
        <v/>
      </c>
      <c r="M33" s="4" t="inlineStr">
        <is>
          <t>Hóa chất phân tích tiêu chuẩn Vimcerts/Vilas</t>
        </is>
      </c>
    </row>
    <row r="34">
      <c r="A34" s="5" t="n">
        <v>30</v>
      </c>
      <c r="B34" s="5" t="inlineStr">
        <is>
          <t>VL_030</t>
        </is>
      </c>
      <c r="C34" s="5" t="inlineStr">
        <is>
          <t>Cloramin T</t>
        </is>
      </c>
      <c r="D34" s="5" t="inlineStr">
        <is>
          <t>Gram</t>
        </is>
      </c>
      <c r="E34" s="5" t="inlineStr">
        <is>
          <t>hoa_chat</t>
        </is>
      </c>
      <c r="F34" s="5" t="n">
        <v>7.2</v>
      </c>
      <c r="G34" s="5" t="n">
        <v>7.776</v>
      </c>
      <c r="H34" s="5" t="n">
        <v>1180</v>
      </c>
      <c r="I34" s="5" t="inlineStr"/>
      <c r="J34" s="5" t="inlineStr"/>
      <c r="K34" s="5" t="inlineStr"/>
      <c r="L34" s="5">
        <f>G34*H34</f>
        <v/>
      </c>
      <c r="M34" s="5" t="inlineStr">
        <is>
          <t>Hóa chất phân tích tiêu chuẩn Vimcerts/Vilas</t>
        </is>
      </c>
    </row>
    <row r="35">
      <c r="A35" s="4" t="n">
        <v>31</v>
      </c>
      <c r="B35" s="4" t="inlineStr">
        <is>
          <t>VL_031</t>
        </is>
      </c>
      <c r="C35" s="4" t="inlineStr">
        <is>
          <t>Cồn lau dụng cụ (lít)</t>
        </is>
      </c>
      <c r="D35" s="4" t="inlineStr">
        <is>
          <t>lít</t>
        </is>
      </c>
      <c r="E35" s="4" t="inlineStr">
        <is>
          <t>hoa_chat</t>
        </is>
      </c>
      <c r="F35" s="4" t="n">
        <v>10.68</v>
      </c>
      <c r="G35" s="4" t="n">
        <v>11.5344</v>
      </c>
      <c r="H35" s="4" t="n">
        <v>191100</v>
      </c>
      <c r="I35" s="4" t="inlineStr"/>
      <c r="J35" s="4" t="inlineStr"/>
      <c r="K35" s="4" t="inlineStr"/>
      <c r="L35" s="4">
        <f>G35*H35</f>
        <v/>
      </c>
      <c r="M35" s="4" t="inlineStr">
        <is>
          <t>Hóa chất phân tích tiêu chuẩn Vimcerts/Vilas</t>
        </is>
      </c>
    </row>
    <row r="36">
      <c r="A36" s="5" t="n">
        <v>32</v>
      </c>
      <c r="B36" s="5" t="inlineStr">
        <is>
          <t>VL_032</t>
        </is>
      </c>
      <c r="C36" s="5" t="inlineStr">
        <is>
          <t>Cồn lau dụng cụ</t>
        </is>
      </c>
      <c r="D36" s="5" t="inlineStr">
        <is>
          <t>lít</t>
        </is>
      </c>
      <c r="E36" s="5" t="inlineStr">
        <is>
          <t>hoa_chat</t>
        </is>
      </c>
      <c r="F36" s="5" t="n">
        <v>7.02</v>
      </c>
      <c r="G36" s="5" t="n">
        <v>7.5816</v>
      </c>
      <c r="H36" s="5" t="n">
        <v>191100</v>
      </c>
      <c r="I36" s="5" t="inlineStr"/>
      <c r="J36" s="5" t="inlineStr"/>
      <c r="K36" s="5" t="inlineStr"/>
      <c r="L36" s="5">
        <f>G36*H36</f>
        <v/>
      </c>
      <c r="M36" s="5" t="inlineStr">
        <is>
          <t>Hóa chất phân tích tiêu chuẩn Vimcerts/Vilas</t>
        </is>
      </c>
    </row>
    <row r="37">
      <c r="A37" s="4" t="n">
        <v>33</v>
      </c>
      <c r="B37" s="4" t="inlineStr">
        <is>
          <t>VL_033</t>
        </is>
      </c>
      <c r="C37" s="4" t="inlineStr">
        <is>
          <t>Cồn lau dụng cụ</t>
        </is>
      </c>
      <c r="D37" s="4" t="inlineStr">
        <is>
          <t>ml</t>
        </is>
      </c>
      <c r="E37" s="4" t="inlineStr">
        <is>
          <t>hoa_chat</t>
        </is>
      </c>
      <c r="F37" s="4" t="n">
        <v>21210.02</v>
      </c>
      <c r="G37" s="4" t="n">
        <v>22906.8216</v>
      </c>
      <c r="H37" s="4" t="n">
        <v>235</v>
      </c>
      <c r="I37" s="4" t="inlineStr"/>
      <c r="J37" s="4" t="inlineStr"/>
      <c r="K37" s="4" t="inlineStr"/>
      <c r="L37" s="4">
        <f>G37*H37</f>
        <v/>
      </c>
      <c r="M37" s="4" t="inlineStr">
        <is>
          <t>Hóa chất phân tích tiêu chuẩn Vimcerts/Vilas</t>
        </is>
      </c>
    </row>
    <row r="38">
      <c r="A38" s="5" t="n">
        <v>34</v>
      </c>
      <c r="B38" s="5" t="inlineStr">
        <is>
          <t>VL_034</t>
        </is>
      </c>
      <c r="C38" s="5" t="inlineStr">
        <is>
          <t>Cồn lau đầu đo</t>
        </is>
      </c>
      <c r="D38" s="5" t="inlineStr">
        <is>
          <t>ml</t>
        </is>
      </c>
      <c r="E38" s="5" t="inlineStr">
        <is>
          <t>hoa_chat</t>
        </is>
      </c>
      <c r="F38" s="5" t="n">
        <v>1560</v>
      </c>
      <c r="G38" s="5" t="n">
        <v>1684.8</v>
      </c>
      <c r="H38" s="5" t="n">
        <v>235</v>
      </c>
      <c r="I38" s="5" t="inlineStr"/>
      <c r="J38" s="5" t="inlineStr"/>
      <c r="K38" s="5" t="inlineStr"/>
      <c r="L38" s="5">
        <f>G38*H38</f>
        <v/>
      </c>
      <c r="M38" s="5" t="inlineStr">
        <is>
          <t>Hóa chất phân tích tiêu chuẩn Vimcerts/Vilas</t>
        </is>
      </c>
    </row>
    <row r="39">
      <c r="A39" s="4" t="n">
        <v>35</v>
      </c>
      <c r="B39" s="4" t="inlineStr">
        <is>
          <t>VL_035</t>
        </is>
      </c>
      <c r="C39" s="4" t="inlineStr">
        <is>
          <t>Diatomit cỡ hạt 0,125mm - 0,150mm</t>
        </is>
      </c>
      <c r="D39" s="4" t="inlineStr">
        <is>
          <t>gam</t>
        </is>
      </c>
      <c r="E39" s="4" t="inlineStr">
        <is>
          <t>hoa_chat</t>
        </is>
      </c>
      <c r="F39" s="4" t="n">
        <v>2</v>
      </c>
      <c r="G39" s="4" t="n">
        <v>2.16</v>
      </c>
      <c r="H39" s="4" t="n">
        <v>1180</v>
      </c>
      <c r="I39" s="4" t="inlineStr"/>
      <c r="J39" s="4" t="inlineStr"/>
      <c r="K39" s="4" t="inlineStr"/>
      <c r="L39" s="4">
        <f>G39*H39</f>
        <v/>
      </c>
      <c r="M39" s="4" t="inlineStr">
        <is>
          <t>Hóa chất phân tích tiêu chuẩn Vimcerts/Vilas</t>
        </is>
      </c>
    </row>
    <row r="40">
      <c r="A40" s="5" t="n">
        <v>36</v>
      </c>
      <c r="B40" s="5" t="inlineStr">
        <is>
          <t>VL_036</t>
        </is>
      </c>
      <c r="C40" s="5" t="inlineStr">
        <is>
          <t>Dung dịch NH4+ chuẩn</t>
        </is>
      </c>
      <c r="D40" s="5" t="inlineStr">
        <is>
          <t>ml</t>
        </is>
      </c>
      <c r="E40" s="5" t="inlineStr">
        <is>
          <t>chuan</t>
        </is>
      </c>
      <c r="F40" s="5" t="n">
        <v>8</v>
      </c>
      <c r="G40" s="5" t="n">
        <v>8.640000000000001</v>
      </c>
      <c r="H40" s="5" t="n">
        <v>8330</v>
      </c>
      <c r="I40" s="5" t="inlineStr"/>
      <c r="J40" s="5" t="inlineStr"/>
      <c r="K40" s="5" t="inlineStr"/>
      <c r="L40" s="5">
        <f>G40*H40</f>
        <v/>
      </c>
      <c r="M40" s="5" t="inlineStr">
        <is>
          <t>Hóa chất phân tích tiêu chuẩn Vimcerts/Vilas</t>
        </is>
      </c>
    </row>
    <row r="41">
      <c r="A41" s="4" t="n">
        <v>37</v>
      </c>
      <c r="B41" s="4" t="inlineStr">
        <is>
          <t>VL_037</t>
        </is>
      </c>
      <c r="C41" s="4" t="inlineStr">
        <is>
          <t>Dung dịch chuẩn 1000 Pt-Co</t>
        </is>
      </c>
      <c r="D41" s="4" t="inlineStr">
        <is>
          <t>ml</t>
        </is>
      </c>
      <c r="E41" s="4" t="inlineStr">
        <is>
          <t>chuan</t>
        </is>
      </c>
      <c r="F41" s="4" t="n">
        <v>120</v>
      </c>
      <c r="G41" s="4" t="n">
        <v>129.6</v>
      </c>
      <c r="H41" s="4" t="n">
        <v>8330</v>
      </c>
      <c r="I41" s="4" t="inlineStr"/>
      <c r="J41" s="4" t="inlineStr"/>
      <c r="K41" s="4" t="inlineStr"/>
      <c r="L41" s="4">
        <f>G41*H41</f>
        <v/>
      </c>
      <c r="M41" s="4" t="inlineStr">
        <is>
          <t>Hóa chất phân tích tiêu chuẩn Vimcerts/Vilas</t>
        </is>
      </c>
    </row>
    <row r="42">
      <c r="A42" s="5" t="n">
        <v>38</v>
      </c>
      <c r="B42" s="5" t="inlineStr">
        <is>
          <t>VL_038</t>
        </is>
      </c>
      <c r="C42" s="5" t="inlineStr">
        <is>
          <t>Dung dịch chuẩn NaNO2</t>
        </is>
      </c>
      <c r="D42" s="5" t="inlineStr">
        <is>
          <t>ml</t>
        </is>
      </c>
      <c r="E42" s="5" t="inlineStr">
        <is>
          <t>chuan</t>
        </is>
      </c>
      <c r="F42" s="5" t="n">
        <v>34</v>
      </c>
      <c r="G42" s="5" t="n">
        <v>36.72</v>
      </c>
      <c r="H42" s="5" t="n">
        <v>8330</v>
      </c>
      <c r="I42" s="5" t="inlineStr"/>
      <c r="J42" s="5" t="inlineStr"/>
      <c r="K42" s="5" t="inlineStr"/>
      <c r="L42" s="5">
        <f>G42*H42</f>
        <v/>
      </c>
      <c r="M42" s="5" t="inlineStr">
        <is>
          <t>Hóa chất phân tích tiêu chuẩn Vimcerts/Vilas</t>
        </is>
      </c>
    </row>
    <row r="43">
      <c r="A43" s="4" t="n">
        <v>39</v>
      </c>
      <c r="B43" s="4" t="inlineStr">
        <is>
          <t>VL_039</t>
        </is>
      </c>
      <c r="C43" s="4" t="inlineStr">
        <is>
          <t>Dung dịch chuẩn P-PO4</t>
        </is>
      </c>
      <c r="D43" s="4" t="inlineStr">
        <is>
          <t>ml</t>
        </is>
      </c>
      <c r="E43" s="4" t="inlineStr">
        <is>
          <t>chuan</t>
        </is>
      </c>
      <c r="F43" s="4" t="n">
        <v>2</v>
      </c>
      <c r="G43" s="4" t="n">
        <v>2.16</v>
      </c>
      <c r="H43" s="4" t="n">
        <v>8330</v>
      </c>
      <c r="I43" s="4" t="inlineStr"/>
      <c r="J43" s="4" t="inlineStr"/>
      <c r="K43" s="4" t="inlineStr"/>
      <c r="L43" s="4">
        <f>G43*H43</f>
        <v/>
      </c>
      <c r="M43" s="4" t="inlineStr">
        <is>
          <t>Hóa chất phân tích tiêu chuẩn Vimcerts/Vilas</t>
        </is>
      </c>
    </row>
    <row r="44">
      <c r="A44" s="5" t="n">
        <v>40</v>
      </c>
      <c r="B44" s="5" t="inlineStr">
        <is>
          <t>VL_040</t>
        </is>
      </c>
      <c r="C44" s="5" t="inlineStr">
        <is>
          <t>Dung dịch chuẩn gốc 1.000ppm</t>
        </is>
      </c>
      <c r="D44" s="5" t="inlineStr">
        <is>
          <t>ml</t>
        </is>
      </c>
      <c r="E44" s="5" t="inlineStr">
        <is>
          <t>chuan</t>
        </is>
      </c>
      <c r="F44" s="5" t="n">
        <v>287.2</v>
      </c>
      <c r="G44" s="5" t="n">
        <v>310.176</v>
      </c>
      <c r="H44" s="5" t="n">
        <v>8330</v>
      </c>
      <c r="I44" s="5" t="inlineStr"/>
      <c r="J44" s="5" t="inlineStr"/>
      <c r="K44" s="5" t="inlineStr"/>
      <c r="L44" s="5">
        <f>G44*H44</f>
        <v/>
      </c>
      <c r="M44" s="5" t="inlineStr">
        <is>
          <t>Hóa chất phân tích tiêu chuẩn Vimcerts/Vilas</t>
        </is>
      </c>
    </row>
    <row r="45">
      <c r="A45" s="4" t="n">
        <v>41</v>
      </c>
      <c r="B45" s="4" t="inlineStr">
        <is>
          <t>VL_041</t>
        </is>
      </c>
      <c r="C45" s="4" t="inlineStr">
        <is>
          <t>Dung dịch chuẩn gốc 1000ppm</t>
        </is>
      </c>
      <c r="D45" s="4" t="inlineStr">
        <is>
          <t>ml</t>
        </is>
      </c>
      <c r="E45" s="4" t="inlineStr">
        <is>
          <t>chuan</t>
        </is>
      </c>
      <c r="F45" s="4" t="n">
        <v>112</v>
      </c>
      <c r="G45" s="4" t="n">
        <v>120.96</v>
      </c>
      <c r="H45" s="4" t="n">
        <v>8330</v>
      </c>
      <c r="I45" s="4" t="inlineStr"/>
      <c r="J45" s="4" t="inlineStr"/>
      <c r="K45" s="4" t="inlineStr"/>
      <c r="L45" s="4">
        <f>G45*H45</f>
        <v/>
      </c>
      <c r="M45" s="4" t="inlineStr">
        <is>
          <t>Hóa chất phân tích tiêu chuẩn Vimcerts/Vilas</t>
        </is>
      </c>
    </row>
    <row r="46">
      <c r="A46" s="5" t="n">
        <v>42</v>
      </c>
      <c r="B46" s="5" t="inlineStr">
        <is>
          <t>VL_042</t>
        </is>
      </c>
      <c r="C46" s="5" t="inlineStr">
        <is>
          <t>Dung dịch chuẩn pH ở giá trị pH = 4 và pH = 10</t>
        </is>
      </c>
      <c r="D46" s="5" t="inlineStr">
        <is>
          <t>ml</t>
        </is>
      </c>
      <c r="E46" s="5" t="inlineStr">
        <is>
          <t>chuan</t>
        </is>
      </c>
      <c r="F46" s="5" t="n">
        <v>386.4</v>
      </c>
      <c r="G46" s="5" t="n">
        <v>417.312</v>
      </c>
      <c r="H46" s="5" t="n">
        <v>8330</v>
      </c>
      <c r="I46" s="5" t="inlineStr"/>
      <c r="J46" s="5" t="inlineStr"/>
      <c r="K46" s="5" t="inlineStr"/>
      <c r="L46" s="5">
        <f>G46*H46</f>
        <v/>
      </c>
      <c r="M46" s="5" t="inlineStr">
        <is>
          <t>Hóa chất phân tích tiêu chuẩn Vimcerts/Vilas</t>
        </is>
      </c>
    </row>
    <row r="47">
      <c r="A47" s="4" t="n">
        <v>43</v>
      </c>
      <c r="B47" s="4" t="inlineStr">
        <is>
          <t>VL_043</t>
        </is>
      </c>
      <c r="C47" s="4" t="inlineStr">
        <is>
          <t>Dung dịch chuẩn pH ở pH = 4, pH = 7, pH = 10</t>
        </is>
      </c>
      <c r="D47" s="4" t="inlineStr">
        <is>
          <t>ml</t>
        </is>
      </c>
      <c r="E47" s="4" t="inlineStr">
        <is>
          <t>chuan</t>
        </is>
      </c>
      <c r="F47" s="4" t="n">
        <v>1860</v>
      </c>
      <c r="G47" s="4" t="n">
        <v>2008.8</v>
      </c>
      <c r="H47" s="4" t="n">
        <v>8330</v>
      </c>
      <c r="I47" s="4" t="inlineStr"/>
      <c r="J47" s="4" t="inlineStr"/>
      <c r="K47" s="4" t="inlineStr"/>
      <c r="L47" s="4">
        <f>G47*H47</f>
        <v/>
      </c>
      <c r="M47" s="4" t="inlineStr">
        <is>
          <t>Hóa chất phân tích tiêu chuẩn Vimcerts/Vilas</t>
        </is>
      </c>
    </row>
    <row r="48">
      <c r="A48" s="5" t="n">
        <v>44</v>
      </c>
      <c r="B48" s="5" t="inlineStr">
        <is>
          <t>VL_044</t>
        </is>
      </c>
      <c r="C48" s="5" t="inlineStr">
        <is>
          <t>Dung dịch chuẩn pH</t>
        </is>
      </c>
      <c r="D48" s="5" t="inlineStr">
        <is>
          <t>hộp</t>
        </is>
      </c>
      <c r="E48" s="5" t="inlineStr">
        <is>
          <t>chuan</t>
        </is>
      </c>
      <c r="F48" s="5" t="n">
        <v>1.28</v>
      </c>
      <c r="G48" s="5" t="n">
        <v>1.3824</v>
      </c>
      <c r="H48" s="5" t="n">
        <v>441000</v>
      </c>
      <c r="I48" s="5" t="inlineStr"/>
      <c r="J48" s="5" t="inlineStr"/>
      <c r="K48" s="5" t="inlineStr"/>
      <c r="L48" s="5">
        <f>G48*H48</f>
        <v/>
      </c>
      <c r="M48" s="5" t="inlineStr">
        <is>
          <t>Hóa chất phân tích tiêu chuẩn Vimcerts/Vilas</t>
        </is>
      </c>
    </row>
    <row r="49">
      <c r="A49" s="4" t="n">
        <v>45</v>
      </c>
      <c r="B49" s="4" t="inlineStr">
        <is>
          <t>VL_045</t>
        </is>
      </c>
      <c r="C49" s="4" t="inlineStr">
        <is>
          <t>Dung dịch làm sạch điện cực</t>
        </is>
      </c>
      <c r="D49" s="4" t="inlineStr">
        <is>
          <t>ml</t>
        </is>
      </c>
      <c r="E49" s="4" t="inlineStr">
        <is>
          <t>hoa_chat</t>
        </is>
      </c>
      <c r="F49" s="4" t="n">
        <v>190</v>
      </c>
      <c r="G49" s="4" t="n">
        <v>205.2</v>
      </c>
      <c r="H49" s="4" t="n">
        <v>274</v>
      </c>
      <c r="I49" s="4" t="inlineStr"/>
      <c r="J49" s="4" t="inlineStr"/>
      <c r="K49" s="4" t="inlineStr"/>
      <c r="L49" s="4">
        <f>G49*H49</f>
        <v/>
      </c>
      <c r="M49" s="4" t="inlineStr">
        <is>
          <t>Hóa chất phân tích tiêu chuẩn Vimcerts/Vilas</t>
        </is>
      </c>
    </row>
    <row r="50">
      <c r="A50" s="5" t="n">
        <v>46</v>
      </c>
      <c r="B50" s="5" t="inlineStr">
        <is>
          <t>VL_046</t>
        </is>
      </c>
      <c r="C50" s="5" t="inlineStr">
        <is>
          <t>Dung dịch điện cực DO</t>
        </is>
      </c>
      <c r="D50" s="5" t="inlineStr">
        <is>
          <t>ml</t>
        </is>
      </c>
      <c r="E50" s="5" t="inlineStr">
        <is>
          <t>hoa_chat</t>
        </is>
      </c>
      <c r="F50" s="5" t="n">
        <v>190</v>
      </c>
      <c r="G50" s="5" t="n">
        <v>205.2</v>
      </c>
      <c r="H50" s="5" t="n">
        <v>274</v>
      </c>
      <c r="I50" s="5" t="inlineStr"/>
      <c r="J50" s="5" t="inlineStr"/>
      <c r="K50" s="5" t="inlineStr"/>
      <c r="L50" s="5">
        <f>G50*H50</f>
        <v/>
      </c>
      <c r="M50" s="5" t="inlineStr">
        <is>
          <t>Hóa chất phân tích tiêu chuẩn Vimcerts/Vilas</t>
        </is>
      </c>
    </row>
    <row r="51">
      <c r="A51" s="4" t="n">
        <v>47</v>
      </c>
      <c r="B51" s="4" t="inlineStr">
        <is>
          <t>VL_047</t>
        </is>
      </c>
      <c r="C51" s="4" t="inlineStr">
        <is>
          <t>Dung môi</t>
        </is>
      </c>
      <c r="D51" s="4" t="inlineStr">
        <is>
          <t>ml</t>
        </is>
      </c>
      <c r="E51" s="4" t="inlineStr">
        <is>
          <t>hoa_chat</t>
        </is>
      </c>
      <c r="F51" s="4" t="n">
        <v>4200</v>
      </c>
      <c r="G51" s="4" t="n">
        <v>4536</v>
      </c>
      <c r="H51" s="4" t="n">
        <v>235</v>
      </c>
      <c r="I51" s="4" t="inlineStr"/>
      <c r="J51" s="4" t="inlineStr"/>
      <c r="K51" s="4" t="inlineStr"/>
      <c r="L51" s="4">
        <f>G51*H51</f>
        <v/>
      </c>
      <c r="M51" s="4" t="inlineStr">
        <is>
          <t>Hóa chất phân tích tiêu chuẩn Vimcerts/Vilas</t>
        </is>
      </c>
    </row>
    <row r="52">
      <c r="A52" s="5" t="n">
        <v>48</v>
      </c>
      <c r="B52" s="5" t="inlineStr">
        <is>
          <t>VL_048</t>
        </is>
      </c>
      <c r="C52" s="5" t="inlineStr">
        <is>
          <t>EDTA</t>
        </is>
      </c>
      <c r="D52" s="5" t="inlineStr">
        <is>
          <t>gam</t>
        </is>
      </c>
      <c r="E52" s="5" t="inlineStr">
        <is>
          <t>hoa_chat</t>
        </is>
      </c>
      <c r="F52" s="5" t="n">
        <v>0.24</v>
      </c>
      <c r="G52" s="5" t="n">
        <v>0.2592</v>
      </c>
      <c r="H52" s="5" t="n">
        <v>1180</v>
      </c>
      <c r="I52" s="5" t="inlineStr"/>
      <c r="J52" s="5" t="inlineStr"/>
      <c r="K52" s="5" t="inlineStr"/>
      <c r="L52" s="5">
        <f>G52*H52</f>
        <v/>
      </c>
      <c r="M52" s="5" t="inlineStr">
        <is>
          <t>Hóa chất phân tích tiêu chuẩn Vimcerts/Vilas</t>
        </is>
      </c>
    </row>
    <row r="53">
      <c r="A53" s="4" t="n">
        <v>49</v>
      </c>
      <c r="B53" s="4" t="inlineStr">
        <is>
          <t>VL_049</t>
        </is>
      </c>
      <c r="C53" s="4" t="inlineStr">
        <is>
          <t>EDTA</t>
        </is>
      </c>
      <c r="D53" s="4" t="inlineStr">
        <is>
          <t>ml</t>
        </is>
      </c>
      <c r="E53" s="4" t="inlineStr">
        <is>
          <t>hoa_chat</t>
        </is>
      </c>
      <c r="F53" s="4" t="n">
        <v>0.6</v>
      </c>
      <c r="G53" s="4" t="n">
        <v>0.648</v>
      </c>
      <c r="H53" s="4" t="n">
        <v>274</v>
      </c>
      <c r="I53" s="4" t="inlineStr"/>
      <c r="J53" s="4" t="inlineStr"/>
      <c r="K53" s="4" t="inlineStr"/>
      <c r="L53" s="4">
        <f>G53*H53</f>
        <v/>
      </c>
      <c r="M53" s="4" t="inlineStr">
        <is>
          <t>Hóa chất phân tích tiêu chuẩn Vimcerts/Vilas</t>
        </is>
      </c>
    </row>
    <row r="54">
      <c r="A54" s="5" t="n">
        <v>50</v>
      </c>
      <c r="B54" s="5" t="inlineStr">
        <is>
          <t>VL_050</t>
        </is>
      </c>
      <c r="C54" s="5" t="inlineStr">
        <is>
          <t>FeCl3, 6H2O</t>
        </is>
      </c>
      <c r="D54" s="5" t="inlineStr">
        <is>
          <t>gam</t>
        </is>
      </c>
      <c r="E54" s="5" t="inlineStr">
        <is>
          <t>hoa_chat</t>
        </is>
      </c>
      <c r="F54" s="5" t="n">
        <v>1.44</v>
      </c>
      <c r="G54" s="5" t="n">
        <v>1.5552</v>
      </c>
      <c r="H54" s="5" t="n">
        <v>1180</v>
      </c>
      <c r="I54" s="5" t="inlineStr"/>
      <c r="J54" s="5" t="inlineStr"/>
      <c r="K54" s="5" t="inlineStr"/>
      <c r="L54" s="5">
        <f>G54*H54</f>
        <v/>
      </c>
      <c r="M54" s="5" t="inlineStr">
        <is>
          <t>Hóa chất phân tích tiêu chuẩn Vimcerts/Vilas</t>
        </is>
      </c>
    </row>
    <row r="55">
      <c r="A55" s="4" t="n">
        <v>51</v>
      </c>
      <c r="B55" s="4" t="inlineStr">
        <is>
          <t>VL_051</t>
        </is>
      </c>
      <c r="C55" s="4" t="inlineStr">
        <is>
          <t>FeCl3</t>
        </is>
      </c>
      <c r="D55" s="4" t="inlineStr">
        <is>
          <t>gam</t>
        </is>
      </c>
      <c r="E55" s="4" t="inlineStr">
        <is>
          <t>hoa_chat</t>
        </is>
      </c>
      <c r="F55" s="4" t="n">
        <v>0.288</v>
      </c>
      <c r="G55" s="4" t="n">
        <v>0.311</v>
      </c>
      <c r="H55" s="4" t="n">
        <v>1180</v>
      </c>
      <c r="I55" s="4" t="inlineStr"/>
      <c r="J55" s="4" t="inlineStr"/>
      <c r="K55" s="4" t="inlineStr"/>
      <c r="L55" s="4">
        <f>G55*H55</f>
        <v/>
      </c>
      <c r="M55" s="4" t="inlineStr">
        <is>
          <t>Hóa chất phân tích tiêu chuẩn Vimcerts/Vilas</t>
        </is>
      </c>
    </row>
    <row r="56">
      <c r="A56" s="5" t="n">
        <v>52</v>
      </c>
      <c r="B56" s="5" t="inlineStr">
        <is>
          <t>VL_052</t>
        </is>
      </c>
      <c r="C56" s="5" t="inlineStr">
        <is>
          <t>FeSO4.7H2O</t>
        </is>
      </c>
      <c r="D56" s="5" t="inlineStr">
        <is>
          <t>gam</t>
        </is>
      </c>
      <c r="E56" s="5" t="inlineStr">
        <is>
          <t>hoa_chat</t>
        </is>
      </c>
      <c r="F56" s="5" t="n">
        <v>4</v>
      </c>
      <c r="G56" s="5" t="n">
        <v>4.32</v>
      </c>
      <c r="H56" s="5" t="n">
        <v>1180</v>
      </c>
      <c r="I56" s="5" t="inlineStr"/>
      <c r="J56" s="5" t="inlineStr"/>
      <c r="K56" s="5" t="inlineStr"/>
      <c r="L56" s="5">
        <f>G56*H56</f>
        <v/>
      </c>
      <c r="M56" s="5" t="inlineStr">
        <is>
          <t>Hóa chất phân tích tiêu chuẩn Vimcerts/Vilas</t>
        </is>
      </c>
    </row>
    <row r="57">
      <c r="A57" s="4" t="n">
        <v>53</v>
      </c>
      <c r="B57" s="4" t="inlineStr">
        <is>
          <t>VL_053</t>
        </is>
      </c>
      <c r="C57" s="4" t="inlineStr">
        <is>
          <t>Formaldehyt</t>
        </is>
      </c>
      <c r="D57" s="4" t="inlineStr">
        <is>
          <t>ml</t>
        </is>
      </c>
      <c r="E57" s="4" t="inlineStr">
        <is>
          <t>hoa_chat</t>
        </is>
      </c>
      <c r="F57" s="4" t="n">
        <v>5.6</v>
      </c>
      <c r="G57" s="4" t="n">
        <v>6.048</v>
      </c>
      <c r="H57" s="4" t="n">
        <v>274</v>
      </c>
      <c r="I57" s="4" t="inlineStr"/>
      <c r="J57" s="4" t="inlineStr"/>
      <c r="K57" s="4" t="inlineStr"/>
      <c r="L57" s="4">
        <f>G57*H57</f>
        <v/>
      </c>
      <c r="M57" s="4" t="inlineStr">
        <is>
          <t>Hóa chất phân tích tiêu chuẩn Vimcerts/Vilas</t>
        </is>
      </c>
    </row>
    <row r="58">
      <c r="A58" s="5" t="n">
        <v>54</v>
      </c>
      <c r="B58" s="5" t="inlineStr">
        <is>
          <t>VL_054</t>
        </is>
      </c>
      <c r="C58" s="5" t="inlineStr">
        <is>
          <t>Gim bấm</t>
        </is>
      </c>
      <c r="D58" s="5" t="inlineStr">
        <is>
          <t>Hộp</t>
        </is>
      </c>
      <c r="E58" s="5" t="inlineStr">
        <is>
          <t>thong_dung</t>
        </is>
      </c>
      <c r="F58" s="5" t="n">
        <v>1.6</v>
      </c>
      <c r="G58" s="5" t="n">
        <v>1.728</v>
      </c>
      <c r="H58" s="5" t="n">
        <v>14700</v>
      </c>
      <c r="I58" s="5" t="inlineStr"/>
      <c r="J58" s="5" t="inlineStr"/>
      <c r="K58" s="5" t="inlineStr"/>
      <c r="L58" s="5">
        <f>G58*H58</f>
        <v/>
      </c>
      <c r="M58" s="5" t="inlineStr">
        <is>
          <t>Hóa chất phân tích tiêu chuẩn Vimcerts/Vilas</t>
        </is>
      </c>
    </row>
    <row r="59">
      <c r="A59" s="4" t="n">
        <v>55</v>
      </c>
      <c r="B59" s="4" t="inlineStr">
        <is>
          <t>VL_055</t>
        </is>
      </c>
      <c r="C59" s="4" t="inlineStr">
        <is>
          <t>Gim bấm</t>
        </is>
      </c>
      <c r="D59" s="4" t="inlineStr">
        <is>
          <t>cái</t>
        </is>
      </c>
      <c r="E59" s="4" t="inlineStr">
        <is>
          <t>thong_dung</t>
        </is>
      </c>
      <c r="F59" s="4" t="n">
        <v>0.36</v>
      </c>
      <c r="G59" s="4" t="n">
        <v>0.3888</v>
      </c>
      <c r="H59" s="4" t="n">
        <v>14700</v>
      </c>
      <c r="I59" s="4" t="inlineStr"/>
      <c r="J59" s="4" t="inlineStr"/>
      <c r="K59" s="4" t="inlineStr"/>
      <c r="L59" s="4">
        <f>G59*H59</f>
        <v/>
      </c>
      <c r="M59" s="4" t="inlineStr">
        <is>
          <t>Hóa chất phân tích tiêu chuẩn Vimcerts/Vilas</t>
        </is>
      </c>
    </row>
    <row r="60">
      <c r="A60" s="5" t="n">
        <v>56</v>
      </c>
      <c r="B60" s="5" t="inlineStr">
        <is>
          <t>VL_056</t>
        </is>
      </c>
      <c r="C60" s="5" t="inlineStr">
        <is>
          <t>Gim bấm</t>
        </is>
      </c>
      <c r="D60" s="5" t="inlineStr">
        <is>
          <t>hộp</t>
        </is>
      </c>
      <c r="E60" s="5" t="inlineStr">
        <is>
          <t>thong_dung</t>
        </is>
      </c>
      <c r="F60" s="5" t="n">
        <v>3.88</v>
      </c>
      <c r="G60" s="5" t="n">
        <v>4.1904</v>
      </c>
      <c r="H60" s="5" t="n">
        <v>14700</v>
      </c>
      <c r="I60" s="5" t="inlineStr"/>
      <c r="J60" s="5" t="inlineStr"/>
      <c r="K60" s="5" t="inlineStr"/>
      <c r="L60" s="5">
        <f>G60*H60</f>
        <v/>
      </c>
      <c r="M60" s="5" t="inlineStr">
        <is>
          <t>Hóa chất phân tích tiêu chuẩn Vimcerts/Vilas</t>
        </is>
      </c>
    </row>
    <row r="61">
      <c r="A61" s="4" t="n">
        <v>57</v>
      </c>
      <c r="B61" s="4" t="inlineStr">
        <is>
          <t>VL_057</t>
        </is>
      </c>
      <c r="C61" s="4" t="inlineStr">
        <is>
          <t>Gim kẹp giấy</t>
        </is>
      </c>
      <c r="D61" s="4" t="inlineStr">
        <is>
          <t>Hộp</t>
        </is>
      </c>
      <c r="E61" s="4" t="inlineStr">
        <is>
          <t>thong_dung</t>
        </is>
      </c>
      <c r="F61" s="4" t="n">
        <v>1.6</v>
      </c>
      <c r="G61" s="4" t="n">
        <v>1.728</v>
      </c>
      <c r="H61" s="4" t="n">
        <v>14700</v>
      </c>
      <c r="I61" s="4" t="inlineStr"/>
      <c r="J61" s="4" t="inlineStr"/>
      <c r="K61" s="4" t="inlineStr"/>
      <c r="L61" s="4">
        <f>G61*H61</f>
        <v/>
      </c>
      <c r="M61" s="4" t="inlineStr">
        <is>
          <t>Hóa chất phân tích tiêu chuẩn Vimcerts/Vilas</t>
        </is>
      </c>
    </row>
    <row r="62">
      <c r="A62" s="5" t="n">
        <v>58</v>
      </c>
      <c r="B62" s="5" t="inlineStr">
        <is>
          <t>VL_058</t>
        </is>
      </c>
      <c r="C62" s="5" t="inlineStr">
        <is>
          <t>Gim kẹp giấy</t>
        </is>
      </c>
      <c r="D62" s="5" t="inlineStr">
        <is>
          <t>cái</t>
        </is>
      </c>
      <c r="E62" s="5" t="inlineStr">
        <is>
          <t>thong_dung</t>
        </is>
      </c>
      <c r="F62" s="5" t="n">
        <v>0.36</v>
      </c>
      <c r="G62" s="5" t="n">
        <v>0.3888</v>
      </c>
      <c r="H62" s="5" t="n">
        <v>14700</v>
      </c>
      <c r="I62" s="5" t="inlineStr"/>
      <c r="J62" s="5" t="inlineStr"/>
      <c r="K62" s="5" t="inlineStr"/>
      <c r="L62" s="5">
        <f>G62*H62</f>
        <v/>
      </c>
      <c r="M62" s="5" t="inlineStr">
        <is>
          <t>Hóa chất phân tích tiêu chuẩn Vimcerts/Vilas</t>
        </is>
      </c>
    </row>
    <row r="63">
      <c r="A63" s="4" t="n">
        <v>59</v>
      </c>
      <c r="B63" s="4" t="inlineStr">
        <is>
          <t>VL_059</t>
        </is>
      </c>
      <c r="C63" s="4" t="inlineStr">
        <is>
          <t>Gim kẹp giấy</t>
        </is>
      </c>
      <c r="D63" s="4" t="inlineStr">
        <is>
          <t>hộp</t>
        </is>
      </c>
      <c r="E63" s="4" t="inlineStr">
        <is>
          <t>thong_dung</t>
        </is>
      </c>
      <c r="F63" s="4" t="n">
        <v>3.16</v>
      </c>
      <c r="G63" s="4" t="n">
        <v>3.4128</v>
      </c>
      <c r="H63" s="4" t="n">
        <v>14700</v>
      </c>
      <c r="I63" s="4" t="inlineStr"/>
      <c r="J63" s="4" t="inlineStr"/>
      <c r="K63" s="4" t="inlineStr"/>
      <c r="L63" s="4">
        <f>G63*H63</f>
        <v/>
      </c>
      <c r="M63" s="4" t="inlineStr">
        <is>
          <t>Hóa chất phân tích tiêu chuẩn Vimcerts/Vilas</t>
        </is>
      </c>
    </row>
    <row r="64">
      <c r="A64" s="5" t="n">
        <v>60</v>
      </c>
      <c r="B64" s="5" t="inlineStr">
        <is>
          <t>VL_060</t>
        </is>
      </c>
      <c r="C64" s="5" t="inlineStr">
        <is>
          <t>Giấy A4</t>
        </is>
      </c>
      <c r="D64" s="5" t="inlineStr">
        <is>
          <t>gam</t>
        </is>
      </c>
      <c r="E64" s="5" t="inlineStr">
        <is>
          <t>hoa_chat</t>
        </is>
      </c>
      <c r="F64" s="5" t="n">
        <v>1.6</v>
      </c>
      <c r="G64" s="5" t="n">
        <v>1.728</v>
      </c>
      <c r="H64" s="5" t="n">
        <v>1180</v>
      </c>
      <c r="I64" s="5" t="inlineStr"/>
      <c r="J64" s="5" t="inlineStr"/>
      <c r="K64" s="5" t="inlineStr"/>
      <c r="L64" s="5">
        <f>G64*H64</f>
        <v/>
      </c>
      <c r="M64" s="5" t="inlineStr">
        <is>
          <t>Hóa chất phân tích tiêu chuẩn Vimcerts/Vilas</t>
        </is>
      </c>
    </row>
    <row r="65">
      <c r="A65" s="4" t="n">
        <v>61</v>
      </c>
      <c r="B65" s="4" t="inlineStr">
        <is>
          <t>VL_061</t>
        </is>
      </c>
      <c r="C65" s="4" t="inlineStr">
        <is>
          <t>Giấy lau</t>
        </is>
      </c>
      <c r="D65" s="4" t="inlineStr">
        <is>
          <t>Hộp</t>
        </is>
      </c>
      <c r="E65" s="4" t="inlineStr">
        <is>
          <t>thong_dung</t>
        </is>
      </c>
      <c r="F65" s="4" t="n">
        <v>1</v>
      </c>
      <c r="G65" s="4" t="n">
        <v>1.08</v>
      </c>
      <c r="H65" s="4" t="n">
        <v>14700</v>
      </c>
      <c r="I65" s="4" t="inlineStr"/>
      <c r="J65" s="4" t="inlineStr"/>
      <c r="K65" s="4" t="inlineStr"/>
      <c r="L65" s="4">
        <f>G65*H65</f>
        <v/>
      </c>
      <c r="M65" s="4" t="inlineStr">
        <is>
          <t>Hóa chất phân tích tiêu chuẩn Vimcerts/Vilas</t>
        </is>
      </c>
    </row>
    <row r="66">
      <c r="A66" s="5" t="n">
        <v>62</v>
      </c>
      <c r="B66" s="5" t="inlineStr">
        <is>
          <t>VL_062</t>
        </is>
      </c>
      <c r="C66" s="5" t="inlineStr">
        <is>
          <t>Giấy lau</t>
        </is>
      </c>
      <c r="D66" s="5" t="inlineStr">
        <is>
          <t>cái</t>
        </is>
      </c>
      <c r="E66" s="5" t="inlineStr">
        <is>
          <t>thong_dung</t>
        </is>
      </c>
      <c r="F66" s="5" t="n">
        <v>0.5</v>
      </c>
      <c r="G66" s="5" t="n">
        <v>0.54</v>
      </c>
      <c r="H66" s="5" t="n">
        <v>14700</v>
      </c>
      <c r="I66" s="5" t="inlineStr"/>
      <c r="J66" s="5" t="inlineStr"/>
      <c r="K66" s="5" t="inlineStr"/>
      <c r="L66" s="5">
        <f>G66*H66</f>
        <v/>
      </c>
      <c r="M66" s="5" t="inlineStr">
        <is>
          <t>Hóa chất phân tích tiêu chuẩn Vimcerts/Vilas</t>
        </is>
      </c>
    </row>
    <row r="67">
      <c r="A67" s="4" t="n">
        <v>63</v>
      </c>
      <c r="B67" s="4" t="inlineStr">
        <is>
          <t>VL_063</t>
        </is>
      </c>
      <c r="C67" s="4" t="inlineStr">
        <is>
          <t>Giấy lau</t>
        </is>
      </c>
      <c r="D67" s="4" t="inlineStr">
        <is>
          <t>hộp</t>
        </is>
      </c>
      <c r="E67" s="4" t="inlineStr">
        <is>
          <t>thong_dung</t>
        </is>
      </c>
      <c r="F67" s="4" t="n">
        <v>27.68</v>
      </c>
      <c r="G67" s="4" t="n">
        <v>29.8944</v>
      </c>
      <c r="H67" s="4" t="n">
        <v>14700</v>
      </c>
      <c r="I67" s="4" t="inlineStr"/>
      <c r="J67" s="4" t="inlineStr"/>
      <c r="K67" s="4" t="inlineStr"/>
      <c r="L67" s="4">
        <f>G67*H67</f>
        <v/>
      </c>
      <c r="M67" s="4" t="inlineStr">
        <is>
          <t>Hóa chất phân tích tiêu chuẩn Vimcerts/Vilas</t>
        </is>
      </c>
    </row>
    <row r="68">
      <c r="A68" s="5" t="n">
        <v>64</v>
      </c>
      <c r="B68" s="5" t="inlineStr">
        <is>
          <t>VL_064</t>
        </is>
      </c>
      <c r="C68" s="5" t="inlineStr">
        <is>
          <t>Giấy lọc bụi</t>
        </is>
      </c>
      <c r="D68" s="5" t="inlineStr">
        <is>
          <t>tờ</t>
        </is>
      </c>
      <c r="E68" s="5" t="inlineStr">
        <is>
          <t>vat_tu_tieu_hao</t>
        </is>
      </c>
      <c r="F68" s="5" t="n">
        <v>12</v>
      </c>
      <c r="G68" s="5" t="n">
        <v>12.96</v>
      </c>
      <c r="H68" s="5" t="n">
        <v>8330</v>
      </c>
      <c r="I68" s="5" t="inlineStr"/>
      <c r="J68" s="5" t="inlineStr"/>
      <c r="K68" s="5" t="inlineStr"/>
      <c r="L68" s="5">
        <f>G68*H68</f>
        <v/>
      </c>
      <c r="M68" s="5" t="inlineStr">
        <is>
          <t>Hóa chất phân tích tiêu chuẩn Vimcerts/Vilas</t>
        </is>
      </c>
    </row>
    <row r="69">
      <c r="A69" s="4" t="n">
        <v>65</v>
      </c>
      <c r="B69" s="4" t="inlineStr">
        <is>
          <t>VL_065</t>
        </is>
      </c>
      <c r="C69" s="4" t="inlineStr">
        <is>
          <t>Giấy lọc chuyên dụng</t>
        </is>
      </c>
      <c r="D69" s="4" t="inlineStr">
        <is>
          <t>Cái</t>
        </is>
      </c>
      <c r="E69" s="4" t="inlineStr">
        <is>
          <t>vat_tu_tieu_hao</t>
        </is>
      </c>
      <c r="F69" s="4" t="n">
        <v>12</v>
      </c>
      <c r="G69" s="4" t="n">
        <v>12.96</v>
      </c>
      <c r="H69" s="4" t="n">
        <v>8330</v>
      </c>
      <c r="I69" s="4" t="inlineStr"/>
      <c r="J69" s="4" t="inlineStr"/>
      <c r="K69" s="4" t="inlineStr"/>
      <c r="L69" s="4">
        <f>G69*H69</f>
        <v/>
      </c>
      <c r="M69" s="4" t="inlineStr">
        <is>
          <t>Hóa chất phân tích tiêu chuẩn Vimcerts/Vilas</t>
        </is>
      </c>
    </row>
    <row r="70">
      <c r="A70" s="5" t="n">
        <v>66</v>
      </c>
      <c r="B70" s="5" t="inlineStr">
        <is>
          <t>VL_066</t>
        </is>
      </c>
      <c r="C70" s="5" t="inlineStr">
        <is>
          <t>Giấy lọc sợi thủy tinh</t>
        </is>
      </c>
      <c r="D70" s="5" t="inlineStr">
        <is>
          <t>hộp</t>
        </is>
      </c>
      <c r="E70" s="5" t="inlineStr">
        <is>
          <t>vat_tu_tieu_hao</t>
        </is>
      </c>
      <c r="F70" s="5" t="n">
        <v>0.44</v>
      </c>
      <c r="G70" s="5" t="n">
        <v>0.4752</v>
      </c>
      <c r="H70" s="5" t="n">
        <v>112700</v>
      </c>
      <c r="I70" s="5" t="inlineStr"/>
      <c r="J70" s="5" t="inlineStr"/>
      <c r="K70" s="5" t="inlineStr"/>
      <c r="L70" s="5">
        <f>G70*H70</f>
        <v/>
      </c>
      <c r="M70" s="5" t="inlineStr">
        <is>
          <t>Hóa chất phân tích tiêu chuẩn Vimcerts/Vilas</t>
        </is>
      </c>
    </row>
    <row r="71">
      <c r="A71" s="4" t="n">
        <v>67</v>
      </c>
      <c r="B71" s="4" t="inlineStr">
        <is>
          <t>VL_067</t>
        </is>
      </c>
      <c r="C71" s="4" t="inlineStr">
        <is>
          <t>Giấy lọc</t>
        </is>
      </c>
      <c r="D71" s="4" t="inlineStr">
        <is>
          <t>hộp</t>
        </is>
      </c>
      <c r="E71" s="4" t="inlineStr">
        <is>
          <t>vat_tu_tieu_hao</t>
        </is>
      </c>
      <c r="F71" s="4" t="n">
        <v>21.46</v>
      </c>
      <c r="G71" s="4" t="n">
        <v>23.1768</v>
      </c>
      <c r="H71" s="4" t="n">
        <v>411600</v>
      </c>
      <c r="I71" s="4" t="inlineStr"/>
      <c r="J71" s="4" t="inlineStr"/>
      <c r="K71" s="4" t="inlineStr"/>
      <c r="L71" s="4">
        <f>G71*H71</f>
        <v/>
      </c>
      <c r="M71" s="4" t="inlineStr">
        <is>
          <t>Hóa chất phân tích tiêu chuẩn Vimcerts/Vilas</t>
        </is>
      </c>
    </row>
    <row r="72">
      <c r="A72" s="5" t="n">
        <v>68</v>
      </c>
      <c r="B72" s="5" t="inlineStr">
        <is>
          <t>VL_068</t>
        </is>
      </c>
      <c r="C72" s="5" t="inlineStr">
        <is>
          <t>Giấy pH</t>
        </is>
      </c>
      <c r="D72" s="5" t="inlineStr">
        <is>
          <t>hộp</t>
        </is>
      </c>
      <c r="E72" s="5" t="inlineStr">
        <is>
          <t>thong_dung</t>
        </is>
      </c>
      <c r="F72" s="5" t="n">
        <v>0.24</v>
      </c>
      <c r="G72" s="5" t="n">
        <v>0.2592</v>
      </c>
      <c r="H72" s="5" t="n">
        <v>14700</v>
      </c>
      <c r="I72" s="5" t="inlineStr"/>
      <c r="J72" s="5" t="inlineStr"/>
      <c r="K72" s="5" t="inlineStr"/>
      <c r="L72" s="5">
        <f>G72*H72</f>
        <v/>
      </c>
      <c r="M72" s="5" t="inlineStr">
        <is>
          <t>Hóa chất phân tích tiêu chuẩn Vimcerts/Vilas</t>
        </is>
      </c>
    </row>
    <row r="73">
      <c r="A73" s="4" t="n">
        <v>69</v>
      </c>
      <c r="B73" s="4" t="inlineStr">
        <is>
          <t>VL_069</t>
        </is>
      </c>
      <c r="C73" s="4" t="inlineStr">
        <is>
          <t>Giấy thử pH</t>
        </is>
      </c>
      <c r="D73" s="4" t="inlineStr">
        <is>
          <t>hộp</t>
        </is>
      </c>
      <c r="E73" s="4" t="inlineStr">
        <is>
          <t>thong_dung</t>
        </is>
      </c>
      <c r="F73" s="4" t="n">
        <v>6.72</v>
      </c>
      <c r="G73" s="4" t="n">
        <v>7.2576</v>
      </c>
      <c r="H73" s="4" t="n">
        <v>14700</v>
      </c>
      <c r="I73" s="4" t="inlineStr"/>
      <c r="J73" s="4" t="inlineStr"/>
      <c r="K73" s="4" t="inlineStr"/>
      <c r="L73" s="4">
        <f>G73*H73</f>
        <v/>
      </c>
      <c r="M73" s="4" t="inlineStr">
        <is>
          <t>Hóa chất phân tích tiêu chuẩn Vimcerts/Vilas</t>
        </is>
      </c>
    </row>
    <row r="74">
      <c r="A74" s="5" t="n">
        <v>70</v>
      </c>
      <c r="B74" s="5" t="inlineStr">
        <is>
          <t>VL_070</t>
        </is>
      </c>
      <c r="C74" s="5" t="inlineStr">
        <is>
          <t>Gluco</t>
        </is>
      </c>
      <c r="D74" s="5" t="inlineStr">
        <is>
          <t>gam</t>
        </is>
      </c>
      <c r="E74" s="5" t="inlineStr">
        <is>
          <t>hoa_chat</t>
        </is>
      </c>
      <c r="F74" s="5" t="n">
        <v>1.44</v>
      </c>
      <c r="G74" s="5" t="n">
        <v>1.5552</v>
      </c>
      <c r="H74" s="5" t="n">
        <v>1180</v>
      </c>
      <c r="I74" s="5" t="inlineStr"/>
      <c r="J74" s="5" t="inlineStr"/>
      <c r="K74" s="5" t="inlineStr"/>
      <c r="L74" s="5">
        <f>G74*H74</f>
        <v/>
      </c>
      <c r="M74" s="5" t="inlineStr">
        <is>
          <t>Hóa chất phân tích tiêu chuẩn Vimcerts/Vilas</t>
        </is>
      </c>
    </row>
    <row r="75">
      <c r="A75" s="4" t="n">
        <v>71</v>
      </c>
      <c r="B75" s="4" t="inlineStr">
        <is>
          <t>VL_071</t>
        </is>
      </c>
      <c r="C75" s="4" t="inlineStr">
        <is>
          <t>Glutamic</t>
        </is>
      </c>
      <c r="D75" s="4" t="inlineStr">
        <is>
          <t>gam</t>
        </is>
      </c>
      <c r="E75" s="4" t="inlineStr">
        <is>
          <t>hoa_chat</t>
        </is>
      </c>
      <c r="F75" s="4" t="n">
        <v>15.84</v>
      </c>
      <c r="G75" s="4" t="n">
        <v>17.1072</v>
      </c>
      <c r="H75" s="4" t="n">
        <v>1180</v>
      </c>
      <c r="I75" s="4" t="inlineStr"/>
      <c r="J75" s="4" t="inlineStr"/>
      <c r="K75" s="4" t="inlineStr"/>
      <c r="L75" s="4">
        <f>G75*H75</f>
        <v/>
      </c>
      <c r="M75" s="4" t="inlineStr">
        <is>
          <t>Hóa chất phân tích tiêu chuẩn Vimcerts/Vilas</t>
        </is>
      </c>
    </row>
    <row r="76">
      <c r="A76" s="5" t="n">
        <v>72</v>
      </c>
      <c r="B76" s="5" t="inlineStr">
        <is>
          <t>VL_072</t>
        </is>
      </c>
      <c r="C76" s="5" t="inlineStr">
        <is>
          <t>Găng tay chịu nhiệt</t>
        </is>
      </c>
      <c r="D76" s="5" t="inlineStr">
        <is>
          <t>đôi</t>
        </is>
      </c>
      <c r="E76" s="5" t="inlineStr">
        <is>
          <t>thong_dung</t>
        </is>
      </c>
      <c r="F76" s="5" t="n">
        <v>0.36</v>
      </c>
      <c r="G76" s="5" t="n">
        <v>0.3888</v>
      </c>
      <c r="H76" s="5" t="n">
        <v>2450</v>
      </c>
      <c r="I76" s="5" t="inlineStr"/>
      <c r="J76" s="5" t="inlineStr"/>
      <c r="K76" s="5" t="inlineStr"/>
      <c r="L76" s="5">
        <f>G76*H76</f>
        <v/>
      </c>
      <c r="M76" s="5" t="inlineStr">
        <is>
          <t>Hóa chất phân tích tiêu chuẩn Vimcerts/Vilas</t>
        </is>
      </c>
    </row>
    <row r="77">
      <c r="A77" s="4" t="n">
        <v>73</v>
      </c>
      <c r="B77" s="4" t="inlineStr">
        <is>
          <t>VL_073</t>
        </is>
      </c>
      <c r="C77" s="4" t="inlineStr">
        <is>
          <t>H2O2</t>
        </is>
      </c>
      <c r="D77" s="4" t="inlineStr">
        <is>
          <t>gam</t>
        </is>
      </c>
      <c r="E77" s="4" t="inlineStr">
        <is>
          <t>hoa_chat</t>
        </is>
      </c>
      <c r="F77" s="4" t="n">
        <v>0.96</v>
      </c>
      <c r="G77" s="4" t="n">
        <v>1.0368</v>
      </c>
      <c r="H77" s="4" t="n">
        <v>1180</v>
      </c>
      <c r="I77" s="4" t="inlineStr"/>
      <c r="J77" s="4" t="inlineStr"/>
      <c r="K77" s="4" t="inlineStr"/>
      <c r="L77" s="4">
        <f>G77*H77</f>
        <v/>
      </c>
      <c r="M77" s="4" t="inlineStr">
        <is>
          <t>Hóa chất phân tích tiêu chuẩn Vimcerts/Vilas</t>
        </is>
      </c>
    </row>
    <row r="78">
      <c r="A78" s="5" t="n">
        <v>74</v>
      </c>
      <c r="B78" s="5" t="inlineStr">
        <is>
          <t>VL_074</t>
        </is>
      </c>
      <c r="C78" s="5" t="inlineStr">
        <is>
          <t>H2O2</t>
        </is>
      </c>
      <c r="D78" s="5" t="inlineStr">
        <is>
          <t>ml</t>
        </is>
      </c>
      <c r="E78" s="5" t="inlineStr">
        <is>
          <t>hoa_chat</t>
        </is>
      </c>
      <c r="F78" s="5" t="n">
        <v>3480</v>
      </c>
      <c r="G78" s="5" t="n">
        <v>3758.4</v>
      </c>
      <c r="H78" s="5" t="n">
        <v>274</v>
      </c>
      <c r="I78" s="5" t="inlineStr"/>
      <c r="J78" s="5" t="inlineStr"/>
      <c r="K78" s="5" t="inlineStr"/>
      <c r="L78" s="5">
        <f>G78*H78</f>
        <v/>
      </c>
      <c r="M78" s="5" t="inlineStr">
        <is>
          <t>Hóa chất phân tích tiêu chuẩn Vimcerts/Vilas</t>
        </is>
      </c>
    </row>
    <row r="79">
      <c r="A79" s="4" t="n">
        <v>75</v>
      </c>
      <c r="B79" s="4" t="inlineStr">
        <is>
          <t>VL_075</t>
        </is>
      </c>
      <c r="C79" s="4" t="inlineStr">
        <is>
          <t>H2SO4 đậm đặc</t>
        </is>
      </c>
      <c r="D79" s="4" t="inlineStr">
        <is>
          <t>ml</t>
        </is>
      </c>
      <c r="E79" s="4" t="inlineStr">
        <is>
          <t>hoa_chat</t>
        </is>
      </c>
      <c r="F79" s="4" t="n">
        <v>2438.8</v>
      </c>
      <c r="G79" s="4" t="n">
        <v>2633.904</v>
      </c>
      <c r="H79" s="4" t="n">
        <v>314</v>
      </c>
      <c r="I79" s="4" t="inlineStr"/>
      <c r="J79" s="4" t="inlineStr"/>
      <c r="K79" s="4" t="inlineStr"/>
      <c r="L79" s="4">
        <f>G79*H79</f>
        <v/>
      </c>
      <c r="M79" s="4" t="inlineStr">
        <is>
          <t>Hóa chất phân tích tiêu chuẩn Vimcerts/Vilas</t>
        </is>
      </c>
    </row>
    <row r="80">
      <c r="A80" s="5" t="n">
        <v>76</v>
      </c>
      <c r="B80" s="5" t="inlineStr">
        <is>
          <t>VL_076</t>
        </is>
      </c>
      <c r="C80" s="5" t="inlineStr">
        <is>
          <t>H2SO4</t>
        </is>
      </c>
      <c r="D80" s="5" t="inlineStr">
        <is>
          <t>ml</t>
        </is>
      </c>
      <c r="E80" s="5" t="inlineStr">
        <is>
          <t>hoa_chat</t>
        </is>
      </c>
      <c r="F80" s="5" t="n">
        <v>320</v>
      </c>
      <c r="G80" s="5" t="n">
        <v>345.6</v>
      </c>
      <c r="H80" s="5" t="n">
        <v>314</v>
      </c>
      <c r="I80" s="5" t="inlineStr"/>
      <c r="J80" s="5" t="inlineStr"/>
      <c r="K80" s="5" t="inlineStr"/>
      <c r="L80" s="5">
        <f>G80*H80</f>
        <v/>
      </c>
      <c r="M80" s="5" t="inlineStr">
        <is>
          <t>Hóa chất phân tích tiêu chuẩn Vimcerts/Vilas</t>
        </is>
      </c>
    </row>
    <row r="81">
      <c r="A81" s="4" t="n">
        <v>77</v>
      </c>
      <c r="B81" s="4" t="inlineStr">
        <is>
          <t>VL_077</t>
        </is>
      </c>
      <c r="C81" s="4" t="inlineStr">
        <is>
          <t>H3BO3</t>
        </is>
      </c>
      <c r="D81" s="4" t="inlineStr">
        <is>
          <t>gam</t>
        </is>
      </c>
      <c r="E81" s="4" t="inlineStr">
        <is>
          <t>hoa_chat</t>
        </is>
      </c>
      <c r="F81" s="4" t="n">
        <v>4.8</v>
      </c>
      <c r="G81" s="4" t="n">
        <v>5.184</v>
      </c>
      <c r="H81" s="4" t="n">
        <v>1180</v>
      </c>
      <c r="I81" s="4" t="inlineStr"/>
      <c r="J81" s="4" t="inlineStr"/>
      <c r="K81" s="4" t="inlineStr"/>
      <c r="L81" s="4">
        <f>G81*H81</f>
        <v/>
      </c>
      <c r="M81" s="4" t="inlineStr">
        <is>
          <t>Hóa chất phân tích tiêu chuẩn Vimcerts/Vilas</t>
        </is>
      </c>
    </row>
    <row r="82">
      <c r="A82" s="5" t="n">
        <v>78</v>
      </c>
      <c r="B82" s="5" t="inlineStr">
        <is>
          <t>VL_078</t>
        </is>
      </c>
      <c r="C82" s="5" t="inlineStr">
        <is>
          <t>H3PO4</t>
        </is>
      </c>
      <c r="D82" s="5" t="inlineStr">
        <is>
          <t>gam</t>
        </is>
      </c>
      <c r="E82" s="5" t="inlineStr">
        <is>
          <t>hoa_chat</t>
        </is>
      </c>
      <c r="F82" s="5" t="n">
        <v>80</v>
      </c>
      <c r="G82" s="5" t="n">
        <v>86.40000000000001</v>
      </c>
      <c r="H82" s="5" t="n">
        <v>1180</v>
      </c>
      <c r="I82" s="5" t="inlineStr"/>
      <c r="J82" s="5" t="inlineStr"/>
      <c r="K82" s="5" t="inlineStr"/>
      <c r="L82" s="5">
        <f>G82*H82</f>
        <v/>
      </c>
      <c r="M82" s="5" t="inlineStr">
        <is>
          <t>Hóa chất phân tích tiêu chuẩn Vimcerts/Vilas</t>
        </is>
      </c>
    </row>
    <row r="83">
      <c r="A83" s="4" t="n">
        <v>79</v>
      </c>
      <c r="B83" s="4" t="inlineStr">
        <is>
          <t>VL_079</t>
        </is>
      </c>
      <c r="C83" s="4" t="inlineStr">
        <is>
          <t>H3PO4</t>
        </is>
      </c>
      <c r="D83" s="4" t="inlineStr">
        <is>
          <t>ml</t>
        </is>
      </c>
      <c r="E83" s="4" t="inlineStr">
        <is>
          <t>hoa_chat</t>
        </is>
      </c>
      <c r="F83" s="4" t="n">
        <v>116</v>
      </c>
      <c r="G83" s="4" t="n">
        <v>125.28</v>
      </c>
      <c r="H83" s="4" t="n">
        <v>274</v>
      </c>
      <c r="I83" s="4" t="inlineStr"/>
      <c r="J83" s="4" t="inlineStr"/>
      <c r="K83" s="4" t="inlineStr"/>
      <c r="L83" s="4">
        <f>G83*H83</f>
        <v/>
      </c>
      <c r="M83" s="4" t="inlineStr">
        <is>
          <t>Hóa chất phân tích tiêu chuẩn Vimcerts/Vilas</t>
        </is>
      </c>
    </row>
    <row r="84">
      <c r="A84" s="5" t="n">
        <v>80</v>
      </c>
      <c r="B84" s="5" t="inlineStr">
        <is>
          <t>VL_080</t>
        </is>
      </c>
      <c r="C84" s="5" t="inlineStr">
        <is>
          <t>HCl</t>
        </is>
      </c>
      <c r="D84" s="5" t="inlineStr">
        <is>
          <t>ml</t>
        </is>
      </c>
      <c r="E84" s="5" t="inlineStr">
        <is>
          <t>hoa_chat</t>
        </is>
      </c>
      <c r="F84" s="5" t="n">
        <v>987.2</v>
      </c>
      <c r="G84" s="5" t="n">
        <v>1066.176</v>
      </c>
      <c r="H84" s="5" t="n">
        <v>314</v>
      </c>
      <c r="I84" s="5" t="inlineStr"/>
      <c r="J84" s="5" t="inlineStr"/>
      <c r="K84" s="5" t="inlineStr"/>
      <c r="L84" s="5">
        <f>G84*H84</f>
        <v/>
      </c>
      <c r="M84" s="5" t="inlineStr">
        <is>
          <t>Hóa chất phân tích tiêu chuẩn Vimcerts/Vilas</t>
        </is>
      </c>
    </row>
    <row r="85">
      <c r="A85" s="4" t="n">
        <v>81</v>
      </c>
      <c r="B85" s="4" t="inlineStr">
        <is>
          <t>VL_081</t>
        </is>
      </c>
      <c r="C85" s="4" t="inlineStr">
        <is>
          <t>HNO3</t>
        </is>
      </c>
      <c r="D85" s="4" t="inlineStr">
        <is>
          <t>ml</t>
        </is>
      </c>
      <c r="E85" s="4" t="inlineStr">
        <is>
          <t>hoa_chat</t>
        </is>
      </c>
      <c r="F85" s="4" t="n">
        <v>3504</v>
      </c>
      <c r="G85" s="4" t="n">
        <v>3784.32</v>
      </c>
      <c r="H85" s="4" t="n">
        <v>314</v>
      </c>
      <c r="I85" s="4" t="inlineStr"/>
      <c r="J85" s="4" t="inlineStr"/>
      <c r="K85" s="4" t="inlineStr"/>
      <c r="L85" s="4">
        <f>G85*H85</f>
        <v/>
      </c>
      <c r="M85" s="4" t="inlineStr">
        <is>
          <t>Hóa chất phân tích tiêu chuẩn Vimcerts/Vilas</t>
        </is>
      </c>
    </row>
    <row r="86">
      <c r="A86" s="5" t="n">
        <v>82</v>
      </c>
      <c r="B86" s="5" t="inlineStr">
        <is>
          <t>VL_082</t>
        </is>
      </c>
      <c r="C86" s="5" t="inlineStr">
        <is>
          <t>HgCl2</t>
        </is>
      </c>
      <c r="D86" s="5" t="inlineStr">
        <is>
          <t>gam</t>
        </is>
      </c>
      <c r="E86" s="5" t="inlineStr">
        <is>
          <t>hoa_chat</t>
        </is>
      </c>
      <c r="F86" s="5" t="n">
        <v>3.44</v>
      </c>
      <c r="G86" s="5" t="n">
        <v>3.7152</v>
      </c>
      <c r="H86" s="5" t="n">
        <v>1180</v>
      </c>
      <c r="I86" s="5" t="inlineStr"/>
      <c r="J86" s="5" t="inlineStr"/>
      <c r="K86" s="5" t="inlineStr"/>
      <c r="L86" s="5">
        <f>G86*H86</f>
        <v/>
      </c>
      <c r="M86" s="5" t="inlineStr">
        <is>
          <t>Hóa chất phân tích tiêu chuẩn Vimcerts/Vilas</t>
        </is>
      </c>
    </row>
    <row r="87">
      <c r="A87" s="4" t="n">
        <v>83</v>
      </c>
      <c r="B87" s="4" t="inlineStr">
        <is>
          <t>VL_083</t>
        </is>
      </c>
      <c r="C87" s="4" t="inlineStr">
        <is>
          <t>HgCl</t>
        </is>
      </c>
      <c r="D87" s="4" t="inlineStr">
        <is>
          <t>gam</t>
        </is>
      </c>
      <c r="E87" s="4" t="inlineStr">
        <is>
          <t>hoa_chat</t>
        </is>
      </c>
      <c r="F87" s="4" t="n">
        <v>17.4</v>
      </c>
      <c r="G87" s="4" t="n">
        <v>18.792</v>
      </c>
      <c r="H87" s="4" t="n">
        <v>1180</v>
      </c>
      <c r="I87" s="4" t="inlineStr"/>
      <c r="J87" s="4" t="inlineStr"/>
      <c r="K87" s="4" t="inlineStr"/>
      <c r="L87" s="4">
        <f>G87*H87</f>
        <v/>
      </c>
      <c r="M87" s="4" t="inlineStr">
        <is>
          <t>Hóa chất phân tích tiêu chuẩn Vimcerts/Vilas</t>
        </is>
      </c>
    </row>
    <row r="88">
      <c r="A88" s="5" t="n">
        <v>84</v>
      </c>
      <c r="B88" s="5" t="inlineStr">
        <is>
          <t>VL_084</t>
        </is>
      </c>
      <c r="C88" s="5" t="inlineStr">
        <is>
          <t>HgSO4</t>
        </is>
      </c>
      <c r="D88" s="5" t="inlineStr">
        <is>
          <t>gam</t>
        </is>
      </c>
      <c r="E88" s="5" t="inlineStr">
        <is>
          <t>hoa_chat</t>
        </is>
      </c>
      <c r="F88" s="5" t="n">
        <v>8</v>
      </c>
      <c r="G88" s="5" t="n">
        <v>8.640000000000001</v>
      </c>
      <c r="H88" s="5" t="n">
        <v>1180</v>
      </c>
      <c r="I88" s="5" t="inlineStr"/>
      <c r="J88" s="5" t="inlineStr"/>
      <c r="K88" s="5" t="inlineStr"/>
      <c r="L88" s="5">
        <f>G88*H88</f>
        <v/>
      </c>
      <c r="M88" s="5" t="inlineStr">
        <is>
          <t>Hóa chất phân tích tiêu chuẩn Vimcerts/Vilas</t>
        </is>
      </c>
    </row>
    <row r="89">
      <c r="A89" s="4" t="n">
        <v>85</v>
      </c>
      <c r="B89" s="4" t="inlineStr">
        <is>
          <t>VL_085</t>
        </is>
      </c>
      <c r="C89" s="4" t="inlineStr">
        <is>
          <t>Hóa chất bảo quản mẫu</t>
        </is>
      </c>
      <c r="D89" s="4" t="inlineStr">
        <is>
          <t>ml</t>
        </is>
      </c>
      <c r="E89" s="4" t="inlineStr">
        <is>
          <t>hoa_chat</t>
        </is>
      </c>
      <c r="F89" s="4" t="n">
        <v>1886</v>
      </c>
      <c r="G89" s="4" t="n">
        <v>2036.88</v>
      </c>
      <c r="H89" s="4" t="n">
        <v>274</v>
      </c>
      <c r="I89" s="4" t="inlineStr"/>
      <c r="J89" s="4" t="inlineStr"/>
      <c r="K89" s="4" t="inlineStr"/>
      <c r="L89" s="4">
        <f>G89*H89</f>
        <v/>
      </c>
      <c r="M89" s="4" t="inlineStr">
        <is>
          <t>Hóa chất phân tích tiêu chuẩn Vimcerts/Vilas</t>
        </is>
      </c>
    </row>
    <row r="90">
      <c r="A90" s="5" t="n">
        <v>86</v>
      </c>
      <c r="B90" s="5" t="inlineStr">
        <is>
          <t>VL_086</t>
        </is>
      </c>
      <c r="C90" s="5" t="inlineStr">
        <is>
          <t>Hồ tinh bột</t>
        </is>
      </c>
      <c r="D90" s="5" t="inlineStr">
        <is>
          <t>gam</t>
        </is>
      </c>
      <c r="E90" s="5" t="inlineStr">
        <is>
          <t>hoa_chat</t>
        </is>
      </c>
      <c r="F90" s="5" t="n">
        <v>4</v>
      </c>
      <c r="G90" s="5" t="n">
        <v>4.32</v>
      </c>
      <c r="H90" s="5" t="n">
        <v>1180</v>
      </c>
      <c r="I90" s="5" t="inlineStr"/>
      <c r="J90" s="5" t="inlineStr"/>
      <c r="K90" s="5" t="inlineStr"/>
      <c r="L90" s="5">
        <f>G90*H90</f>
        <v/>
      </c>
      <c r="M90" s="5" t="inlineStr">
        <is>
          <t>Hóa chất phân tích tiêu chuẩn Vimcerts/Vilas</t>
        </is>
      </c>
    </row>
    <row r="91">
      <c r="A91" s="4" t="n">
        <v>87</v>
      </c>
      <c r="B91" s="4" t="inlineStr">
        <is>
          <t>VL_087</t>
        </is>
      </c>
      <c r="C91" s="4" t="inlineStr">
        <is>
          <t>Hợp kim Devarda</t>
        </is>
      </c>
      <c r="D91" s="4" t="inlineStr">
        <is>
          <t>gam</t>
        </is>
      </c>
      <c r="E91" s="4" t="inlineStr">
        <is>
          <t>hoa_chat</t>
        </is>
      </c>
      <c r="F91" s="4" t="n">
        <v>4.8</v>
      </c>
      <c r="G91" s="4" t="n">
        <v>5.184</v>
      </c>
      <c r="H91" s="4" t="n">
        <v>1180</v>
      </c>
      <c r="I91" s="4" t="inlineStr"/>
      <c r="J91" s="4" t="inlineStr"/>
      <c r="K91" s="4" t="inlineStr"/>
      <c r="L91" s="4">
        <f>G91*H91</f>
        <v/>
      </c>
      <c r="M91" s="4" t="inlineStr">
        <is>
          <t>Hóa chất phân tích tiêu chuẩn Vimcerts/Vilas</t>
        </is>
      </c>
    </row>
    <row r="92">
      <c r="A92" s="5" t="n">
        <v>88</v>
      </c>
      <c r="B92" s="5" t="inlineStr">
        <is>
          <t>VL_088</t>
        </is>
      </c>
      <c r="C92" s="5" t="inlineStr">
        <is>
          <t>Iốt</t>
        </is>
      </c>
      <c r="D92" s="5" t="inlineStr">
        <is>
          <t>gam</t>
        </is>
      </c>
      <c r="E92" s="5" t="inlineStr">
        <is>
          <t>hoa_chat</t>
        </is>
      </c>
      <c r="F92" s="5" t="n">
        <v>7</v>
      </c>
      <c r="G92" s="5" t="n">
        <v>7.56</v>
      </c>
      <c r="H92" s="5" t="n">
        <v>1180</v>
      </c>
      <c r="I92" s="5" t="inlineStr"/>
      <c r="J92" s="5" t="inlineStr"/>
      <c r="K92" s="5" t="inlineStr"/>
      <c r="L92" s="5">
        <f>G92*H92</f>
        <v/>
      </c>
      <c r="M92" s="5" t="inlineStr">
        <is>
          <t>Hóa chất phân tích tiêu chuẩn Vimcerts/Vilas</t>
        </is>
      </c>
    </row>
    <row r="93">
      <c r="A93" s="4" t="n">
        <v>89</v>
      </c>
      <c r="B93" s="4" t="inlineStr">
        <is>
          <t>VL_089</t>
        </is>
      </c>
      <c r="C93" s="4" t="inlineStr">
        <is>
          <t>K2Cr2O7</t>
        </is>
      </c>
      <c r="D93" s="4" t="inlineStr">
        <is>
          <t>gam</t>
        </is>
      </c>
      <c r="E93" s="4" t="inlineStr">
        <is>
          <t>hoa_chat</t>
        </is>
      </c>
      <c r="F93" s="4" t="n">
        <v>51.96</v>
      </c>
      <c r="G93" s="4" t="n">
        <v>56.1168</v>
      </c>
      <c r="H93" s="4" t="n">
        <v>1180</v>
      </c>
      <c r="I93" s="4" t="inlineStr"/>
      <c r="J93" s="4" t="inlineStr"/>
      <c r="K93" s="4" t="inlineStr"/>
      <c r="L93" s="4">
        <f>G93*H93</f>
        <v/>
      </c>
      <c r="M93" s="4" t="inlineStr">
        <is>
          <t>Hóa chất phân tích tiêu chuẩn Vimcerts/Vilas</t>
        </is>
      </c>
    </row>
    <row r="94">
      <c r="A94" s="5" t="n">
        <v>90</v>
      </c>
      <c r="B94" s="5" t="inlineStr">
        <is>
          <t>VL_090</t>
        </is>
      </c>
      <c r="C94" s="5" t="inlineStr">
        <is>
          <t>K2CrO4</t>
        </is>
      </c>
      <c r="D94" s="5" t="inlineStr">
        <is>
          <t>gam</t>
        </is>
      </c>
      <c r="E94" s="5" t="inlineStr">
        <is>
          <t>hoa_chat</t>
        </is>
      </c>
      <c r="F94" s="5" t="n">
        <v>8</v>
      </c>
      <c r="G94" s="5" t="n">
        <v>8.640000000000001</v>
      </c>
      <c r="H94" s="5" t="n">
        <v>1180</v>
      </c>
      <c r="I94" s="5" t="inlineStr"/>
      <c r="J94" s="5" t="inlineStr"/>
      <c r="K94" s="5" t="inlineStr"/>
      <c r="L94" s="5">
        <f>G94*H94</f>
        <v/>
      </c>
      <c r="M94" s="5" t="inlineStr">
        <is>
          <t>Hóa chất phân tích tiêu chuẩn Vimcerts/Vilas</t>
        </is>
      </c>
    </row>
    <row r="95">
      <c r="A95" s="4" t="n">
        <v>91</v>
      </c>
      <c r="B95" s="4" t="inlineStr">
        <is>
          <t>VL_091</t>
        </is>
      </c>
      <c r="C95" s="4" t="inlineStr">
        <is>
          <t>K2HPO4</t>
        </is>
      </c>
      <c r="D95" s="4" t="inlineStr">
        <is>
          <t>Gram</t>
        </is>
      </c>
      <c r="E95" s="4" t="inlineStr">
        <is>
          <t>hoa_chat</t>
        </is>
      </c>
      <c r="F95" s="4" t="n">
        <v>69.672</v>
      </c>
      <c r="G95" s="4" t="n">
        <v>75.2458</v>
      </c>
      <c r="H95" s="4" t="n">
        <v>1180</v>
      </c>
      <c r="I95" s="4" t="inlineStr"/>
      <c r="J95" s="4" t="inlineStr"/>
      <c r="K95" s="4" t="inlineStr"/>
      <c r="L95" s="4">
        <f>G95*H95</f>
        <v/>
      </c>
      <c r="M95" s="4" t="inlineStr">
        <is>
          <t>Hóa chất phân tích tiêu chuẩn Vimcerts/Vilas</t>
        </is>
      </c>
    </row>
    <row r="96">
      <c r="A96" s="5" t="n">
        <v>92</v>
      </c>
      <c r="B96" s="5" t="inlineStr">
        <is>
          <t>VL_092</t>
        </is>
      </c>
      <c r="C96" s="5" t="inlineStr">
        <is>
          <t>K2HPO4</t>
        </is>
      </c>
      <c r="D96" s="5" t="inlineStr">
        <is>
          <t>gam</t>
        </is>
      </c>
      <c r="E96" s="5" t="inlineStr">
        <is>
          <t>hoa_chat</t>
        </is>
      </c>
      <c r="F96" s="5" t="n">
        <v>0.96</v>
      </c>
      <c r="G96" s="5" t="n">
        <v>1.0368</v>
      </c>
      <c r="H96" s="5" t="n">
        <v>1180</v>
      </c>
      <c r="I96" s="5" t="inlineStr"/>
      <c r="J96" s="5" t="inlineStr"/>
      <c r="K96" s="5" t="inlineStr"/>
      <c r="L96" s="5">
        <f>G96*H96</f>
        <v/>
      </c>
      <c r="M96" s="5" t="inlineStr">
        <is>
          <t>Hóa chất phân tích tiêu chuẩn Vimcerts/Vilas</t>
        </is>
      </c>
    </row>
    <row r="97">
      <c r="A97" s="4" t="n">
        <v>93</v>
      </c>
      <c r="B97" s="4" t="inlineStr">
        <is>
          <t>VL_093</t>
        </is>
      </c>
      <c r="C97" s="4" t="inlineStr">
        <is>
          <t>K2S2O8</t>
        </is>
      </c>
      <c r="D97" s="4" t="inlineStr">
        <is>
          <t>gam</t>
        </is>
      </c>
      <c r="E97" s="4" t="inlineStr">
        <is>
          <t>hoa_chat</t>
        </is>
      </c>
      <c r="F97" s="4" t="n">
        <v>48.8</v>
      </c>
      <c r="G97" s="4" t="n">
        <v>52.704</v>
      </c>
      <c r="H97" s="4" t="n">
        <v>1180</v>
      </c>
      <c r="I97" s="4" t="inlineStr"/>
      <c r="J97" s="4" t="inlineStr"/>
      <c r="K97" s="4" t="inlineStr"/>
      <c r="L97" s="4">
        <f>G97*H97</f>
        <v/>
      </c>
      <c r="M97" s="4" t="inlineStr">
        <is>
          <t>Hóa chất phân tích tiêu chuẩn Vimcerts/Vilas</t>
        </is>
      </c>
    </row>
    <row r="98">
      <c r="A98" s="5" t="n">
        <v>94</v>
      </c>
      <c r="B98" s="5" t="inlineStr">
        <is>
          <t>VL_094</t>
        </is>
      </c>
      <c r="C98" s="5" t="inlineStr">
        <is>
          <t>K2SO4</t>
        </is>
      </c>
      <c r="D98" s="5" t="inlineStr">
        <is>
          <t>gam</t>
        </is>
      </c>
      <c r="E98" s="5" t="inlineStr">
        <is>
          <t>hoa_chat</t>
        </is>
      </c>
      <c r="F98" s="5" t="n">
        <v>48</v>
      </c>
      <c r="G98" s="5" t="n">
        <v>51.84</v>
      </c>
      <c r="H98" s="5" t="n">
        <v>1180</v>
      </c>
      <c r="I98" s="5" t="inlineStr"/>
      <c r="J98" s="5" t="inlineStr"/>
      <c r="K98" s="5" t="inlineStr"/>
      <c r="L98" s="5">
        <f>G98*H98</f>
        <v/>
      </c>
      <c r="M98" s="5" t="inlineStr">
        <is>
          <t>Hóa chất phân tích tiêu chuẩn Vimcerts/Vilas</t>
        </is>
      </c>
    </row>
    <row r="99">
      <c r="A99" s="4" t="n">
        <v>95</v>
      </c>
      <c r="B99" s="4" t="inlineStr">
        <is>
          <t>VL_095</t>
        </is>
      </c>
      <c r="C99" s="4" t="inlineStr">
        <is>
          <t>K4P2O7</t>
        </is>
      </c>
      <c r="D99" s="4" t="inlineStr">
        <is>
          <t>gam</t>
        </is>
      </c>
      <c r="E99" s="4" t="inlineStr">
        <is>
          <t>hoa_chat</t>
        </is>
      </c>
      <c r="F99" s="4" t="n">
        <v>0.4</v>
      </c>
      <c r="G99" s="4" t="n">
        <v>0.432</v>
      </c>
      <c r="H99" s="4" t="n">
        <v>1180</v>
      </c>
      <c r="I99" s="4" t="inlineStr"/>
      <c r="J99" s="4" t="inlineStr"/>
      <c r="K99" s="4" t="inlineStr"/>
      <c r="L99" s="4">
        <f>G99*H99</f>
        <v/>
      </c>
      <c r="M99" s="4" t="inlineStr">
        <is>
          <t>Hóa chất phân tích tiêu chuẩn Vimcerts/Vilas</t>
        </is>
      </c>
    </row>
    <row r="100">
      <c r="A100" s="5" t="n">
        <v>96</v>
      </c>
      <c r="B100" s="5" t="inlineStr">
        <is>
          <t>VL_096</t>
        </is>
      </c>
      <c r="C100" s="5" t="inlineStr">
        <is>
          <t>KCl</t>
        </is>
      </c>
      <c r="D100" s="5" t="inlineStr">
        <is>
          <t>gam</t>
        </is>
      </c>
      <c r="E100" s="5" t="inlineStr">
        <is>
          <t>hoa_chat</t>
        </is>
      </c>
      <c r="F100" s="5" t="n">
        <v>6.72</v>
      </c>
      <c r="G100" s="5" t="n">
        <v>7.2576</v>
      </c>
      <c r="H100" s="5" t="n">
        <v>830</v>
      </c>
      <c r="I100" s="5" t="inlineStr"/>
      <c r="J100" s="5" t="inlineStr"/>
      <c r="K100" s="5" t="inlineStr"/>
      <c r="L100" s="5">
        <f>G100*H100</f>
        <v/>
      </c>
      <c r="M100" s="5" t="inlineStr">
        <is>
          <t>Hóa chất phân tích tiêu chuẩn Vimcerts/Vilas</t>
        </is>
      </c>
    </row>
    <row r="101">
      <c r="A101" s="4" t="n">
        <v>97</v>
      </c>
      <c r="B101" s="4" t="inlineStr">
        <is>
          <t>VL_097</t>
        </is>
      </c>
      <c r="C101" s="4" t="inlineStr">
        <is>
          <t>KH2PO4</t>
        </is>
      </c>
      <c r="D101" s="4" t="inlineStr">
        <is>
          <t>Gram</t>
        </is>
      </c>
      <c r="E101" s="4" t="inlineStr">
        <is>
          <t>hoa_chat</t>
        </is>
      </c>
      <c r="F101" s="4" t="n">
        <v>54.432</v>
      </c>
      <c r="G101" s="4" t="n">
        <v>58.7866</v>
      </c>
      <c r="H101" s="4" t="n">
        <v>1180</v>
      </c>
      <c r="I101" s="4" t="inlineStr"/>
      <c r="J101" s="4" t="inlineStr"/>
      <c r="K101" s="4" t="inlineStr"/>
      <c r="L101" s="4">
        <f>G101*H101</f>
        <v/>
      </c>
      <c r="M101" s="4" t="inlineStr">
        <is>
          <t>Hóa chất phân tích tiêu chuẩn Vimcerts/Vilas</t>
        </is>
      </c>
    </row>
    <row r="102">
      <c r="A102" s="5" t="n">
        <v>98</v>
      </c>
      <c r="B102" s="5" t="inlineStr">
        <is>
          <t>VL_098</t>
        </is>
      </c>
      <c r="C102" s="5" t="inlineStr">
        <is>
          <t>KH2PO4</t>
        </is>
      </c>
      <c r="D102" s="5" t="inlineStr">
        <is>
          <t>gam</t>
        </is>
      </c>
      <c r="E102" s="5" t="inlineStr">
        <is>
          <t>hoa_chat</t>
        </is>
      </c>
      <c r="F102" s="5" t="n">
        <v>0.48</v>
      </c>
      <c r="G102" s="5" t="n">
        <v>0.5184</v>
      </c>
      <c r="H102" s="5" t="n">
        <v>1180</v>
      </c>
      <c r="I102" s="5" t="inlineStr"/>
      <c r="J102" s="5" t="inlineStr"/>
      <c r="K102" s="5" t="inlineStr"/>
      <c r="L102" s="5">
        <f>G102*H102</f>
        <v/>
      </c>
      <c r="M102" s="5" t="inlineStr">
        <is>
          <t>Hóa chất phân tích tiêu chuẩn Vimcerts/Vilas</t>
        </is>
      </c>
    </row>
    <row r="103">
      <c r="A103" s="4" t="n">
        <v>99</v>
      </c>
      <c r="B103" s="4" t="inlineStr">
        <is>
          <t>VL_099</t>
        </is>
      </c>
      <c r="C103" s="4" t="inlineStr">
        <is>
          <t>KIO3</t>
        </is>
      </c>
      <c r="D103" s="4" t="inlineStr">
        <is>
          <t>gam</t>
        </is>
      </c>
      <c r="E103" s="4" t="inlineStr">
        <is>
          <t>hoa_chat</t>
        </is>
      </c>
      <c r="F103" s="4" t="n">
        <v>9.6</v>
      </c>
      <c r="G103" s="4" t="n">
        <v>10.368</v>
      </c>
      <c r="H103" s="4" t="n">
        <v>1180</v>
      </c>
      <c r="I103" s="4" t="inlineStr"/>
      <c r="J103" s="4" t="inlineStr"/>
      <c r="K103" s="4" t="inlineStr"/>
      <c r="L103" s="4">
        <f>G103*H103</f>
        <v/>
      </c>
      <c r="M103" s="4" t="inlineStr">
        <is>
          <t>Hóa chất phân tích tiêu chuẩn Vimcerts/Vilas</t>
        </is>
      </c>
    </row>
    <row r="104">
      <c r="A104" s="5" t="n">
        <v>100</v>
      </c>
      <c r="B104" s="5" t="inlineStr">
        <is>
          <t>VL_100</t>
        </is>
      </c>
      <c r="C104" s="5" t="inlineStr">
        <is>
          <t>KI</t>
        </is>
      </c>
      <c r="D104" s="5" t="inlineStr">
        <is>
          <t>gam</t>
        </is>
      </c>
      <c r="E104" s="5" t="inlineStr">
        <is>
          <t>hoa_chat</t>
        </is>
      </c>
      <c r="F104" s="5" t="n">
        <v>78.40000000000001</v>
      </c>
      <c r="G104" s="5" t="n">
        <v>84.672</v>
      </c>
      <c r="H104" s="5" t="n">
        <v>1180</v>
      </c>
      <c r="I104" s="5" t="inlineStr"/>
      <c r="J104" s="5" t="inlineStr"/>
      <c r="K104" s="5" t="inlineStr"/>
      <c r="L104" s="5">
        <f>G104*H104</f>
        <v/>
      </c>
      <c r="M104" s="5" t="inlineStr">
        <is>
          <t>Hóa chất phân tích tiêu chuẩn Vimcerts/Vilas</t>
        </is>
      </c>
    </row>
    <row r="105">
      <c r="A105" s="4" t="n">
        <v>101</v>
      </c>
      <c r="B105" s="4" t="inlineStr">
        <is>
          <t>VL_101</t>
        </is>
      </c>
      <c r="C105" s="4" t="inlineStr">
        <is>
          <t>KMnO4</t>
        </is>
      </c>
      <c r="D105" s="4" t="inlineStr">
        <is>
          <t>gam</t>
        </is>
      </c>
      <c r="E105" s="4" t="inlineStr">
        <is>
          <t>hoa_chat</t>
        </is>
      </c>
      <c r="F105" s="4" t="n">
        <v>80</v>
      </c>
      <c r="G105" s="4" t="n">
        <v>86.40000000000001</v>
      </c>
      <c r="H105" s="4" t="n">
        <v>1180</v>
      </c>
      <c r="I105" s="4" t="inlineStr"/>
      <c r="J105" s="4" t="inlineStr"/>
      <c r="K105" s="4" t="inlineStr"/>
      <c r="L105" s="4">
        <f>G105*H105</f>
        <v/>
      </c>
      <c r="M105" s="4" t="inlineStr">
        <is>
          <t>Hóa chất phân tích tiêu chuẩn Vimcerts/Vilas</t>
        </is>
      </c>
    </row>
    <row r="106">
      <c r="A106" s="5" t="n">
        <v>102</v>
      </c>
      <c r="B106" s="5" t="inlineStr">
        <is>
          <t>VL_102</t>
        </is>
      </c>
      <c r="C106" s="5" t="inlineStr">
        <is>
          <t>Kali antimontatrat</t>
        </is>
      </c>
      <c r="D106" s="5" t="inlineStr">
        <is>
          <t>gam</t>
        </is>
      </c>
      <c r="E106" s="5" t="inlineStr">
        <is>
          <t>hoa_chat</t>
        </is>
      </c>
      <c r="F106" s="5" t="n">
        <v>1.6</v>
      </c>
      <c r="G106" s="5" t="n">
        <v>1.728</v>
      </c>
      <c r="H106" s="5" t="n">
        <v>1180</v>
      </c>
      <c r="I106" s="5" t="inlineStr"/>
      <c r="J106" s="5" t="inlineStr"/>
      <c r="K106" s="5" t="inlineStr"/>
      <c r="L106" s="5">
        <f>G106*H106</f>
        <v/>
      </c>
      <c r="M106" s="5" t="inlineStr">
        <is>
          <t>Hóa chất phân tích tiêu chuẩn Vimcerts/Vilas</t>
        </is>
      </c>
    </row>
    <row r="107">
      <c r="A107" s="4" t="n">
        <v>103</v>
      </c>
      <c r="B107" s="4" t="inlineStr">
        <is>
          <t>VL_103</t>
        </is>
      </c>
      <c r="C107" s="4" t="inlineStr">
        <is>
          <t>Kaliphatalat</t>
        </is>
      </c>
      <c r="D107" s="4" t="inlineStr">
        <is>
          <t>gam</t>
        </is>
      </c>
      <c r="E107" s="4" t="inlineStr">
        <is>
          <t>hoa_chat</t>
        </is>
      </c>
      <c r="F107" s="4" t="n">
        <v>12</v>
      </c>
      <c r="G107" s="4" t="n">
        <v>12.96</v>
      </c>
      <c r="H107" s="4" t="n">
        <v>1180</v>
      </c>
      <c r="I107" s="4" t="inlineStr"/>
      <c r="J107" s="4" t="inlineStr"/>
      <c r="K107" s="4" t="inlineStr"/>
      <c r="L107" s="4">
        <f>G107*H107</f>
        <v/>
      </c>
      <c r="M107" s="4" t="inlineStr">
        <is>
          <t>Hóa chất phân tích tiêu chuẩn Vimcerts/Vilas</t>
        </is>
      </c>
    </row>
    <row r="108">
      <c r="A108" s="5" t="n">
        <v>104</v>
      </c>
      <c r="B108" s="5" t="inlineStr">
        <is>
          <t>VL_104</t>
        </is>
      </c>
      <c r="C108" s="5" t="inlineStr">
        <is>
          <t>Khí Heli</t>
        </is>
      </c>
      <c r="D108" s="5" t="inlineStr">
        <is>
          <t>bình</t>
        </is>
      </c>
      <c r="E108" s="5" t="inlineStr">
        <is>
          <t>thong_dung</t>
        </is>
      </c>
      <c r="F108" s="5" t="n">
        <v>0.1</v>
      </c>
      <c r="G108" s="5" t="n">
        <v>0.108</v>
      </c>
      <c r="H108" s="5" t="n">
        <v>14700</v>
      </c>
      <c r="I108" s="5" t="inlineStr"/>
      <c r="J108" s="5" t="inlineStr"/>
      <c r="K108" s="5" t="inlineStr"/>
      <c r="L108" s="5">
        <f>G108*H108</f>
        <v/>
      </c>
      <c r="M108" s="5" t="inlineStr">
        <is>
          <t>Hóa chất phân tích tiêu chuẩn Vimcerts/Vilas</t>
        </is>
      </c>
    </row>
    <row r="109">
      <c r="A109" s="4" t="n">
        <v>105</v>
      </c>
      <c r="B109" s="4" t="inlineStr">
        <is>
          <t>VL_105</t>
        </is>
      </c>
      <c r="C109" s="4" t="inlineStr">
        <is>
          <t>Khí Hydro</t>
        </is>
      </c>
      <c r="D109" s="4" t="inlineStr">
        <is>
          <t>bình</t>
        </is>
      </c>
      <c r="E109" s="4" t="inlineStr">
        <is>
          <t>thong_dung</t>
        </is>
      </c>
      <c r="F109" s="4" t="n">
        <v>0.1</v>
      </c>
      <c r="G109" s="4" t="n">
        <v>0.108</v>
      </c>
      <c r="H109" s="4" t="n">
        <v>14700</v>
      </c>
      <c r="I109" s="4" t="inlineStr"/>
      <c r="J109" s="4" t="inlineStr"/>
      <c r="K109" s="4" t="inlineStr"/>
      <c r="L109" s="4">
        <f>G109*H109</f>
        <v/>
      </c>
      <c r="M109" s="4" t="inlineStr">
        <is>
          <t>Hóa chất phân tích tiêu chuẩn Vimcerts/Vilas</t>
        </is>
      </c>
    </row>
    <row r="110">
      <c r="A110" s="5" t="n">
        <v>106</v>
      </c>
      <c r="B110" s="5" t="inlineStr">
        <is>
          <t>VL_106</t>
        </is>
      </c>
      <c r="C110" s="5" t="inlineStr">
        <is>
          <t>Khí Nitơ</t>
        </is>
      </c>
      <c r="D110" s="5" t="inlineStr">
        <is>
          <t>bình</t>
        </is>
      </c>
      <c r="E110" s="5" t="inlineStr">
        <is>
          <t>thong_dung</t>
        </is>
      </c>
      <c r="F110" s="5" t="n">
        <v>0.1</v>
      </c>
      <c r="G110" s="5" t="n">
        <v>0.108</v>
      </c>
      <c r="H110" s="5" t="n">
        <v>14700</v>
      </c>
      <c r="I110" s="5" t="inlineStr"/>
      <c r="J110" s="5" t="inlineStr"/>
      <c r="K110" s="5" t="inlineStr"/>
      <c r="L110" s="5">
        <f>G110*H110</f>
        <v/>
      </c>
      <c r="M110" s="5" t="inlineStr">
        <is>
          <t>Hóa chất phân tích tiêu chuẩn Vimcerts/Vilas</t>
        </is>
      </c>
    </row>
    <row r="111">
      <c r="A111" s="4" t="n">
        <v>107</v>
      </c>
      <c r="B111" s="4" t="inlineStr">
        <is>
          <t>VL_107</t>
        </is>
      </c>
      <c r="C111" s="4" t="inlineStr">
        <is>
          <t>Khí argon</t>
        </is>
      </c>
      <c r="D111" s="4" t="inlineStr">
        <is>
          <t>bình</t>
        </is>
      </c>
      <c r="E111" s="4" t="inlineStr">
        <is>
          <t>thong_dung</t>
        </is>
      </c>
      <c r="F111" s="4" t="n">
        <v>0.696</v>
      </c>
      <c r="G111" s="4" t="n">
        <v>0.7517</v>
      </c>
      <c r="H111" s="4" t="n">
        <v>14700</v>
      </c>
      <c r="I111" s="4" t="inlineStr"/>
      <c r="J111" s="4" t="inlineStr"/>
      <c r="K111" s="4" t="inlineStr"/>
      <c r="L111" s="4">
        <f>G111*H111</f>
        <v/>
      </c>
      <c r="M111" s="4" t="inlineStr">
        <is>
          <t>Hóa chất phân tích tiêu chuẩn Vimcerts/Vilas</t>
        </is>
      </c>
    </row>
    <row r="112">
      <c r="A112" s="5" t="n">
        <v>108</v>
      </c>
      <c r="B112" s="5" t="inlineStr">
        <is>
          <t>VL_108</t>
        </is>
      </c>
      <c r="C112" s="5" t="inlineStr">
        <is>
          <t>Khí axetylen</t>
        </is>
      </c>
      <c r="D112" s="5" t="inlineStr">
        <is>
          <t>bình</t>
        </is>
      </c>
      <c r="E112" s="5" t="inlineStr">
        <is>
          <t>thong_dung</t>
        </is>
      </c>
      <c r="F112" s="5" t="n">
        <v>0.496</v>
      </c>
      <c r="G112" s="5" t="n">
        <v>0.5357</v>
      </c>
      <c r="H112" s="5" t="n">
        <v>14700</v>
      </c>
      <c r="I112" s="5" t="inlineStr"/>
      <c r="J112" s="5" t="inlineStr"/>
      <c r="K112" s="5" t="inlineStr"/>
      <c r="L112" s="5">
        <f>G112*H112</f>
        <v/>
      </c>
      <c r="M112" s="5" t="inlineStr">
        <is>
          <t>Hóa chất phân tích tiêu chuẩn Vimcerts/Vilas</t>
        </is>
      </c>
    </row>
    <row r="113">
      <c r="A113" s="4" t="n">
        <v>109</v>
      </c>
      <c r="B113" s="4" t="inlineStr">
        <is>
          <t>VL_109</t>
        </is>
      </c>
      <c r="C113" s="4" t="inlineStr">
        <is>
          <t>Khí chuẩn CO</t>
        </is>
      </c>
      <c r="D113" s="4" t="inlineStr">
        <is>
          <t>bình</t>
        </is>
      </c>
      <c r="E113" s="4" t="inlineStr">
        <is>
          <t>chuan</t>
        </is>
      </c>
      <c r="F113" s="4" t="n">
        <v>0.144</v>
      </c>
      <c r="G113" s="4" t="n">
        <v>0.1555</v>
      </c>
      <c r="H113" s="4" t="n">
        <v>441000</v>
      </c>
      <c r="I113" s="4" t="inlineStr"/>
      <c r="J113" s="4" t="inlineStr"/>
      <c r="K113" s="4" t="inlineStr"/>
      <c r="L113" s="4">
        <f>G113*H113</f>
        <v/>
      </c>
      <c r="M113" s="4" t="inlineStr">
        <is>
          <t>Hóa chất phân tích tiêu chuẩn Vimcerts/Vilas</t>
        </is>
      </c>
    </row>
    <row r="114">
      <c r="A114" s="5" t="n">
        <v>110</v>
      </c>
      <c r="B114" s="5" t="inlineStr">
        <is>
          <t>VL_110</t>
        </is>
      </c>
      <c r="C114" s="5" t="inlineStr">
        <is>
          <t>Khí chuẩn Metan</t>
        </is>
      </c>
      <c r="D114" s="5" t="inlineStr">
        <is>
          <t>bình</t>
        </is>
      </c>
      <c r="E114" s="5" t="inlineStr">
        <is>
          <t>chuan</t>
        </is>
      </c>
      <c r="F114" s="5" t="n">
        <v>0.1</v>
      </c>
      <c r="G114" s="5" t="n">
        <v>0.108</v>
      </c>
      <c r="H114" s="5" t="n">
        <v>441000</v>
      </c>
      <c r="I114" s="5" t="inlineStr"/>
      <c r="J114" s="5" t="inlineStr"/>
      <c r="K114" s="5" t="inlineStr"/>
      <c r="L114" s="5">
        <f>G114*H114</f>
        <v/>
      </c>
      <c r="M114" s="5" t="inlineStr">
        <is>
          <t>Hóa chất phân tích tiêu chuẩn Vimcerts/Vilas</t>
        </is>
      </c>
    </row>
    <row r="115">
      <c r="A115" s="4" t="n">
        <v>111</v>
      </c>
      <c r="B115" s="4" t="inlineStr">
        <is>
          <t>VL_111</t>
        </is>
      </c>
      <c r="C115" s="4" t="inlineStr">
        <is>
          <t>Khí chuẩn NO</t>
        </is>
      </c>
      <c r="D115" s="4" t="inlineStr">
        <is>
          <t>bình</t>
        </is>
      </c>
      <c r="E115" s="4" t="inlineStr">
        <is>
          <t>chuan</t>
        </is>
      </c>
      <c r="F115" s="4" t="n">
        <v>0.132</v>
      </c>
      <c r="G115" s="4" t="n">
        <v>0.1426</v>
      </c>
      <c r="H115" s="4" t="n">
        <v>441000</v>
      </c>
      <c r="I115" s="4" t="inlineStr"/>
      <c r="J115" s="4" t="inlineStr"/>
      <c r="K115" s="4" t="inlineStr"/>
      <c r="L115" s="4">
        <f>G115*H115</f>
        <v/>
      </c>
      <c r="M115" s="4" t="inlineStr">
        <is>
          <t>Hóa chất phân tích tiêu chuẩn Vimcerts/Vilas</t>
        </is>
      </c>
    </row>
    <row r="116">
      <c r="A116" s="5" t="n">
        <v>112</v>
      </c>
      <c r="B116" s="5" t="inlineStr">
        <is>
          <t>VL_112</t>
        </is>
      </c>
      <c r="C116" s="5" t="inlineStr">
        <is>
          <t>Khí chuẩn O2</t>
        </is>
      </c>
      <c r="D116" s="5" t="inlineStr">
        <is>
          <t>bình</t>
        </is>
      </c>
      <c r="E116" s="5" t="inlineStr">
        <is>
          <t>chuan</t>
        </is>
      </c>
      <c r="F116" s="5" t="n">
        <v>0.144</v>
      </c>
      <c r="G116" s="5" t="n">
        <v>0.1555</v>
      </c>
      <c r="H116" s="5" t="n">
        <v>441000</v>
      </c>
      <c r="I116" s="5" t="inlineStr"/>
      <c r="J116" s="5" t="inlineStr"/>
      <c r="K116" s="5" t="inlineStr"/>
      <c r="L116" s="5">
        <f>G116*H116</f>
        <v/>
      </c>
      <c r="M116" s="5" t="inlineStr">
        <is>
          <t>Hóa chất phân tích tiêu chuẩn Vimcerts/Vilas</t>
        </is>
      </c>
    </row>
    <row r="117">
      <c r="A117" s="4" t="n">
        <v>113</v>
      </c>
      <c r="B117" s="4" t="inlineStr">
        <is>
          <t>VL_113</t>
        </is>
      </c>
      <c r="C117" s="4" t="inlineStr">
        <is>
          <t>Khí chuẩn SO2</t>
        </is>
      </c>
      <c r="D117" s="4" t="inlineStr">
        <is>
          <t>bình</t>
        </is>
      </c>
      <c r="E117" s="4" t="inlineStr">
        <is>
          <t>chuan</t>
        </is>
      </c>
      <c r="F117" s="4" t="n">
        <v>0.144</v>
      </c>
      <c r="G117" s="4" t="n">
        <v>0.1555</v>
      </c>
      <c r="H117" s="4" t="n">
        <v>441000</v>
      </c>
      <c r="I117" s="4" t="inlineStr"/>
      <c r="J117" s="4" t="inlineStr"/>
      <c r="K117" s="4" t="inlineStr"/>
      <c r="L117" s="4">
        <f>G117*H117</f>
        <v/>
      </c>
      <c r="M117" s="4" t="inlineStr">
        <is>
          <t>Hóa chất phân tích tiêu chuẩn Vimcerts/Vilas</t>
        </is>
      </c>
    </row>
    <row r="118">
      <c r="A118" s="5" t="n">
        <v>114</v>
      </c>
      <c r="B118" s="5" t="inlineStr">
        <is>
          <t>VL_114</t>
        </is>
      </c>
      <c r="C118" s="5" t="inlineStr">
        <is>
          <t>Khẩu trang y tế</t>
        </is>
      </c>
      <c r="D118" s="5" t="inlineStr">
        <is>
          <t>cái</t>
        </is>
      </c>
      <c r="E118" s="5" t="inlineStr">
        <is>
          <t>thong_dung</t>
        </is>
      </c>
      <c r="F118" s="5" t="n">
        <v>0.6</v>
      </c>
      <c r="G118" s="5" t="n">
        <v>0.648</v>
      </c>
      <c r="H118" s="5" t="n">
        <v>2450</v>
      </c>
      <c r="I118" s="5" t="inlineStr"/>
      <c r="J118" s="5" t="inlineStr"/>
      <c r="K118" s="5" t="inlineStr"/>
      <c r="L118" s="5">
        <f>G118*H118</f>
        <v/>
      </c>
      <c r="M118" s="5" t="inlineStr">
        <is>
          <t>Hóa chất phân tích tiêu chuẩn Vimcerts/Vilas</t>
        </is>
      </c>
    </row>
    <row r="119">
      <c r="A119" s="4" t="n">
        <v>115</v>
      </c>
      <c r="B119" s="4" t="inlineStr">
        <is>
          <t>VL_115</t>
        </is>
      </c>
      <c r="C119" s="4" t="inlineStr">
        <is>
          <t>MgCl2</t>
        </is>
      </c>
      <c r="D119" s="4" t="inlineStr">
        <is>
          <t>Gram</t>
        </is>
      </c>
      <c r="E119" s="4" t="inlineStr">
        <is>
          <t>hoa_chat</t>
        </is>
      </c>
      <c r="F119" s="4" t="n">
        <v>370.4</v>
      </c>
      <c r="G119" s="4" t="n">
        <v>400.032</v>
      </c>
      <c r="H119" s="4" t="n">
        <v>1180</v>
      </c>
      <c r="I119" s="4" t="inlineStr"/>
      <c r="J119" s="4" t="inlineStr"/>
      <c r="K119" s="4" t="inlineStr"/>
      <c r="L119" s="4">
        <f>G119*H119</f>
        <v/>
      </c>
      <c r="M119" s="4" t="inlineStr">
        <is>
          <t>Hóa chất phân tích tiêu chuẩn Vimcerts/Vilas</t>
        </is>
      </c>
    </row>
    <row r="120">
      <c r="A120" s="5" t="n">
        <v>116</v>
      </c>
      <c r="B120" s="5" t="inlineStr">
        <is>
          <t>VL_116</t>
        </is>
      </c>
      <c r="C120" s="5" t="inlineStr">
        <is>
          <t>MgSO4.7H2O</t>
        </is>
      </c>
      <c r="D120" s="5" t="inlineStr">
        <is>
          <t>gam</t>
        </is>
      </c>
      <c r="E120" s="5" t="inlineStr">
        <is>
          <t>hoa_chat</t>
        </is>
      </c>
      <c r="F120" s="5" t="n">
        <v>1.44</v>
      </c>
      <c r="G120" s="5" t="n">
        <v>1.5552</v>
      </c>
      <c r="H120" s="5" t="n">
        <v>1180</v>
      </c>
      <c r="I120" s="5" t="inlineStr"/>
      <c r="J120" s="5" t="inlineStr"/>
      <c r="K120" s="5" t="inlineStr"/>
      <c r="L120" s="5">
        <f>G120*H120</f>
        <v/>
      </c>
      <c r="M120" s="5" t="inlineStr">
        <is>
          <t>Hóa chất phân tích tiêu chuẩn Vimcerts/Vilas</t>
        </is>
      </c>
    </row>
    <row r="121">
      <c r="A121" s="4" t="n">
        <v>117</v>
      </c>
      <c r="B121" s="4" t="inlineStr">
        <is>
          <t>VL_117</t>
        </is>
      </c>
      <c r="C121" s="4" t="inlineStr">
        <is>
          <t>Màng lọc bụi</t>
        </is>
      </c>
      <c r="D121" s="4" t="inlineStr">
        <is>
          <t>cái</t>
        </is>
      </c>
      <c r="E121" s="4" t="inlineStr">
        <is>
          <t>vat_tu_tieu_hao</t>
        </is>
      </c>
      <c r="F121" s="4" t="n">
        <v>0.2</v>
      </c>
      <c r="G121" s="4" t="n">
        <v>0.216</v>
      </c>
      <c r="H121" s="4" t="n">
        <v>8330</v>
      </c>
      <c r="I121" s="4" t="inlineStr"/>
      <c r="J121" s="4" t="inlineStr"/>
      <c r="K121" s="4" t="inlineStr"/>
      <c r="L121" s="4">
        <f>G121*H121</f>
        <v/>
      </c>
      <c r="M121" s="4" t="inlineStr">
        <is>
          <t>Hóa chất phân tích tiêu chuẩn Vimcerts/Vilas</t>
        </is>
      </c>
    </row>
    <row r="122">
      <c r="A122" s="5" t="n">
        <v>118</v>
      </c>
      <c r="B122" s="5" t="inlineStr">
        <is>
          <t>VL_118</t>
        </is>
      </c>
      <c r="C122" s="5" t="inlineStr">
        <is>
          <t>Mực máy in</t>
        </is>
      </c>
      <c r="D122" s="5" t="inlineStr">
        <is>
          <t>hộp</t>
        </is>
      </c>
      <c r="E122" s="5" t="inlineStr">
        <is>
          <t>thong_dung</t>
        </is>
      </c>
      <c r="F122" s="5" t="n">
        <v>1.24</v>
      </c>
      <c r="G122" s="5" t="n">
        <v>1.3392</v>
      </c>
      <c r="H122" s="5" t="n">
        <v>14700</v>
      </c>
      <c r="I122" s="5" t="inlineStr"/>
      <c r="J122" s="5" t="inlineStr"/>
      <c r="K122" s="5" t="inlineStr"/>
      <c r="L122" s="5">
        <f>G122*H122</f>
        <v/>
      </c>
      <c r="M122" s="5" t="inlineStr">
        <is>
          <t>Hóa chất phân tích tiêu chuẩn Vimcerts/Vilas</t>
        </is>
      </c>
    </row>
    <row r="123">
      <c r="A123" s="4" t="n">
        <v>119</v>
      </c>
      <c r="B123" s="4" t="inlineStr">
        <is>
          <t>VL_119</t>
        </is>
      </c>
      <c r="C123" s="4" t="inlineStr">
        <is>
          <t>N,N-dimethyl-pphenylenediamineoxalate</t>
        </is>
      </c>
      <c r="D123" s="4" t="inlineStr">
        <is>
          <t>gam</t>
        </is>
      </c>
      <c r="E123" s="4" t="inlineStr">
        <is>
          <t>hoa_chat</t>
        </is>
      </c>
      <c r="F123" s="4" t="n">
        <v>0.48</v>
      </c>
      <c r="G123" s="4" t="n">
        <v>0.5184</v>
      </c>
      <c r="H123" s="4" t="n">
        <v>1180</v>
      </c>
      <c r="I123" s="4" t="inlineStr"/>
      <c r="J123" s="4" t="inlineStr"/>
      <c r="K123" s="4" t="inlineStr"/>
      <c r="L123" s="4">
        <f>G123*H123</f>
        <v/>
      </c>
      <c r="M123" s="4" t="inlineStr">
        <is>
          <t>Hóa chất phân tích tiêu chuẩn Vimcerts/Vilas</t>
        </is>
      </c>
    </row>
    <row r="124">
      <c r="A124" s="5" t="n">
        <v>120</v>
      </c>
      <c r="B124" s="5" t="inlineStr">
        <is>
          <t>VL_120</t>
        </is>
      </c>
      <c r="C124" s="5" t="inlineStr">
        <is>
          <t>N-(1-naphyl)-ethyllediamine</t>
        </is>
      </c>
      <c r="D124" s="5" t="inlineStr">
        <is>
          <t>gam</t>
        </is>
      </c>
      <c r="E124" s="5" t="inlineStr">
        <is>
          <t>hoa_chat</t>
        </is>
      </c>
      <c r="F124" s="5" t="n">
        <v>12.2</v>
      </c>
      <c r="G124" s="5" t="n">
        <v>13.176</v>
      </c>
      <c r="H124" s="5" t="n">
        <v>1180</v>
      </c>
      <c r="I124" s="5" t="inlineStr"/>
      <c r="J124" s="5" t="inlineStr"/>
      <c r="K124" s="5" t="inlineStr"/>
      <c r="L124" s="5">
        <f>G124*H124</f>
        <v/>
      </c>
      <c r="M124" s="5" t="inlineStr">
        <is>
          <t>Hóa chất phân tích tiêu chuẩn Vimcerts/Vilas</t>
        </is>
      </c>
    </row>
    <row r="125">
      <c r="A125" s="4" t="n">
        <v>121</v>
      </c>
      <c r="B125" s="4" t="inlineStr">
        <is>
          <t>VL_121</t>
        </is>
      </c>
      <c r="C125" s="4" t="inlineStr">
        <is>
          <t>NH3</t>
        </is>
      </c>
      <c r="D125" s="4" t="inlineStr">
        <is>
          <t>ml</t>
        </is>
      </c>
      <c r="E125" s="4" t="inlineStr">
        <is>
          <t>hoa_chat</t>
        </is>
      </c>
      <c r="F125" s="4" t="n">
        <v>44</v>
      </c>
      <c r="G125" s="4" t="n">
        <v>47.52</v>
      </c>
      <c r="H125" s="4" t="n">
        <v>274</v>
      </c>
      <c r="I125" s="4" t="inlineStr"/>
      <c r="J125" s="4" t="inlineStr"/>
      <c r="K125" s="4" t="inlineStr"/>
      <c r="L125" s="4">
        <f>G125*H125</f>
        <v/>
      </c>
      <c r="M125" s="4" t="inlineStr">
        <is>
          <t>Hóa chất phân tích tiêu chuẩn Vimcerts/Vilas</t>
        </is>
      </c>
    </row>
    <row r="126">
      <c r="A126" s="5" t="n">
        <v>122</v>
      </c>
      <c r="B126" s="5" t="inlineStr">
        <is>
          <t>VL_122</t>
        </is>
      </c>
      <c r="C126" s="5" t="inlineStr">
        <is>
          <t>NH4Cl</t>
        </is>
      </c>
      <c r="D126" s="5" t="inlineStr">
        <is>
          <t>gam</t>
        </is>
      </c>
      <c r="E126" s="5" t="inlineStr">
        <is>
          <t>hoa_chat</t>
        </is>
      </c>
      <c r="F126" s="5" t="n">
        <v>0.72</v>
      </c>
      <c r="G126" s="5" t="n">
        <v>0.7776</v>
      </c>
      <c r="H126" s="5" t="n">
        <v>1180</v>
      </c>
      <c r="I126" s="5" t="inlineStr"/>
      <c r="J126" s="5" t="inlineStr"/>
      <c r="K126" s="5" t="inlineStr"/>
      <c r="L126" s="5">
        <f>G126*H126</f>
        <v/>
      </c>
      <c r="M126" s="5" t="inlineStr">
        <is>
          <t>Hóa chất phân tích tiêu chuẩn Vimcerts/Vilas</t>
        </is>
      </c>
    </row>
    <row r="127">
      <c r="A127" s="4" t="n">
        <v>123</v>
      </c>
      <c r="B127" s="4" t="inlineStr">
        <is>
          <t>VL_123</t>
        </is>
      </c>
      <c r="C127" s="4" t="inlineStr">
        <is>
          <t>NH4NO3</t>
        </is>
      </c>
      <c r="D127" s="4" t="inlineStr">
        <is>
          <t>gam</t>
        </is>
      </c>
      <c r="E127" s="4" t="inlineStr">
        <is>
          <t>hoa_chat</t>
        </is>
      </c>
      <c r="F127" s="4" t="n">
        <v>1000</v>
      </c>
      <c r="G127" s="4" t="n">
        <v>1080</v>
      </c>
      <c r="H127" s="4" t="n">
        <v>1180</v>
      </c>
      <c r="I127" s="4" t="inlineStr"/>
      <c r="J127" s="4" t="inlineStr"/>
      <c r="K127" s="4" t="inlineStr"/>
      <c r="L127" s="4">
        <f>G127*H127</f>
        <v/>
      </c>
      <c r="M127" s="4" t="inlineStr">
        <is>
          <t>Hóa chất phân tích tiêu chuẩn Vimcerts/Vilas</t>
        </is>
      </c>
    </row>
    <row r="128">
      <c r="A128" s="5" t="n">
        <v>124</v>
      </c>
      <c r="B128" s="5" t="inlineStr">
        <is>
          <t>VL_124</t>
        </is>
      </c>
      <c r="C128" s="5" t="inlineStr">
        <is>
          <t>NH4OCl</t>
        </is>
      </c>
      <c r="D128" s="5" t="inlineStr">
        <is>
          <t>gam</t>
        </is>
      </c>
      <c r="E128" s="5" t="inlineStr">
        <is>
          <t>hoa_chat</t>
        </is>
      </c>
      <c r="F128" s="5" t="n">
        <v>36</v>
      </c>
      <c r="G128" s="5" t="n">
        <v>38.88</v>
      </c>
      <c r="H128" s="5" t="n">
        <v>1180</v>
      </c>
      <c r="I128" s="5" t="inlineStr"/>
      <c r="J128" s="5" t="inlineStr"/>
      <c r="K128" s="5" t="inlineStr"/>
      <c r="L128" s="5">
        <f>G128*H128</f>
        <v/>
      </c>
      <c r="M128" s="5" t="inlineStr">
        <is>
          <t>Hóa chất phân tích tiêu chuẩn Vimcerts/Vilas</t>
        </is>
      </c>
    </row>
    <row r="129">
      <c r="A129" s="4" t="n">
        <v>125</v>
      </c>
      <c r="B129" s="4" t="inlineStr">
        <is>
          <t>VL_125</t>
        </is>
      </c>
      <c r="C129" s="4" t="inlineStr">
        <is>
          <t>Na2CO3</t>
        </is>
      </c>
      <c r="D129" s="4" t="inlineStr">
        <is>
          <t>Gram</t>
        </is>
      </c>
      <c r="E129" s="4" t="inlineStr">
        <is>
          <t>hoa_chat</t>
        </is>
      </c>
      <c r="F129" s="4" t="n">
        <v>24</v>
      </c>
      <c r="G129" s="4" t="n">
        <v>25.92</v>
      </c>
      <c r="H129" s="4" t="n">
        <v>1180</v>
      </c>
      <c r="I129" s="4" t="inlineStr"/>
      <c r="J129" s="4" t="inlineStr"/>
      <c r="K129" s="4" t="inlineStr"/>
      <c r="L129" s="4">
        <f>G129*H129</f>
        <v/>
      </c>
      <c r="M129" s="4" t="inlineStr">
        <is>
          <t>Hóa chất phân tích tiêu chuẩn Vimcerts/Vilas</t>
        </is>
      </c>
    </row>
    <row r="130">
      <c r="A130" s="5" t="n">
        <v>126</v>
      </c>
      <c r="B130" s="5" t="inlineStr">
        <is>
          <t>VL_126</t>
        </is>
      </c>
      <c r="C130" s="5" t="inlineStr">
        <is>
          <t>Na2CO3</t>
        </is>
      </c>
      <c r="D130" s="5" t="inlineStr">
        <is>
          <t>gam</t>
        </is>
      </c>
      <c r="E130" s="5" t="inlineStr">
        <is>
          <t>hoa_chat</t>
        </is>
      </c>
      <c r="F130" s="5" t="n">
        <v>0.72</v>
      </c>
      <c r="G130" s="5" t="n">
        <v>0.7776</v>
      </c>
      <c r="H130" s="5" t="n">
        <v>1180</v>
      </c>
      <c r="I130" s="5" t="inlineStr"/>
      <c r="J130" s="5" t="inlineStr"/>
      <c r="K130" s="5" t="inlineStr"/>
      <c r="L130" s="5">
        <f>G130*H130</f>
        <v/>
      </c>
      <c r="M130" s="5" t="inlineStr">
        <is>
          <t>Hóa chất phân tích tiêu chuẩn Vimcerts/Vilas</t>
        </is>
      </c>
    </row>
    <row r="131">
      <c r="A131" s="4" t="n">
        <v>127</v>
      </c>
      <c r="B131" s="4" t="inlineStr">
        <is>
          <t>VL_127</t>
        </is>
      </c>
      <c r="C131" s="4" t="inlineStr">
        <is>
          <t>Na2HPO4</t>
        </is>
      </c>
      <c r="D131" s="4" t="inlineStr">
        <is>
          <t>gam</t>
        </is>
      </c>
      <c r="E131" s="4" t="inlineStr">
        <is>
          <t>hoa_chat</t>
        </is>
      </c>
      <c r="F131" s="4" t="n">
        <v>1.68</v>
      </c>
      <c r="G131" s="4" t="n">
        <v>1.8144</v>
      </c>
      <c r="H131" s="4" t="n">
        <v>1180</v>
      </c>
      <c r="I131" s="4" t="inlineStr"/>
      <c r="J131" s="4" t="inlineStr"/>
      <c r="K131" s="4" t="inlineStr"/>
      <c r="L131" s="4">
        <f>G131*H131</f>
        <v/>
      </c>
      <c r="M131" s="4" t="inlineStr">
        <is>
          <t>Hóa chất phân tích tiêu chuẩn Vimcerts/Vilas</t>
        </is>
      </c>
    </row>
    <row r="132">
      <c r="A132" s="5" t="n">
        <v>128</v>
      </c>
      <c r="B132" s="5" t="inlineStr">
        <is>
          <t>VL_128</t>
        </is>
      </c>
      <c r="C132" s="5" t="inlineStr">
        <is>
          <t>Na2S.9H2O</t>
        </is>
      </c>
      <c r="D132" s="5" t="inlineStr">
        <is>
          <t>gam</t>
        </is>
      </c>
      <c r="E132" s="5" t="inlineStr">
        <is>
          <t>hoa_chat</t>
        </is>
      </c>
      <c r="F132" s="5" t="n">
        <v>1.2</v>
      </c>
      <c r="G132" s="5" t="n">
        <v>1.296</v>
      </c>
      <c r="H132" s="5" t="n">
        <v>1180</v>
      </c>
      <c r="I132" s="5" t="inlineStr"/>
      <c r="J132" s="5" t="inlineStr"/>
      <c r="K132" s="5" t="inlineStr"/>
      <c r="L132" s="5">
        <f>G132*H132</f>
        <v/>
      </c>
      <c r="M132" s="5" t="inlineStr">
        <is>
          <t>Hóa chất phân tích tiêu chuẩn Vimcerts/Vilas</t>
        </is>
      </c>
    </row>
    <row r="133">
      <c r="A133" s="4" t="n">
        <v>129</v>
      </c>
      <c r="B133" s="4" t="inlineStr">
        <is>
          <t>VL_129</t>
        </is>
      </c>
      <c r="C133" s="4" t="inlineStr">
        <is>
          <t>Na2S2O3</t>
        </is>
      </c>
      <c r="D133" s="4" t="inlineStr">
        <is>
          <t>gam</t>
        </is>
      </c>
      <c r="E133" s="4" t="inlineStr">
        <is>
          <t>hoa_chat</t>
        </is>
      </c>
      <c r="F133" s="4" t="n">
        <v>25.6</v>
      </c>
      <c r="G133" s="4" t="n">
        <v>27.648</v>
      </c>
      <c r="H133" s="4" t="n">
        <v>1180</v>
      </c>
      <c r="I133" s="4" t="inlineStr"/>
      <c r="J133" s="4" t="inlineStr"/>
      <c r="K133" s="4" t="inlineStr"/>
      <c r="L133" s="4">
        <f>G133*H133</f>
        <v/>
      </c>
      <c r="M133" s="4" t="inlineStr">
        <is>
          <t>Hóa chất phân tích tiêu chuẩn Vimcerts/Vilas</t>
        </is>
      </c>
    </row>
    <row r="134">
      <c r="A134" s="5" t="n">
        <v>130</v>
      </c>
      <c r="B134" s="5" t="inlineStr">
        <is>
          <t>VL_130</t>
        </is>
      </c>
      <c r="C134" s="5" t="inlineStr">
        <is>
          <t>Na2S2O5 0,1N</t>
        </is>
      </c>
      <c r="D134" s="5" t="inlineStr">
        <is>
          <t>ống</t>
        </is>
      </c>
      <c r="E134" s="5" t="inlineStr">
        <is>
          <t>hoa_chat</t>
        </is>
      </c>
      <c r="F134" s="5" t="n">
        <v>14</v>
      </c>
      <c r="G134" s="5" t="n">
        <v>15.12</v>
      </c>
      <c r="H134" s="5" t="n">
        <v>1180</v>
      </c>
      <c r="I134" s="5" t="inlineStr"/>
      <c r="J134" s="5" t="inlineStr"/>
      <c r="K134" s="5" t="inlineStr"/>
      <c r="L134" s="5">
        <f>G134*H134</f>
        <v/>
      </c>
      <c r="M134" s="5" t="inlineStr">
        <is>
          <t>Hóa chất phân tích tiêu chuẩn Vimcerts/Vilas</t>
        </is>
      </c>
    </row>
    <row r="135">
      <c r="A135" s="4" t="n">
        <v>131</v>
      </c>
      <c r="B135" s="4" t="inlineStr">
        <is>
          <t>VL_131</t>
        </is>
      </c>
      <c r="C135" s="4" t="inlineStr">
        <is>
          <t>Na2SO3</t>
        </is>
      </c>
      <c r="D135" s="4" t="inlineStr">
        <is>
          <t>gam</t>
        </is>
      </c>
      <c r="E135" s="4" t="inlineStr">
        <is>
          <t>hoa_chat</t>
        </is>
      </c>
      <c r="F135" s="4" t="n">
        <v>11.2</v>
      </c>
      <c r="G135" s="4" t="n">
        <v>12.096</v>
      </c>
      <c r="H135" s="4" t="n">
        <v>1180</v>
      </c>
      <c r="I135" s="4" t="inlineStr"/>
      <c r="J135" s="4" t="inlineStr"/>
      <c r="K135" s="4" t="inlineStr"/>
      <c r="L135" s="4">
        <f>G135*H135</f>
        <v/>
      </c>
      <c r="M135" s="4" t="inlineStr">
        <is>
          <t>Hóa chất phân tích tiêu chuẩn Vimcerts/Vilas</t>
        </is>
      </c>
    </row>
    <row r="136">
      <c r="A136" s="5" t="n">
        <v>132</v>
      </c>
      <c r="B136" s="5" t="inlineStr">
        <is>
          <t>VL_132</t>
        </is>
      </c>
      <c r="C136" s="5" t="inlineStr">
        <is>
          <t>Na2SO4</t>
        </is>
      </c>
      <c r="D136" s="5" t="inlineStr">
        <is>
          <t>gam</t>
        </is>
      </c>
      <c r="E136" s="5" t="inlineStr">
        <is>
          <t>hoa_chat</t>
        </is>
      </c>
      <c r="F136" s="5" t="n">
        <v>560</v>
      </c>
      <c r="G136" s="5" t="n">
        <v>604.8</v>
      </c>
      <c r="H136" s="5" t="n">
        <v>1180</v>
      </c>
      <c r="I136" s="5" t="inlineStr"/>
      <c r="J136" s="5" t="inlineStr"/>
      <c r="K136" s="5" t="inlineStr"/>
      <c r="L136" s="5">
        <f>G136*H136</f>
        <v/>
      </c>
      <c r="M136" s="5" t="inlineStr">
        <is>
          <t>Hóa chất phân tích tiêu chuẩn Vimcerts/Vilas</t>
        </is>
      </c>
    </row>
    <row r="137">
      <c r="A137" s="4" t="n">
        <v>133</v>
      </c>
      <c r="B137" s="4" t="inlineStr">
        <is>
          <t>VL_133</t>
        </is>
      </c>
      <c r="C137" s="4" t="inlineStr">
        <is>
          <t>Na2[Fe(CN)5.NO].2H2O</t>
        </is>
      </c>
      <c r="D137" s="4" t="inlineStr">
        <is>
          <t>gam</t>
        </is>
      </c>
      <c r="E137" s="4" t="inlineStr">
        <is>
          <t>hoa_chat</t>
        </is>
      </c>
      <c r="F137" s="4" t="n">
        <v>1.6</v>
      </c>
      <c r="G137" s="4" t="n">
        <v>1.728</v>
      </c>
      <c r="H137" s="4" t="n">
        <v>1180</v>
      </c>
      <c r="I137" s="4" t="inlineStr"/>
      <c r="J137" s="4" t="inlineStr"/>
      <c r="K137" s="4" t="inlineStr"/>
      <c r="L137" s="4">
        <f>G137*H137</f>
        <v/>
      </c>
      <c r="M137" s="4" t="inlineStr">
        <is>
          <t>Hóa chất phân tích tiêu chuẩn Vimcerts/Vilas</t>
        </is>
      </c>
    </row>
    <row r="138">
      <c r="A138" s="5" t="n">
        <v>134</v>
      </c>
      <c r="B138" s="5" t="inlineStr">
        <is>
          <t>VL_134</t>
        </is>
      </c>
      <c r="C138" s="5" t="inlineStr">
        <is>
          <t>Na3C6H5O7.2H2O</t>
        </is>
      </c>
      <c r="D138" s="5" t="inlineStr">
        <is>
          <t>gam</t>
        </is>
      </c>
      <c r="E138" s="5" t="inlineStr">
        <is>
          <t>hoa_chat</t>
        </is>
      </c>
      <c r="F138" s="5" t="n">
        <v>8</v>
      </c>
      <c r="G138" s="5" t="n">
        <v>8.640000000000001</v>
      </c>
      <c r="H138" s="5" t="n">
        <v>1180</v>
      </c>
      <c r="I138" s="5" t="inlineStr"/>
      <c r="J138" s="5" t="inlineStr"/>
      <c r="K138" s="5" t="inlineStr"/>
      <c r="L138" s="5">
        <f>G138*H138</f>
        <v/>
      </c>
      <c r="M138" s="5" t="inlineStr">
        <is>
          <t>Hóa chất phân tích tiêu chuẩn Vimcerts/Vilas</t>
        </is>
      </c>
    </row>
    <row r="139">
      <c r="A139" s="4" t="n">
        <v>135</v>
      </c>
      <c r="B139" s="4" t="inlineStr">
        <is>
          <t>VL_135</t>
        </is>
      </c>
      <c r="C139" s="4" t="inlineStr">
        <is>
          <t>NaAsO2</t>
        </is>
      </c>
      <c r="D139" s="4" t="inlineStr">
        <is>
          <t>gam</t>
        </is>
      </c>
      <c r="E139" s="4" t="inlineStr">
        <is>
          <t>hoa_chat</t>
        </is>
      </c>
      <c r="F139" s="4" t="n">
        <v>10</v>
      </c>
      <c r="G139" s="4" t="n">
        <v>10.8</v>
      </c>
      <c r="H139" s="4" t="n">
        <v>1180</v>
      </c>
      <c r="I139" s="4" t="inlineStr"/>
      <c r="J139" s="4" t="inlineStr"/>
      <c r="K139" s="4" t="inlineStr"/>
      <c r="L139" s="4">
        <f>G139*H139</f>
        <v/>
      </c>
      <c r="M139" s="4" t="inlineStr">
        <is>
          <t>Hóa chất phân tích tiêu chuẩn Vimcerts/Vilas</t>
        </is>
      </c>
    </row>
    <row r="140">
      <c r="A140" s="5" t="n">
        <v>136</v>
      </c>
      <c r="B140" s="5" t="inlineStr">
        <is>
          <t>VL_136</t>
        </is>
      </c>
      <c r="C140" s="5" t="inlineStr">
        <is>
          <t>NaBH4</t>
        </is>
      </c>
      <c r="D140" s="5" t="inlineStr">
        <is>
          <t>gam</t>
        </is>
      </c>
      <c r="E140" s="5" t="inlineStr">
        <is>
          <t>hoa_chat</t>
        </is>
      </c>
      <c r="F140" s="5" t="n">
        <v>2.4</v>
      </c>
      <c r="G140" s="5" t="n">
        <v>2.592</v>
      </c>
      <c r="H140" s="5" t="n">
        <v>1180</v>
      </c>
      <c r="I140" s="5" t="inlineStr"/>
      <c r="J140" s="5" t="inlineStr"/>
      <c r="K140" s="5" t="inlineStr"/>
      <c r="L140" s="5">
        <f>G140*H140</f>
        <v/>
      </c>
      <c r="M140" s="5" t="inlineStr">
        <is>
          <t>Hóa chất phân tích tiêu chuẩn Vimcerts/Vilas</t>
        </is>
      </c>
    </row>
    <row r="141">
      <c r="A141" s="4" t="n">
        <v>137</v>
      </c>
      <c r="B141" s="4" t="inlineStr">
        <is>
          <t>VL_137</t>
        </is>
      </c>
      <c r="C141" s="4" t="inlineStr">
        <is>
          <t>NaC7H5NaO3</t>
        </is>
      </c>
      <c r="D141" s="4" t="inlineStr">
        <is>
          <t>gam</t>
        </is>
      </c>
      <c r="E141" s="4" t="inlineStr">
        <is>
          <t>hoa_chat</t>
        </is>
      </c>
      <c r="F141" s="4" t="n">
        <v>20</v>
      </c>
      <c r="G141" s="4" t="n">
        <v>21.6</v>
      </c>
      <c r="H141" s="4" t="n">
        <v>1180</v>
      </c>
      <c r="I141" s="4" t="inlineStr"/>
      <c r="J141" s="4" t="inlineStr"/>
      <c r="K141" s="4" t="inlineStr"/>
      <c r="L141" s="4">
        <f>G141*H141</f>
        <v/>
      </c>
      <c r="M141" s="4" t="inlineStr">
        <is>
          <t>Hóa chất phân tích tiêu chuẩn Vimcerts/Vilas</t>
        </is>
      </c>
    </row>
    <row r="142">
      <c r="A142" s="5" t="n">
        <v>138</v>
      </c>
      <c r="B142" s="5" t="inlineStr">
        <is>
          <t>VL_138</t>
        </is>
      </c>
      <c r="C142" s="5" t="inlineStr">
        <is>
          <t>NaCH3COO</t>
        </is>
      </c>
      <c r="D142" s="5" t="inlineStr">
        <is>
          <t>gam</t>
        </is>
      </c>
      <c r="E142" s="5" t="inlineStr">
        <is>
          <t>hoa_chat</t>
        </is>
      </c>
      <c r="F142" s="5" t="n">
        <v>0.6</v>
      </c>
      <c r="G142" s="5" t="n">
        <v>0.648</v>
      </c>
      <c r="H142" s="5" t="n">
        <v>1180</v>
      </c>
      <c r="I142" s="5" t="inlineStr"/>
      <c r="J142" s="5" t="inlineStr"/>
      <c r="K142" s="5" t="inlineStr"/>
      <c r="L142" s="5">
        <f>G142*H142</f>
        <v/>
      </c>
      <c r="M142" s="5" t="inlineStr">
        <is>
          <t>Hóa chất phân tích tiêu chuẩn Vimcerts/Vilas</t>
        </is>
      </c>
    </row>
    <row r="143">
      <c r="A143" s="4" t="n">
        <v>139</v>
      </c>
      <c r="B143" s="4" t="inlineStr">
        <is>
          <t>VL_139</t>
        </is>
      </c>
      <c r="C143" s="4" t="inlineStr">
        <is>
          <t>NaCN</t>
        </is>
      </c>
      <c r="D143" s="4" t="inlineStr">
        <is>
          <t>Gram</t>
        </is>
      </c>
      <c r="E143" s="4" t="inlineStr">
        <is>
          <t>hoa_chat</t>
        </is>
      </c>
      <c r="F143" s="4" t="n">
        <v>18</v>
      </c>
      <c r="G143" s="4" t="n">
        <v>19.44</v>
      </c>
      <c r="H143" s="4" t="n">
        <v>1180</v>
      </c>
      <c r="I143" s="4" t="inlineStr"/>
      <c r="J143" s="4" t="inlineStr"/>
      <c r="K143" s="4" t="inlineStr"/>
      <c r="L143" s="4">
        <f>G143*H143</f>
        <v/>
      </c>
      <c r="M143" s="4" t="inlineStr">
        <is>
          <t>Hóa chất phân tích tiêu chuẩn Vimcerts/Vilas</t>
        </is>
      </c>
    </row>
    <row r="144">
      <c r="A144" s="5" t="n">
        <v>140</v>
      </c>
      <c r="B144" s="5" t="inlineStr">
        <is>
          <t>VL_140</t>
        </is>
      </c>
      <c r="C144" s="5" t="inlineStr">
        <is>
          <t>NaClO</t>
        </is>
      </c>
      <c r="D144" s="5" t="inlineStr">
        <is>
          <t>ml</t>
        </is>
      </c>
      <c r="E144" s="5" t="inlineStr">
        <is>
          <t>hoa_chat</t>
        </is>
      </c>
      <c r="F144" s="5" t="n">
        <v>28</v>
      </c>
      <c r="G144" s="5" t="n">
        <v>30.24</v>
      </c>
      <c r="H144" s="5" t="n">
        <v>147</v>
      </c>
      <c r="I144" s="5" t="inlineStr"/>
      <c r="J144" s="5" t="inlineStr"/>
      <c r="K144" s="5" t="inlineStr"/>
      <c r="L144" s="5">
        <f>G144*H144</f>
        <v/>
      </c>
      <c r="M144" s="5" t="inlineStr">
        <is>
          <t>Hóa chất phân tích tiêu chuẩn Vimcerts/Vilas</t>
        </is>
      </c>
    </row>
    <row r="145">
      <c r="A145" s="4" t="n">
        <v>141</v>
      </c>
      <c r="B145" s="4" t="inlineStr">
        <is>
          <t>VL_141</t>
        </is>
      </c>
      <c r="C145" s="4" t="inlineStr">
        <is>
          <t>NaCl</t>
        </is>
      </c>
      <c r="D145" s="4" t="inlineStr">
        <is>
          <t>gam</t>
        </is>
      </c>
      <c r="E145" s="4" t="inlineStr">
        <is>
          <t>hoa_chat</t>
        </is>
      </c>
      <c r="F145" s="4" t="n">
        <v>108</v>
      </c>
      <c r="G145" s="4" t="n">
        <v>116.64</v>
      </c>
      <c r="H145" s="4" t="n">
        <v>830</v>
      </c>
      <c r="I145" s="4" t="inlineStr"/>
      <c r="J145" s="4" t="inlineStr"/>
      <c r="K145" s="4" t="inlineStr"/>
      <c r="L145" s="4">
        <f>G145*H145</f>
        <v/>
      </c>
      <c r="M145" s="4" t="inlineStr">
        <is>
          <t>Hóa chất phân tích tiêu chuẩn Vimcerts/Vilas</t>
        </is>
      </c>
    </row>
    <row r="146">
      <c r="A146" s="5" t="n">
        <v>142</v>
      </c>
      <c r="B146" s="5" t="inlineStr">
        <is>
          <t>VL_142</t>
        </is>
      </c>
      <c r="C146" s="5" t="inlineStr">
        <is>
          <t>NaOH</t>
        </is>
      </c>
      <c r="D146" s="5" t="inlineStr">
        <is>
          <t>Gram</t>
        </is>
      </c>
      <c r="E146" s="5" t="inlineStr">
        <is>
          <t>hoa_chat</t>
        </is>
      </c>
      <c r="F146" s="5" t="n">
        <v>24</v>
      </c>
      <c r="G146" s="5" t="n">
        <v>25.92</v>
      </c>
      <c r="H146" s="5" t="n">
        <v>830</v>
      </c>
      <c r="I146" s="5" t="inlineStr"/>
      <c r="J146" s="5" t="inlineStr"/>
      <c r="K146" s="5" t="inlineStr"/>
      <c r="L146" s="5">
        <f>G146*H146</f>
        <v/>
      </c>
      <c r="M146" s="5" t="inlineStr">
        <is>
          <t>Hóa chất phân tích tiêu chuẩn Vimcerts/Vilas</t>
        </is>
      </c>
    </row>
    <row r="147">
      <c r="A147" s="4" t="n">
        <v>143</v>
      </c>
      <c r="B147" s="4" t="inlineStr">
        <is>
          <t>VL_143</t>
        </is>
      </c>
      <c r="C147" s="4" t="inlineStr">
        <is>
          <t>NaOH</t>
        </is>
      </c>
      <c r="D147" s="4" t="inlineStr">
        <is>
          <t>gam</t>
        </is>
      </c>
      <c r="E147" s="4" t="inlineStr">
        <is>
          <t>hoa_chat</t>
        </is>
      </c>
      <c r="F147" s="4" t="n">
        <v>3354.8</v>
      </c>
      <c r="G147" s="4" t="n">
        <v>3623.184</v>
      </c>
      <c r="H147" s="4" t="n">
        <v>830</v>
      </c>
      <c r="I147" s="4" t="inlineStr"/>
      <c r="J147" s="4" t="inlineStr"/>
      <c r="K147" s="4" t="inlineStr"/>
      <c r="L147" s="4">
        <f>G147*H147</f>
        <v/>
      </c>
      <c r="M147" s="4" t="inlineStr">
        <is>
          <t>Hóa chất phân tích tiêu chuẩn Vimcerts/Vilas</t>
        </is>
      </c>
    </row>
    <row r="148">
      <c r="A148" s="5" t="n">
        <v>144</v>
      </c>
      <c r="B148" s="5" t="inlineStr">
        <is>
          <t>VL_144</t>
        </is>
      </c>
      <c r="C148" s="5" t="inlineStr">
        <is>
          <t>Natri tetracloromercurat</t>
        </is>
      </c>
      <c r="D148" s="5" t="inlineStr">
        <is>
          <t>gam</t>
        </is>
      </c>
      <c r="E148" s="5" t="inlineStr">
        <is>
          <t>hoa_chat</t>
        </is>
      </c>
      <c r="F148" s="5" t="n">
        <v>4.8</v>
      </c>
      <c r="G148" s="5" t="n">
        <v>5.184</v>
      </c>
      <c r="H148" s="5" t="n">
        <v>1180</v>
      </c>
      <c r="I148" s="5" t="inlineStr"/>
      <c r="J148" s="5" t="inlineStr"/>
      <c r="K148" s="5" t="inlineStr"/>
      <c r="L148" s="5">
        <f>G148*H148</f>
        <v/>
      </c>
      <c r="M148" s="5" t="inlineStr">
        <is>
          <t>Hóa chất phân tích tiêu chuẩn Vimcerts/Vilas</t>
        </is>
      </c>
    </row>
    <row r="149">
      <c r="A149" s="4" t="n">
        <v>145</v>
      </c>
      <c r="B149" s="4" t="inlineStr">
        <is>
          <t>VL_145</t>
        </is>
      </c>
      <c r="C149" s="4" t="inlineStr">
        <is>
          <t>Nước cất</t>
        </is>
      </c>
      <c r="D149" s="4" t="inlineStr">
        <is>
          <t>lít</t>
        </is>
      </c>
      <c r="E149" s="4" t="inlineStr">
        <is>
          <t>thong_dung</t>
        </is>
      </c>
      <c r="F149" s="4" t="n">
        <v>11.2</v>
      </c>
      <c r="G149" s="4" t="n">
        <v>12.096</v>
      </c>
      <c r="H149" s="4" t="n">
        <v>4410</v>
      </c>
      <c r="I149" s="4" t="inlineStr"/>
      <c r="J149" s="4" t="inlineStr"/>
      <c r="K149" s="4" t="inlineStr"/>
      <c r="L149" s="4">
        <f>G149*H149</f>
        <v/>
      </c>
      <c r="M149" s="4" t="inlineStr">
        <is>
          <t>Hóa chất phân tích tiêu chuẩn Vimcerts/Vilas</t>
        </is>
      </c>
    </row>
    <row r="150">
      <c r="A150" s="5" t="n">
        <v>146</v>
      </c>
      <c r="B150" s="5" t="inlineStr">
        <is>
          <t>VL_146</t>
        </is>
      </c>
      <c r="C150" s="5" t="inlineStr">
        <is>
          <t>Nước rửa dụng cụ</t>
        </is>
      </c>
      <c r="D150" s="5" t="inlineStr">
        <is>
          <t>Lít</t>
        </is>
      </c>
      <c r="E150" s="5" t="inlineStr">
        <is>
          <t>hoa_chat</t>
        </is>
      </c>
      <c r="F150" s="5" t="n">
        <v>40</v>
      </c>
      <c r="G150" s="5" t="n">
        <v>43.2</v>
      </c>
      <c r="H150" s="5" t="n">
        <v>215600</v>
      </c>
      <c r="I150" s="5" t="inlineStr"/>
      <c r="J150" s="5" t="inlineStr"/>
      <c r="K150" s="5" t="inlineStr"/>
      <c r="L150" s="5">
        <f>G150*H150</f>
        <v/>
      </c>
      <c r="M150" s="5" t="inlineStr">
        <is>
          <t>Hóa chất phân tích tiêu chuẩn Vimcerts/Vilas</t>
        </is>
      </c>
    </row>
    <row r="151">
      <c r="A151" s="4" t="n">
        <v>147</v>
      </c>
      <c r="B151" s="4" t="inlineStr">
        <is>
          <t>VL_147</t>
        </is>
      </c>
      <c r="C151" s="4" t="inlineStr">
        <is>
          <t>Nước rửa dụng cụ</t>
        </is>
      </c>
      <c r="D151" s="4" t="inlineStr">
        <is>
          <t>lít</t>
        </is>
      </c>
      <c r="E151" s="4" t="inlineStr">
        <is>
          <t>hoa_chat</t>
        </is>
      </c>
      <c r="F151" s="4" t="n">
        <v>111.1</v>
      </c>
      <c r="G151" s="4" t="n">
        <v>119.988</v>
      </c>
      <c r="H151" s="4" t="n">
        <v>215600</v>
      </c>
      <c r="I151" s="4" t="inlineStr"/>
      <c r="J151" s="4" t="inlineStr"/>
      <c r="K151" s="4" t="inlineStr"/>
      <c r="L151" s="4">
        <f>G151*H151</f>
        <v/>
      </c>
      <c r="M151" s="4" t="inlineStr">
        <is>
          <t>Hóa chất phân tích tiêu chuẩn Vimcerts/Vilas</t>
        </is>
      </c>
    </row>
    <row r="152">
      <c r="A152" s="5" t="n">
        <v>148</v>
      </c>
      <c r="B152" s="5" t="inlineStr">
        <is>
          <t>VL_148</t>
        </is>
      </c>
      <c r="C152" s="5" t="inlineStr">
        <is>
          <t>Nước rửa đầu đo</t>
        </is>
      </c>
      <c r="D152" s="5" t="inlineStr">
        <is>
          <t>lít</t>
        </is>
      </c>
      <c r="E152" s="5" t="inlineStr">
        <is>
          <t>hoa_chat</t>
        </is>
      </c>
      <c r="F152" s="5" t="n">
        <v>41.1</v>
      </c>
      <c r="G152" s="5" t="n">
        <v>44.388</v>
      </c>
      <c r="H152" s="5" t="n">
        <v>215600</v>
      </c>
      <c r="I152" s="5" t="inlineStr"/>
      <c r="J152" s="5" t="inlineStr"/>
      <c r="K152" s="5" t="inlineStr"/>
      <c r="L152" s="5">
        <f>G152*H152</f>
        <v/>
      </c>
      <c r="M152" s="5" t="inlineStr">
        <is>
          <t>Hóa chất phân tích tiêu chuẩn Vimcerts/Vilas</t>
        </is>
      </c>
    </row>
    <row r="153">
      <c r="A153" s="4" t="n">
        <v>149</v>
      </c>
      <c r="B153" s="4" t="inlineStr">
        <is>
          <t>VL_149</t>
        </is>
      </c>
      <c r="C153" s="4" t="inlineStr">
        <is>
          <t>Pararosanilin</t>
        </is>
      </c>
      <c r="D153" s="4" t="inlineStr">
        <is>
          <t>gam</t>
        </is>
      </c>
      <c r="E153" s="4" t="inlineStr">
        <is>
          <t>hoa_chat</t>
        </is>
      </c>
      <c r="F153" s="4" t="n">
        <v>4.48</v>
      </c>
      <c r="G153" s="4" t="n">
        <v>4.8384</v>
      </c>
      <c r="H153" s="4" t="n">
        <v>1180</v>
      </c>
      <c r="I153" s="4" t="inlineStr"/>
      <c r="J153" s="4" t="inlineStr"/>
      <c r="K153" s="4" t="inlineStr"/>
      <c r="L153" s="4">
        <f>G153*H153</f>
        <v/>
      </c>
      <c r="M153" s="4" t="inlineStr">
        <is>
          <t>Hóa chất phân tích tiêu chuẩn Vimcerts/Vilas</t>
        </is>
      </c>
    </row>
    <row r="154">
      <c r="A154" s="5" t="n">
        <v>150</v>
      </c>
      <c r="B154" s="5" t="inlineStr">
        <is>
          <t>VL_150</t>
        </is>
      </c>
      <c r="C154" s="5" t="inlineStr">
        <is>
          <t>Phenolphtalein</t>
        </is>
      </c>
      <c r="D154" s="5" t="inlineStr">
        <is>
          <t>gam</t>
        </is>
      </c>
      <c r="E154" s="5" t="inlineStr">
        <is>
          <t>hoa_chat</t>
        </is>
      </c>
      <c r="F154" s="5" t="n">
        <v>0.8</v>
      </c>
      <c r="G154" s="5" t="n">
        <v>0.864</v>
      </c>
      <c r="H154" s="5" t="n">
        <v>1180</v>
      </c>
      <c r="I154" s="5" t="inlineStr"/>
      <c r="J154" s="5" t="inlineStr"/>
      <c r="K154" s="5" t="inlineStr"/>
      <c r="L154" s="5">
        <f>G154*H154</f>
        <v/>
      </c>
      <c r="M154" s="5" t="inlineStr">
        <is>
          <t>Hóa chất phân tích tiêu chuẩn Vimcerts/Vilas</t>
        </is>
      </c>
    </row>
    <row r="155">
      <c r="A155" s="4" t="n">
        <v>151</v>
      </c>
      <c r="B155" s="4" t="inlineStr">
        <is>
          <t>VL_151</t>
        </is>
      </c>
      <c r="C155" s="4" t="inlineStr">
        <is>
          <t>Pin chuyên dụng</t>
        </is>
      </c>
      <c r="D155" s="4" t="inlineStr">
        <is>
          <t>cục</t>
        </is>
      </c>
      <c r="E155" s="4" t="inlineStr">
        <is>
          <t>thong_dung</t>
        </is>
      </c>
      <c r="F155" s="4" t="n">
        <v>366.11</v>
      </c>
      <c r="G155" s="4" t="n">
        <v>395.3988</v>
      </c>
      <c r="H155" s="4" t="n">
        <v>14700</v>
      </c>
      <c r="I155" s="4" t="inlineStr"/>
      <c r="J155" s="4" t="inlineStr"/>
      <c r="K155" s="4" t="inlineStr"/>
      <c r="L155" s="4">
        <f>G155*H155</f>
        <v/>
      </c>
      <c r="M155" s="4" t="inlineStr">
        <is>
          <t>Hóa chất phân tích tiêu chuẩn Vimcerts/Vilas</t>
        </is>
      </c>
    </row>
    <row r="156">
      <c r="A156" s="5" t="n">
        <v>152</v>
      </c>
      <c r="B156" s="5" t="inlineStr">
        <is>
          <t>VL_152</t>
        </is>
      </c>
      <c r="C156" s="5" t="inlineStr">
        <is>
          <t>Polyseed</t>
        </is>
      </c>
      <c r="D156" s="5" t="inlineStr">
        <is>
          <t>Viên</t>
        </is>
      </c>
      <c r="E156" s="5" t="inlineStr">
        <is>
          <t>thong_dung</t>
        </is>
      </c>
      <c r="F156" s="5" t="n">
        <v>2.4</v>
      </c>
      <c r="G156" s="5" t="n">
        <v>2.592</v>
      </c>
      <c r="H156" s="5" t="n">
        <v>14700</v>
      </c>
      <c r="I156" s="5" t="inlineStr"/>
      <c r="J156" s="5" t="inlineStr"/>
      <c r="K156" s="5" t="inlineStr"/>
      <c r="L156" s="5">
        <f>G156*H156</f>
        <v/>
      </c>
      <c r="M156" s="5" t="inlineStr">
        <is>
          <t>Hóa chất phân tích tiêu chuẩn Vimcerts/Vilas</t>
        </is>
      </c>
    </row>
    <row r="157">
      <c r="A157" s="4" t="n">
        <v>153</v>
      </c>
      <c r="B157" s="4" t="inlineStr">
        <is>
          <t>VL_153</t>
        </is>
      </c>
      <c r="C157" s="4" t="inlineStr">
        <is>
          <t>SPADNS (C16H9O11N2S3Na3)</t>
        </is>
      </c>
      <c r="D157" s="4" t="inlineStr">
        <is>
          <t>gam</t>
        </is>
      </c>
      <c r="E157" s="4" t="inlineStr">
        <is>
          <t>hoa_chat</t>
        </is>
      </c>
      <c r="F157" s="4" t="n">
        <v>4</v>
      </c>
      <c r="G157" s="4" t="n">
        <v>4.32</v>
      </c>
      <c r="H157" s="4" t="n">
        <v>1180</v>
      </c>
      <c r="I157" s="4" t="inlineStr"/>
      <c r="J157" s="4" t="inlineStr"/>
      <c r="K157" s="4" t="inlineStr"/>
      <c r="L157" s="4">
        <f>G157*H157</f>
        <v/>
      </c>
      <c r="M157" s="4" t="inlineStr">
        <is>
          <t>Hóa chất phân tích tiêu chuẩn Vimcerts/Vilas</t>
        </is>
      </c>
    </row>
    <row r="158">
      <c r="A158" s="5" t="n">
        <v>154</v>
      </c>
      <c r="B158" s="5" t="inlineStr">
        <is>
          <t>VL_154</t>
        </is>
      </c>
      <c r="C158" s="5" t="inlineStr">
        <is>
          <t>Silicagel</t>
        </is>
      </c>
      <c r="D158" s="5" t="inlineStr">
        <is>
          <t>gam</t>
        </is>
      </c>
      <c r="E158" s="5" t="inlineStr">
        <is>
          <t>hoa_chat</t>
        </is>
      </c>
      <c r="F158" s="5" t="n">
        <v>3640</v>
      </c>
      <c r="G158" s="5" t="n">
        <v>3931.2</v>
      </c>
      <c r="H158" s="5" t="n">
        <v>1180</v>
      </c>
      <c r="I158" s="5" t="inlineStr"/>
      <c r="J158" s="5" t="inlineStr"/>
      <c r="K158" s="5" t="inlineStr"/>
      <c r="L158" s="5">
        <f>G158*H158</f>
        <v/>
      </c>
      <c r="M158" s="5" t="inlineStr">
        <is>
          <t>Hóa chất phân tích tiêu chuẩn Vimcerts/Vilas</t>
        </is>
      </c>
    </row>
    <row r="159">
      <c r="A159" s="4" t="n">
        <v>155</v>
      </c>
      <c r="B159" s="4" t="inlineStr">
        <is>
          <t>VL_155</t>
        </is>
      </c>
      <c r="C159" s="4" t="inlineStr">
        <is>
          <t>SnCl2.2H2O</t>
        </is>
      </c>
      <c r="D159" s="4" t="inlineStr">
        <is>
          <t>gam</t>
        </is>
      </c>
      <c r="E159" s="4" t="inlineStr">
        <is>
          <t>hoa_chat</t>
        </is>
      </c>
      <c r="F159" s="4" t="n">
        <v>18</v>
      </c>
      <c r="G159" s="4" t="n">
        <v>19.44</v>
      </c>
      <c r="H159" s="4" t="n">
        <v>1180</v>
      </c>
      <c r="I159" s="4" t="inlineStr"/>
      <c r="J159" s="4" t="inlineStr"/>
      <c r="K159" s="4" t="inlineStr"/>
      <c r="L159" s="4">
        <f>G159*H159</f>
        <v/>
      </c>
      <c r="M159" s="4" t="inlineStr">
        <is>
          <t>Hóa chất phân tích tiêu chuẩn Vimcerts/Vilas</t>
        </is>
      </c>
    </row>
    <row r="160">
      <c r="A160" s="5" t="n">
        <v>156</v>
      </c>
      <c r="B160" s="5" t="inlineStr">
        <is>
          <t>VL_156</t>
        </is>
      </c>
      <c r="C160" s="5" t="inlineStr">
        <is>
          <t>Sulfaniamide</t>
        </is>
      </c>
      <c r="D160" s="5" t="inlineStr">
        <is>
          <t>gam</t>
        </is>
      </c>
      <c r="E160" s="5" t="inlineStr">
        <is>
          <t>hoa_chat</t>
        </is>
      </c>
      <c r="F160" s="5" t="n">
        <v>8.800000000000001</v>
      </c>
      <c r="G160" s="5" t="n">
        <v>9.504</v>
      </c>
      <c r="H160" s="5" t="n">
        <v>1180</v>
      </c>
      <c r="I160" s="5" t="inlineStr"/>
      <c r="J160" s="5" t="inlineStr"/>
      <c r="K160" s="5" t="inlineStr"/>
      <c r="L160" s="5">
        <f>G160*H160</f>
        <v/>
      </c>
      <c r="M160" s="5" t="inlineStr">
        <is>
          <t>Hóa chất phân tích tiêu chuẩn Vimcerts/Vilas</t>
        </is>
      </c>
    </row>
    <row r="161">
      <c r="A161" s="4" t="n">
        <v>157</v>
      </c>
      <c r="B161" s="4" t="inlineStr">
        <is>
          <t>VL_157</t>
        </is>
      </c>
      <c r="C161" s="4" t="inlineStr">
        <is>
          <t>Sổ công tác</t>
        </is>
      </c>
      <c r="D161" s="4" t="inlineStr">
        <is>
          <t>Cuốn</t>
        </is>
      </c>
      <c r="E161" s="4" t="inlineStr">
        <is>
          <t>thong_dung</t>
        </is>
      </c>
      <c r="F161" s="4" t="n">
        <v>0.08</v>
      </c>
      <c r="G161" s="4" t="n">
        <v>0.0864</v>
      </c>
      <c r="H161" s="4" t="n">
        <v>14700</v>
      </c>
      <c r="I161" s="4" t="inlineStr"/>
      <c r="J161" s="4" t="inlineStr"/>
      <c r="K161" s="4" t="inlineStr"/>
      <c r="L161" s="4">
        <f>G161*H161</f>
        <v/>
      </c>
      <c r="M161" s="4" t="inlineStr">
        <is>
          <t>Hóa chất phân tích tiêu chuẩn Vimcerts/Vilas</t>
        </is>
      </c>
    </row>
    <row r="162">
      <c r="A162" s="5" t="n">
        <v>158</v>
      </c>
      <c r="B162" s="5" t="inlineStr">
        <is>
          <t>VL_158</t>
        </is>
      </c>
      <c r="C162" s="5" t="inlineStr">
        <is>
          <t>Sổ công tác</t>
        </is>
      </c>
      <c r="D162" s="5" t="inlineStr">
        <is>
          <t>cuốn</t>
        </is>
      </c>
      <c r="E162" s="5" t="inlineStr">
        <is>
          <t>thong_dung</t>
        </is>
      </c>
      <c r="F162" s="5" t="n">
        <v>15.016</v>
      </c>
      <c r="G162" s="5" t="n">
        <v>16.2173</v>
      </c>
      <c r="H162" s="5" t="n">
        <v>14700</v>
      </c>
      <c r="I162" s="5" t="inlineStr"/>
      <c r="J162" s="5" t="inlineStr"/>
      <c r="K162" s="5" t="inlineStr"/>
      <c r="L162" s="5">
        <f>G162*H162</f>
        <v/>
      </c>
      <c r="M162" s="5" t="inlineStr">
        <is>
          <t>Hóa chất phân tích tiêu chuẩn Vimcerts/Vilas</t>
        </is>
      </c>
    </row>
    <row r="163">
      <c r="A163" s="4" t="n">
        <v>159</v>
      </c>
      <c r="B163" s="4" t="inlineStr">
        <is>
          <t>VL_159</t>
        </is>
      </c>
      <c r="C163" s="4" t="inlineStr">
        <is>
          <t>Than hoạt tính</t>
        </is>
      </c>
      <c r="D163" s="4" t="inlineStr">
        <is>
          <t>kg</t>
        </is>
      </c>
      <c r="E163" s="4" t="inlineStr">
        <is>
          <t>hoa_chat</t>
        </is>
      </c>
      <c r="F163" s="4" t="n">
        <v>0.04</v>
      </c>
      <c r="G163" s="4" t="n">
        <v>0.0432</v>
      </c>
      <c r="H163" s="4" t="n">
        <v>1180</v>
      </c>
      <c r="I163" s="4" t="inlineStr"/>
      <c r="J163" s="4" t="inlineStr"/>
      <c r="K163" s="4" t="inlineStr"/>
      <c r="L163" s="4">
        <f>G163*H163</f>
        <v/>
      </c>
      <c r="M163" s="4" t="inlineStr">
        <is>
          <t>Hóa chất phân tích tiêu chuẩn Vimcerts/Vilas</t>
        </is>
      </c>
    </row>
    <row r="164">
      <c r="A164" s="5" t="n">
        <v>160</v>
      </c>
      <c r="B164" s="5" t="inlineStr">
        <is>
          <t>VL_160</t>
        </is>
      </c>
      <c r="C164" s="5" t="inlineStr">
        <is>
          <t>Thùng đựng chai lấy mẫu</t>
        </is>
      </c>
      <c r="D164" s="5" t="inlineStr">
        <is>
          <t>Hộp</t>
        </is>
      </c>
      <c r="E164" s="5" t="inlineStr">
        <is>
          <t>thong_dung</t>
        </is>
      </c>
      <c r="F164" s="5" t="n">
        <v>0.036</v>
      </c>
      <c r="G164" s="5" t="n">
        <v>0.0389</v>
      </c>
      <c r="H164" s="5" t="n">
        <v>14700</v>
      </c>
      <c r="I164" s="5" t="inlineStr"/>
      <c r="J164" s="5" t="inlineStr"/>
      <c r="K164" s="5" t="inlineStr"/>
      <c r="L164" s="5">
        <f>G164*H164</f>
        <v/>
      </c>
      <c r="M164" s="5" t="inlineStr">
        <is>
          <t>Hóa chất phân tích tiêu chuẩn Vimcerts/Vilas</t>
        </is>
      </c>
    </row>
    <row r="165">
      <c r="A165" s="4" t="n">
        <v>161</v>
      </c>
      <c r="B165" s="4" t="inlineStr">
        <is>
          <t>VL_161</t>
        </is>
      </c>
      <c r="C165" s="4" t="inlineStr">
        <is>
          <t>Toluen</t>
        </is>
      </c>
      <c r="D165" s="4" t="inlineStr">
        <is>
          <t>Lít</t>
        </is>
      </c>
      <c r="E165" s="4" t="inlineStr">
        <is>
          <t>hoa_chat</t>
        </is>
      </c>
      <c r="F165" s="4" t="n">
        <v>1.08</v>
      </c>
      <c r="G165" s="4" t="n">
        <v>1.1664</v>
      </c>
      <c r="H165" s="4" t="n">
        <v>215600</v>
      </c>
      <c r="I165" s="4" t="inlineStr"/>
      <c r="J165" s="4" t="inlineStr"/>
      <c r="K165" s="4" t="inlineStr"/>
      <c r="L165" s="4">
        <f>G165*H165</f>
        <v/>
      </c>
      <c r="M165" s="4" t="inlineStr">
        <is>
          <t>Hóa chất phân tích tiêu chuẩn Vimcerts/Vilas</t>
        </is>
      </c>
    </row>
    <row r="166">
      <c r="A166" s="5" t="n">
        <v>162</v>
      </c>
      <c r="B166" s="5" t="inlineStr">
        <is>
          <t>VL_162</t>
        </is>
      </c>
      <c r="C166" s="5" t="inlineStr">
        <is>
          <t>Túi nilon</t>
        </is>
      </c>
      <c r="D166" s="5" t="inlineStr">
        <is>
          <t>cái</t>
        </is>
      </c>
      <c r="E166" s="5" t="inlineStr">
        <is>
          <t>thong_dung</t>
        </is>
      </c>
      <c r="F166" s="5" t="n">
        <v>41.02</v>
      </c>
      <c r="G166" s="5" t="n">
        <v>44.3016</v>
      </c>
      <c r="H166" s="5" t="n">
        <v>14700</v>
      </c>
      <c r="I166" s="5" t="inlineStr"/>
      <c r="J166" s="5" t="inlineStr"/>
      <c r="K166" s="5" t="inlineStr"/>
      <c r="L166" s="5">
        <f>G166*H166</f>
        <v/>
      </c>
      <c r="M166" s="5" t="inlineStr">
        <is>
          <t>Hóa chất phân tích tiêu chuẩn Vimcerts/Vilas</t>
        </is>
      </c>
    </row>
    <row r="167">
      <c r="A167" s="4" t="n">
        <v>163</v>
      </c>
      <c r="B167" s="4" t="inlineStr">
        <is>
          <t>VL_163</t>
        </is>
      </c>
      <c r="C167" s="4" t="inlineStr">
        <is>
          <t>Xenlulo</t>
        </is>
      </c>
      <c r="D167" s="4" t="inlineStr">
        <is>
          <t>gam</t>
        </is>
      </c>
      <c r="E167" s="4" t="inlineStr">
        <is>
          <t>hoa_chat</t>
        </is>
      </c>
      <c r="F167" s="4" t="n">
        <v>0.36</v>
      </c>
      <c r="G167" s="4" t="n">
        <v>0.3888</v>
      </c>
      <c r="H167" s="4" t="n">
        <v>1180</v>
      </c>
      <c r="I167" s="4" t="inlineStr"/>
      <c r="J167" s="4" t="inlineStr"/>
      <c r="K167" s="4" t="inlineStr"/>
      <c r="L167" s="4">
        <f>G167*H167</f>
        <v/>
      </c>
      <c r="M167" s="4" t="inlineStr">
        <is>
          <t>Hóa chất phân tích tiêu chuẩn Vimcerts/Vilas</t>
        </is>
      </c>
    </row>
    <row r="168">
      <c r="A168" s="5" t="n">
        <v>164</v>
      </c>
      <c r="B168" s="5" t="inlineStr">
        <is>
          <t>VL_164</t>
        </is>
      </c>
      <c r="C168" s="5" t="inlineStr">
        <is>
          <t>Zn(CH3COO)2</t>
        </is>
      </c>
      <c r="D168" s="5" t="inlineStr">
        <is>
          <t>gam</t>
        </is>
      </c>
      <c r="E168" s="5" t="inlineStr">
        <is>
          <t>hoa_chat</t>
        </is>
      </c>
      <c r="F168" s="5" t="n">
        <v>24</v>
      </c>
      <c r="G168" s="5" t="n">
        <v>25.92</v>
      </c>
      <c r="H168" s="5" t="n">
        <v>1180</v>
      </c>
      <c r="I168" s="5" t="inlineStr"/>
      <c r="J168" s="5" t="inlineStr"/>
      <c r="K168" s="5" t="inlineStr"/>
      <c r="L168" s="5">
        <f>G168*H168</f>
        <v/>
      </c>
      <c r="M168" s="5" t="inlineStr">
        <is>
          <t>Hóa chất phân tích tiêu chuẩn Vimcerts/Vilas</t>
        </is>
      </c>
    </row>
    <row r="169">
      <c r="A169" s="4" t="n">
        <v>165</v>
      </c>
      <c r="B169" s="4" t="inlineStr">
        <is>
          <t>VL_165</t>
        </is>
      </c>
      <c r="C169" s="4" t="inlineStr">
        <is>
          <t>ZrOCl2.8.H2O</t>
        </is>
      </c>
      <c r="D169" s="4" t="inlineStr">
        <is>
          <t>gam</t>
        </is>
      </c>
      <c r="E169" s="4" t="inlineStr">
        <is>
          <t>hoa_chat</t>
        </is>
      </c>
      <c r="F169" s="4" t="n">
        <v>2</v>
      </c>
      <c r="G169" s="4" t="n">
        <v>2.16</v>
      </c>
      <c r="H169" s="4" t="n">
        <v>1180</v>
      </c>
      <c r="I169" s="4" t="inlineStr"/>
      <c r="J169" s="4" t="inlineStr"/>
      <c r="K169" s="4" t="inlineStr"/>
      <c r="L169" s="4">
        <f>G169*H169</f>
        <v/>
      </c>
      <c r="M169" s="4" t="inlineStr">
        <is>
          <t>Hóa chất phân tích tiêu chuẩn Vimcerts/Vilas</t>
        </is>
      </c>
    </row>
    <row r="170">
      <c r="A170" s="5" t="n">
        <v>166</v>
      </c>
      <c r="B170" s="5" t="inlineStr">
        <is>
          <t>VL_166</t>
        </is>
      </c>
      <c r="C170" s="5" t="inlineStr">
        <is>
          <t>hộp</t>
        </is>
      </c>
      <c r="D170" s="5" t="inlineStr">
        <is>
          <t>0,010</t>
        </is>
      </c>
      <c r="E170" s="5" t="inlineStr">
        <is>
          <t>thong_dung</t>
        </is>
      </c>
      <c r="F170" s="5" t="n">
        <v>0</v>
      </c>
      <c r="G170" s="5" t="n">
        <v>0</v>
      </c>
      <c r="H170" s="5" t="n">
        <v>14700</v>
      </c>
      <c r="I170" s="5" t="inlineStr"/>
      <c r="J170" s="5" t="inlineStr"/>
      <c r="K170" s="5" t="inlineStr"/>
      <c r="L170" s="5">
        <f>G170*H170</f>
        <v/>
      </c>
      <c r="M170" s="5" t="inlineStr">
        <is>
          <t>Hóa chất phân tích tiêu chuẩn Vimcerts/Vilas</t>
        </is>
      </c>
    </row>
    <row r="171">
      <c r="A171" s="4" t="n">
        <v>167</v>
      </c>
      <c r="B171" s="4" t="inlineStr">
        <is>
          <t>VL_167</t>
        </is>
      </c>
      <c r="C171" s="4" t="inlineStr">
        <is>
          <t>n-Butanol</t>
        </is>
      </c>
      <c r="D171" s="4" t="inlineStr">
        <is>
          <t>ml</t>
        </is>
      </c>
      <c r="E171" s="4" t="inlineStr">
        <is>
          <t>hoa_chat</t>
        </is>
      </c>
      <c r="F171" s="4" t="n">
        <v>3.36</v>
      </c>
      <c r="G171" s="4" t="n">
        <v>3.6288</v>
      </c>
      <c r="H171" s="4" t="n">
        <v>274</v>
      </c>
      <c r="I171" s="4" t="inlineStr"/>
      <c r="J171" s="4" t="inlineStr"/>
      <c r="K171" s="4" t="inlineStr"/>
      <c r="L171" s="4">
        <f>G171*H171</f>
        <v/>
      </c>
      <c r="M171" s="4" t="inlineStr">
        <is>
          <t>Hóa chất phân tích tiêu chuẩn Vimcerts/Vilas</t>
        </is>
      </c>
    </row>
    <row r="172">
      <c r="A172" s="5" t="n">
        <v>168</v>
      </c>
      <c r="B172" s="5" t="inlineStr">
        <is>
          <t>VL_168</t>
        </is>
      </c>
      <c r="C172" s="5" t="inlineStr">
        <is>
          <t>n-Hexan</t>
        </is>
      </c>
      <c r="D172" s="5" t="inlineStr">
        <is>
          <t>Lít</t>
        </is>
      </c>
      <c r="E172" s="5" t="inlineStr">
        <is>
          <t>hoa_chat</t>
        </is>
      </c>
      <c r="F172" s="5" t="n">
        <v>0.18</v>
      </c>
      <c r="G172" s="5" t="n">
        <v>0.1944</v>
      </c>
      <c r="H172" s="5" t="n">
        <v>191100</v>
      </c>
      <c r="I172" s="5" t="inlineStr"/>
      <c r="J172" s="5" t="inlineStr"/>
      <c r="K172" s="5" t="inlineStr"/>
      <c r="L172" s="5">
        <f>G172*H172</f>
        <v/>
      </c>
      <c r="M172" s="5" t="inlineStr">
        <is>
          <t>Hóa chất phân tích tiêu chuẩn Vimcerts/Vilas</t>
        </is>
      </c>
    </row>
    <row r="173">
      <c r="A173" s="4" t="n">
        <v>169</v>
      </c>
      <c r="B173" s="4" t="inlineStr">
        <is>
          <t>VL_169</t>
        </is>
      </c>
      <c r="C173" s="4" t="inlineStr">
        <is>
          <t>n-Hexan</t>
        </is>
      </c>
      <c r="D173" s="4" t="inlineStr">
        <is>
          <t>ml</t>
        </is>
      </c>
      <c r="E173" s="4" t="inlineStr">
        <is>
          <t>hoa_chat</t>
        </is>
      </c>
      <c r="F173" s="4" t="n">
        <v>840</v>
      </c>
      <c r="G173" s="4" t="n">
        <v>907.2</v>
      </c>
      <c r="H173" s="4" t="n">
        <v>235</v>
      </c>
      <c r="I173" s="4" t="inlineStr"/>
      <c r="J173" s="4" t="inlineStr"/>
      <c r="K173" s="4" t="inlineStr"/>
      <c r="L173" s="4">
        <f>G173*H173</f>
        <v/>
      </c>
      <c r="M173" s="4" t="inlineStr">
        <is>
          <t>Hóa chất phân tích tiêu chuẩn Vimcerts/Vilas</t>
        </is>
      </c>
    </row>
    <row r="174">
      <c r="A174" s="5" t="n">
        <v>170</v>
      </c>
      <c r="B174" s="5" t="inlineStr">
        <is>
          <t>VL_170</t>
        </is>
      </c>
      <c r="C174" s="5" t="inlineStr">
        <is>
          <t>Đá khô</t>
        </is>
      </c>
      <c r="D174" s="5" t="inlineStr">
        <is>
          <t>túi</t>
        </is>
      </c>
      <c r="E174" s="5" t="inlineStr">
        <is>
          <t>thong_dung</t>
        </is>
      </c>
      <c r="F174" s="5" t="n">
        <v>691</v>
      </c>
      <c r="G174" s="5" t="n">
        <v>746.28</v>
      </c>
      <c r="H174" s="5" t="n">
        <v>14700</v>
      </c>
      <c r="I174" s="5" t="inlineStr"/>
      <c r="J174" s="5" t="inlineStr"/>
      <c r="K174" s="5" t="inlineStr"/>
      <c r="L174" s="5">
        <f>G174*H174</f>
        <v/>
      </c>
      <c r="M174" s="5" t="inlineStr">
        <is>
          <t>Hóa chất phân tích tiêu chuẩn Vimcerts/Vilas</t>
        </is>
      </c>
    </row>
    <row r="175">
      <c r="A175" s="4" t="n">
        <v>171</v>
      </c>
      <c r="B175" s="4" t="inlineStr">
        <is>
          <t>VL_171</t>
        </is>
      </c>
      <c r="C175" s="4" t="inlineStr">
        <is>
          <t>Đĩa CD</t>
        </is>
      </c>
      <c r="D175" s="4" t="inlineStr">
        <is>
          <t>cái</t>
        </is>
      </c>
      <c r="E175" s="4" t="inlineStr">
        <is>
          <t>thong_dung</t>
        </is>
      </c>
      <c r="F175" s="4" t="n">
        <v>42</v>
      </c>
      <c r="G175" s="4" t="n">
        <v>45.36</v>
      </c>
      <c r="H175" s="4" t="n">
        <v>14700</v>
      </c>
      <c r="I175" s="4" t="inlineStr"/>
      <c r="J175" s="4" t="inlineStr"/>
      <c r="K175" s="4" t="inlineStr"/>
      <c r="L175" s="4">
        <f>G175*H175</f>
        <v/>
      </c>
      <c r="M175" s="4" t="inlineStr">
        <is>
          <t>Hóa chất phân tích tiêu chuẩn Vimcerts/Vilas</t>
        </is>
      </c>
    </row>
    <row r="176">
      <c r="A176" s="5" t="n">
        <v>172</v>
      </c>
      <c r="B176" s="5" t="inlineStr">
        <is>
          <t>VL_172</t>
        </is>
      </c>
      <c r="C176" s="5" t="inlineStr">
        <is>
          <t>Ống chuẩn AgNO3 0,1N</t>
        </is>
      </c>
      <c r="D176" s="5" t="inlineStr">
        <is>
          <t>ống</t>
        </is>
      </c>
      <c r="E176" s="5" t="inlineStr">
        <is>
          <t>hoa_chat</t>
        </is>
      </c>
      <c r="F176" s="5" t="n">
        <v>0.24</v>
      </c>
      <c r="G176" s="5" t="n">
        <v>0.2592</v>
      </c>
      <c r="H176" s="5" t="n">
        <v>31360</v>
      </c>
      <c r="I176" s="5" t="inlineStr"/>
      <c r="J176" s="5" t="inlineStr"/>
      <c r="K176" s="5" t="inlineStr"/>
      <c r="L176" s="5">
        <f>G176*H176</f>
        <v/>
      </c>
      <c r="M176" s="5" t="inlineStr">
        <is>
          <t>Hóa chất phân tích tiêu chuẩn Vimcerts/Vilas</t>
        </is>
      </c>
    </row>
    <row r="177">
      <c r="A177" s="4" t="n">
        <v>173</v>
      </c>
      <c r="B177" s="4" t="inlineStr">
        <is>
          <t>VL_173</t>
        </is>
      </c>
      <c r="C177" s="4" t="inlineStr">
        <is>
          <t>Ống chuẩn K2C2O7 0.1N</t>
        </is>
      </c>
      <c r="D177" s="4" t="inlineStr">
        <is>
          <t>ống</t>
        </is>
      </c>
      <c r="E177" s="4" t="inlineStr">
        <is>
          <t>chuan</t>
        </is>
      </c>
      <c r="F177" s="4" t="n">
        <v>0.4</v>
      </c>
      <c r="G177" s="4" t="n">
        <v>0.432</v>
      </c>
      <c r="H177" s="4" t="n">
        <v>441000</v>
      </c>
      <c r="I177" s="4" t="inlineStr"/>
      <c r="J177" s="4" t="inlineStr"/>
      <c r="K177" s="4" t="inlineStr"/>
      <c r="L177" s="4">
        <f>G177*H177</f>
        <v/>
      </c>
      <c r="M177" s="4" t="inlineStr">
        <is>
          <t>Hóa chất phân tích tiêu chuẩn Vimcerts/Vilas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45" customWidth="1" min="3" max="3"/>
    <col width="10" customWidth="1" min="4" max="4"/>
    <col width="22" customWidth="1" min="5" max="5"/>
    <col width="24" customWidth="1" min="6" max="6"/>
    <col width="19" customWidth="1" min="7" max="7"/>
    <col width="31" customWidth="1" min="8" max="8"/>
    <col width="39" customWidth="1" min="9" max="9"/>
    <col width="24" customWidth="1" min="10" max="10"/>
    <col width="20" customWidth="1" min="11" max="11"/>
    <col width="29" customWidth="1" min="12" max="12"/>
    <col width="24" customWidth="1" min="13" max="13"/>
    <col width="45" customWidth="1" min="14" max="14"/>
  </cols>
  <sheetData>
    <row r="1">
      <c r="A1" s="1" t="inlineStr">
        <is>
          <t>BẢNG DANH MỤC DỤNG CỤ &amp; BHLĐ CHUẨN BỊ TRA CỨU MUA SẮM CÔNG TÌM NGUYÊN GIÁ</t>
        </is>
      </c>
    </row>
    <row r="2">
      <c r="A2" s="2" t="inlineStr">
        <is>
          <t>(Căn cứ: Khoản 4.2 TT 20/2017/TT-BTNMT; Niên hạn 22 ca/tháng; Cộng 10% dụng cụ nhỏ phụ)</t>
        </is>
      </c>
    </row>
    <row r="3"/>
    <row r="4">
      <c r="A4" s="6" t="inlineStr">
        <is>
          <t>STT</t>
        </is>
      </c>
      <c r="B4" s="6" t="inlineStr">
        <is>
          <t>Mã Dụng Cụ</t>
        </is>
      </c>
      <c r="C4" s="6" t="inlineStr">
        <is>
          <t>Tên Dụng Cụ / Thiết Bị BHLĐ</t>
        </is>
      </c>
      <c r="D4" s="6" t="inlineStr">
        <is>
          <t>ĐVT</t>
        </is>
      </c>
      <c r="E4" s="6" t="inlineStr">
        <is>
          <t>Niên Hạn Tm (Tháng)</t>
        </is>
      </c>
      <c r="F4" s="6" t="inlineStr">
        <is>
          <t>Số Ca Chuẩn (Tm x 22)</t>
        </is>
      </c>
      <c r="G4" s="6" t="inlineStr">
        <is>
          <t>Tổng Ca Định Mức</t>
        </is>
      </c>
      <c r="H4" s="6" t="inlineStr">
        <is>
          <t>Nguyên Giá Tra Cứu MSC (VNĐ)</t>
        </is>
      </c>
      <c r="I4" s="6" t="inlineStr">
        <is>
          <t>Mã Thông Báo Tra Cứu (TBMT / KQLCNT)</t>
        </is>
      </c>
      <c r="J4" s="6" t="inlineStr">
        <is>
          <t>Ngày Phê Duyệt KQLCNT</t>
        </is>
      </c>
      <c r="K4" s="6" t="inlineStr">
        <is>
          <t>Đơn Vị Trúng Thầu</t>
        </is>
      </c>
      <c r="L4" s="6" t="inlineStr">
        <is>
          <t>Đơn Giá 1 Ca (VNĐ/ca)</t>
        </is>
      </c>
      <c r="M4" s="6" t="inlineStr">
        <is>
          <t>Tổng Thành Tiền (VNĐ)</t>
        </is>
      </c>
      <c r="N4" s="6" t="inlineStr">
        <is>
          <t>Ghi Chú</t>
        </is>
      </c>
    </row>
    <row r="5">
      <c r="A5" s="4" t="n">
        <v>1</v>
      </c>
      <c r="B5" s="4" t="inlineStr">
        <is>
          <t>DC_001</t>
        </is>
      </c>
      <c r="C5" s="4" t="inlineStr">
        <is>
          <t>Acqui</t>
        </is>
      </c>
      <c r="D5" s="4" t="inlineStr">
        <is>
          <t>bộ</t>
        </is>
      </c>
      <c r="E5" s="4" t="n">
        <v>12</v>
      </c>
      <c r="F5" s="4" t="n">
        <v>264</v>
      </c>
      <c r="G5" s="4" t="n">
        <v>0.2333</v>
      </c>
      <c r="H5" s="4" t="n">
        <v>350000</v>
      </c>
      <c r="I5" s="4" t="inlineStr"/>
      <c r="J5" s="4" t="inlineStr"/>
      <c r="K5" s="4" t="inlineStr"/>
      <c r="L5" s="4">
        <f>ROUND((H5/F5)*1.1, 0)</f>
        <v/>
      </c>
      <c r="M5" s="4">
        <f>ROUND(G5*L5, 0)</f>
        <v/>
      </c>
      <c r="N5" s="4" t="inlineStr">
        <is>
          <t>Tra cứu nguyên giá mua mới trên Mua sắm công để tính đơn giá Ca</t>
        </is>
      </c>
    </row>
    <row r="6">
      <c r="A6" s="5" t="n">
        <v>2</v>
      </c>
      <c r="B6" s="5" t="inlineStr">
        <is>
          <t>DC_002</t>
        </is>
      </c>
      <c r="C6" s="5" t="inlineStr">
        <is>
          <t>Buret chuẩn độ</t>
        </is>
      </c>
      <c r="D6" s="5" t="inlineStr">
        <is>
          <t>cái</t>
        </is>
      </c>
      <c r="E6" s="5" t="n">
        <v>12</v>
      </c>
      <c r="F6" s="5" t="n">
        <v>264</v>
      </c>
      <c r="G6" s="5" t="n">
        <v>0.2333</v>
      </c>
      <c r="H6" s="5" t="n">
        <v>350000</v>
      </c>
      <c r="I6" s="5" t="inlineStr"/>
      <c r="J6" s="5" t="inlineStr"/>
      <c r="K6" s="5" t="inlineStr"/>
      <c r="L6" s="5">
        <f>ROUND((H6/F6)*1.1, 0)</f>
        <v/>
      </c>
      <c r="M6" s="5">
        <f>ROUND(G6*L6, 0)</f>
        <v/>
      </c>
      <c r="N6" s="5" t="inlineStr">
        <is>
          <t>Tra cứu nguyên giá mua mới trên Mua sắm công để tính đơn giá Ca</t>
        </is>
      </c>
    </row>
    <row r="7">
      <c r="A7" s="4" t="n">
        <v>3</v>
      </c>
      <c r="B7" s="4" t="inlineStr">
        <is>
          <t>DC_003</t>
        </is>
      </c>
      <c r="C7" s="4" t="inlineStr">
        <is>
          <t>Burret chuẩn độ tự động</t>
        </is>
      </c>
      <c r="D7" s="4" t="inlineStr">
        <is>
          <t>cái</t>
        </is>
      </c>
      <c r="E7" s="4" t="n">
        <v>12</v>
      </c>
      <c r="F7" s="4" t="n">
        <v>264</v>
      </c>
      <c r="G7" s="4" t="n">
        <v>0.15</v>
      </c>
      <c r="H7" s="4" t="n">
        <v>350000</v>
      </c>
      <c r="I7" s="4" t="inlineStr"/>
      <c r="J7" s="4" t="inlineStr"/>
      <c r="K7" s="4" t="inlineStr"/>
      <c r="L7" s="4">
        <f>ROUND((H7/F7)*1.1, 0)</f>
        <v/>
      </c>
      <c r="M7" s="4">
        <f>ROUND(G7*L7, 0)</f>
        <v/>
      </c>
      <c r="N7" s="4" t="inlineStr">
        <is>
          <t>Tra cứu nguyên giá mua mới trên Mua sắm công để tính đơn giá Ca</t>
        </is>
      </c>
    </row>
    <row r="8">
      <c r="A8" s="5" t="n">
        <v>4</v>
      </c>
      <c r="B8" s="5" t="inlineStr">
        <is>
          <t>DC_004</t>
        </is>
      </c>
      <c r="C8" s="5" t="inlineStr">
        <is>
          <t>Burret chuẩn độ tự động</t>
        </is>
      </c>
      <c r="D8" s="5" t="inlineStr">
        <is>
          <t>Cái</t>
        </is>
      </c>
      <c r="E8" s="5" t="n">
        <v>12</v>
      </c>
      <c r="F8" s="5" t="n">
        <v>264</v>
      </c>
      <c r="G8" s="5" t="n">
        <v>0.15</v>
      </c>
      <c r="H8" s="5" t="n">
        <v>350000</v>
      </c>
      <c r="I8" s="5" t="inlineStr"/>
      <c r="J8" s="5" t="inlineStr"/>
      <c r="K8" s="5" t="inlineStr"/>
      <c r="L8" s="5">
        <f>ROUND((H8/F8)*1.1, 0)</f>
        <v/>
      </c>
      <c r="M8" s="5">
        <f>ROUND(G8*L8, 0)</f>
        <v/>
      </c>
      <c r="N8" s="5" t="inlineStr">
        <is>
          <t>Tra cứu nguyên giá mua mới trên Mua sắm công để tính đơn giá Ca</t>
        </is>
      </c>
    </row>
    <row r="9">
      <c r="A9" s="4" t="n">
        <v>5</v>
      </c>
      <c r="B9" s="4" t="inlineStr">
        <is>
          <t>DC_005</t>
        </is>
      </c>
      <c r="C9" s="4" t="inlineStr">
        <is>
          <t>Bàn làm việc</t>
        </is>
      </c>
      <c r="D9" s="4" t="inlineStr">
        <is>
          <t>cái</t>
        </is>
      </c>
      <c r="E9" s="4" t="n">
        <v>72</v>
      </c>
      <c r="F9" s="4" t="n">
        <v>1584</v>
      </c>
      <c r="G9" s="4" t="n">
        <v>0.5722</v>
      </c>
      <c r="H9" s="4" t="n">
        <v>350000</v>
      </c>
      <c r="I9" s="4" t="inlineStr"/>
      <c r="J9" s="4" t="inlineStr"/>
      <c r="K9" s="4" t="inlineStr"/>
      <c r="L9" s="4">
        <f>ROUND((H9/F9)*1.1, 0)</f>
        <v/>
      </c>
      <c r="M9" s="4">
        <f>ROUND(G9*L9, 0)</f>
        <v/>
      </c>
      <c r="N9" s="4" t="inlineStr">
        <is>
          <t>Tra cứu nguyên giá mua mới trên Mua sắm công để tính đơn giá Ca</t>
        </is>
      </c>
    </row>
    <row r="10">
      <c r="A10" s="5" t="n">
        <v>6</v>
      </c>
      <c r="B10" s="5" t="inlineStr">
        <is>
          <t>DC_006</t>
        </is>
      </c>
      <c r="C10" s="5" t="inlineStr">
        <is>
          <t>Bàn làm việc</t>
        </is>
      </c>
      <c r="D10" s="5" t="inlineStr">
        <is>
          <t>Cái</t>
        </is>
      </c>
      <c r="E10" s="5" t="n">
        <v>72</v>
      </c>
      <c r="F10" s="5" t="n">
        <v>1584</v>
      </c>
      <c r="G10" s="5" t="n">
        <v>0.025</v>
      </c>
      <c r="H10" s="5" t="n">
        <v>350000</v>
      </c>
      <c r="I10" s="5" t="inlineStr"/>
      <c r="J10" s="5" t="inlineStr"/>
      <c r="K10" s="5" t="inlineStr"/>
      <c r="L10" s="5">
        <f>ROUND((H10/F10)*1.1, 0)</f>
        <v/>
      </c>
      <c r="M10" s="5">
        <f>ROUND(G10*L10, 0)</f>
        <v/>
      </c>
      <c r="N10" s="5" t="inlineStr">
        <is>
          <t>Tra cứu nguyên giá mua mới trên Mua sắm công để tính đơn giá Ca</t>
        </is>
      </c>
    </row>
    <row r="11">
      <c r="A11" s="4" t="n">
        <v>7</v>
      </c>
      <c r="B11" s="4" t="inlineStr">
        <is>
          <t>DC_007</t>
        </is>
      </c>
      <c r="C11" s="4" t="inlineStr">
        <is>
          <t>Bàn làm việc</t>
        </is>
      </c>
      <c r="D11" s="4" t="inlineStr">
        <is>
          <t>đôi</t>
        </is>
      </c>
      <c r="E11" s="4" t="n">
        <v>72</v>
      </c>
      <c r="F11" s="4" t="n">
        <v>1584</v>
      </c>
      <c r="G11" s="4" t="n">
        <v>0.0083</v>
      </c>
      <c r="H11" s="4" t="n">
        <v>350000</v>
      </c>
      <c r="I11" s="4" t="inlineStr"/>
      <c r="J11" s="4" t="inlineStr"/>
      <c r="K11" s="4" t="inlineStr"/>
      <c r="L11" s="4">
        <f>ROUND((H11/F11)*1.1, 0)</f>
        <v/>
      </c>
      <c r="M11" s="4">
        <f>ROUND(G11*L11, 0)</f>
        <v/>
      </c>
      <c r="N11" s="4" t="inlineStr">
        <is>
          <t>Tra cứu nguyên giá mua mới trên Mua sắm công để tính đơn giá Ca</t>
        </is>
      </c>
    </row>
    <row r="12">
      <c r="A12" s="5" t="n">
        <v>8</v>
      </c>
      <c r="B12" s="5" t="inlineStr">
        <is>
          <t>DC_008</t>
        </is>
      </c>
      <c r="C12" s="5" t="inlineStr">
        <is>
          <t>Bình chưng cất</t>
        </is>
      </c>
      <c r="D12" s="5" t="inlineStr">
        <is>
          <t>cái</t>
        </is>
      </c>
      <c r="E12" s="5" t="n">
        <v>6</v>
      </c>
      <c r="F12" s="5" t="n">
        <v>132</v>
      </c>
      <c r="G12" s="5" t="n">
        <v>0.3333</v>
      </c>
      <c r="H12" s="5" t="n">
        <v>180000</v>
      </c>
      <c r="I12" s="5" t="inlineStr"/>
      <c r="J12" s="5" t="inlineStr"/>
      <c r="K12" s="5" t="inlineStr"/>
      <c r="L12" s="5">
        <f>ROUND((H12/F12)*1.1, 0)</f>
        <v/>
      </c>
      <c r="M12" s="5">
        <f>ROUND(G12*L12, 0)</f>
        <v/>
      </c>
      <c r="N12" s="5" t="inlineStr">
        <is>
          <t>Tra cứu nguyên giá mua mới trên Mua sắm công để tính đơn giá Ca</t>
        </is>
      </c>
    </row>
    <row r="13">
      <c r="A13" s="4" t="n">
        <v>9</v>
      </c>
      <c r="B13" s="4" t="inlineStr">
        <is>
          <t>DC_009</t>
        </is>
      </c>
      <c r="C13" s="4" t="inlineStr">
        <is>
          <t>Bình nhỏ giọt</t>
        </is>
      </c>
      <c r="D13" s="4" t="inlineStr">
        <is>
          <t>cái</t>
        </is>
      </c>
      <c r="E13" s="4" t="n">
        <v>1</v>
      </c>
      <c r="F13" s="4" t="n">
        <v>22</v>
      </c>
      <c r="G13" s="4" t="n">
        <v>1.8</v>
      </c>
      <c r="H13" s="4" t="n">
        <v>180000</v>
      </c>
      <c r="I13" s="4" t="inlineStr"/>
      <c r="J13" s="4" t="inlineStr"/>
      <c r="K13" s="4" t="inlineStr"/>
      <c r="L13" s="4">
        <f>ROUND((H13/F13)*1.1, 0)</f>
        <v/>
      </c>
      <c r="M13" s="4">
        <f>ROUND(G13*L13, 0)</f>
        <v/>
      </c>
      <c r="N13" s="4" t="inlineStr">
        <is>
          <t>Tra cứu nguyên giá mua mới trên Mua sắm công để tính đơn giá Ca</t>
        </is>
      </c>
    </row>
    <row r="14">
      <c r="A14" s="5" t="n">
        <v>10</v>
      </c>
      <c r="B14" s="5" t="inlineStr">
        <is>
          <t>DC_010</t>
        </is>
      </c>
      <c r="C14" s="5" t="inlineStr">
        <is>
          <t>Bình nhựa 0,5 lít</t>
        </is>
      </c>
      <c r="D14" s="5" t="inlineStr">
        <is>
          <t>cái</t>
        </is>
      </c>
      <c r="E14" s="5" t="n">
        <v>6</v>
      </c>
      <c r="F14" s="5" t="n">
        <v>132</v>
      </c>
      <c r="G14" s="5" t="n">
        <v>2.9</v>
      </c>
      <c r="H14" s="5" t="n">
        <v>180000</v>
      </c>
      <c r="I14" s="5" t="inlineStr"/>
      <c r="J14" s="5" t="inlineStr"/>
      <c r="K14" s="5" t="inlineStr"/>
      <c r="L14" s="5">
        <f>ROUND((H14/F14)*1.1, 0)</f>
        <v/>
      </c>
      <c r="M14" s="5">
        <f>ROUND(G14*L14, 0)</f>
        <v/>
      </c>
      <c r="N14" s="5" t="inlineStr">
        <is>
          <t>Tra cứu nguyên giá mua mới trên Mua sắm công để tính đơn giá Ca</t>
        </is>
      </c>
    </row>
    <row r="15">
      <c r="A15" s="4" t="n">
        <v>11</v>
      </c>
      <c r="B15" s="4" t="inlineStr">
        <is>
          <t>DC_011</t>
        </is>
      </c>
      <c r="C15" s="4" t="inlineStr">
        <is>
          <t>Bình nhựa 2 lít</t>
        </is>
      </c>
      <c r="D15" s="4" t="inlineStr">
        <is>
          <t>cái</t>
        </is>
      </c>
      <c r="E15" s="4" t="n">
        <v>6</v>
      </c>
      <c r="F15" s="4" t="n">
        <v>132</v>
      </c>
      <c r="G15" s="4" t="n">
        <v>5.6333</v>
      </c>
      <c r="H15" s="4" t="n">
        <v>180000</v>
      </c>
      <c r="I15" s="4" t="inlineStr"/>
      <c r="J15" s="4" t="inlineStr"/>
      <c r="K15" s="4" t="inlineStr"/>
      <c r="L15" s="4">
        <f>ROUND((H15/F15)*1.1, 0)</f>
        <v/>
      </c>
      <c r="M15" s="4">
        <f>ROUND(G15*L15, 0)</f>
        <v/>
      </c>
      <c r="N15" s="4" t="inlineStr">
        <is>
          <t>Tra cứu nguyên giá mua mới trên Mua sắm công để tính đơn giá Ca</t>
        </is>
      </c>
    </row>
    <row r="16">
      <c r="A16" s="5" t="n">
        <v>12</v>
      </c>
      <c r="B16" s="5" t="inlineStr">
        <is>
          <t>DC_012</t>
        </is>
      </c>
      <c r="C16" s="5" t="inlineStr">
        <is>
          <t>Bình nhựa 2 lít</t>
        </is>
      </c>
      <c r="D16" s="5" t="inlineStr">
        <is>
          <t>Cái</t>
        </is>
      </c>
      <c r="E16" s="5" t="n">
        <v>6</v>
      </c>
      <c r="F16" s="5" t="n">
        <v>132</v>
      </c>
      <c r="G16" s="5" t="n">
        <v>0.3</v>
      </c>
      <c r="H16" s="5" t="n">
        <v>180000</v>
      </c>
      <c r="I16" s="5" t="inlineStr"/>
      <c r="J16" s="5" t="inlineStr"/>
      <c r="K16" s="5" t="inlineStr"/>
      <c r="L16" s="5">
        <f>ROUND((H16/F16)*1.1, 0)</f>
        <v/>
      </c>
      <c r="M16" s="5">
        <f>ROUND(G16*L16, 0)</f>
        <v/>
      </c>
      <c r="N16" s="5" t="inlineStr">
        <is>
          <t>Tra cứu nguyên giá mua mới trên Mua sắm công để tính đơn giá Ca</t>
        </is>
      </c>
    </row>
    <row r="17">
      <c r="A17" s="4" t="n">
        <v>13</v>
      </c>
      <c r="B17" s="4" t="inlineStr">
        <is>
          <t>DC_013</t>
        </is>
      </c>
      <c r="C17" s="4" t="inlineStr">
        <is>
          <t>Bình nhựa 5 lít</t>
        </is>
      </c>
      <c r="D17" s="4" t="inlineStr">
        <is>
          <t>cái</t>
        </is>
      </c>
      <c r="E17" s="4" t="n">
        <v>6</v>
      </c>
      <c r="F17" s="4" t="n">
        <v>132</v>
      </c>
      <c r="G17" s="4" t="n">
        <v>4.6667</v>
      </c>
      <c r="H17" s="4" t="n">
        <v>180000</v>
      </c>
      <c r="I17" s="4" t="inlineStr"/>
      <c r="J17" s="4" t="inlineStr"/>
      <c r="K17" s="4" t="inlineStr"/>
      <c r="L17" s="4">
        <f>ROUND((H17/F17)*1.1, 0)</f>
        <v/>
      </c>
      <c r="M17" s="4">
        <f>ROUND(G17*L17, 0)</f>
        <v/>
      </c>
      <c r="N17" s="4" t="inlineStr">
        <is>
          <t>Tra cứu nguyên giá mua mới trên Mua sắm công để tính đơn giá Ca</t>
        </is>
      </c>
    </row>
    <row r="18">
      <c r="A18" s="5" t="n">
        <v>14</v>
      </c>
      <c r="B18" s="5" t="inlineStr">
        <is>
          <t>DC_014</t>
        </is>
      </c>
      <c r="C18" s="5" t="inlineStr">
        <is>
          <t>Bình nhựa 5 lít</t>
        </is>
      </c>
      <c r="D18" s="5" t="inlineStr">
        <is>
          <t>Cái</t>
        </is>
      </c>
      <c r="E18" s="5" t="n">
        <v>6</v>
      </c>
      <c r="F18" s="5" t="n">
        <v>132</v>
      </c>
      <c r="G18" s="5" t="n">
        <v>0.3</v>
      </c>
      <c r="H18" s="5" t="n">
        <v>180000</v>
      </c>
      <c r="I18" s="5" t="inlineStr"/>
      <c r="J18" s="5" t="inlineStr"/>
      <c r="K18" s="5" t="inlineStr"/>
      <c r="L18" s="5">
        <f>ROUND((H18/F18)*1.1, 0)</f>
        <v/>
      </c>
      <c r="M18" s="5">
        <f>ROUND(G18*L18, 0)</f>
        <v/>
      </c>
      <c r="N18" s="5" t="inlineStr">
        <is>
          <t>Tra cứu nguyên giá mua mới trên Mua sắm công để tính đơn giá Ca</t>
        </is>
      </c>
    </row>
    <row r="19">
      <c r="A19" s="4" t="n">
        <v>15</v>
      </c>
      <c r="B19" s="4" t="inlineStr">
        <is>
          <t>DC_015</t>
        </is>
      </c>
      <c r="C19" s="4" t="inlineStr">
        <is>
          <t>Bình tam giác</t>
        </is>
      </c>
      <c r="D19" s="4" t="inlineStr">
        <is>
          <t>cái</t>
        </is>
      </c>
      <c r="E19" s="4" t="n">
        <v>6</v>
      </c>
      <c r="F19" s="4" t="n">
        <v>132</v>
      </c>
      <c r="G19" s="4" t="n">
        <v>0.5667</v>
      </c>
      <c r="H19" s="4" t="n">
        <v>180000</v>
      </c>
      <c r="I19" s="4" t="inlineStr"/>
      <c r="J19" s="4" t="inlineStr"/>
      <c r="K19" s="4" t="inlineStr"/>
      <c r="L19" s="4">
        <f>ROUND((H19/F19)*1.1, 0)</f>
        <v/>
      </c>
      <c r="M19" s="4">
        <f>ROUND(G19*L19, 0)</f>
        <v/>
      </c>
      <c r="N19" s="4" t="inlineStr">
        <is>
          <t>Tra cứu nguyên giá mua mới trên Mua sắm công để tính đơn giá Ca</t>
        </is>
      </c>
    </row>
    <row r="20">
      <c r="A20" s="5" t="n">
        <v>16</v>
      </c>
      <c r="B20" s="5" t="inlineStr">
        <is>
          <t>DC_016</t>
        </is>
      </c>
      <c r="C20" s="5" t="inlineStr">
        <is>
          <t>Bình tam giác 250ml</t>
        </is>
      </c>
      <c r="D20" s="5" t="inlineStr">
        <is>
          <t>cái</t>
        </is>
      </c>
      <c r="E20" s="5" t="n">
        <v>6</v>
      </c>
      <c r="F20" s="5" t="n">
        <v>132</v>
      </c>
      <c r="G20" s="5" t="n">
        <v>4.1333</v>
      </c>
      <c r="H20" s="5" t="n">
        <v>180000</v>
      </c>
      <c r="I20" s="5" t="inlineStr"/>
      <c r="J20" s="5" t="inlineStr"/>
      <c r="K20" s="5" t="inlineStr"/>
      <c r="L20" s="5">
        <f>ROUND((H20/F20)*1.1, 0)</f>
        <v/>
      </c>
      <c r="M20" s="5">
        <f>ROUND(G20*L20, 0)</f>
        <v/>
      </c>
      <c r="N20" s="5" t="inlineStr">
        <is>
          <t>Tra cứu nguyên giá mua mới trên Mua sắm công để tính đơn giá Ca</t>
        </is>
      </c>
    </row>
    <row r="21">
      <c r="A21" s="4" t="n">
        <v>17</v>
      </c>
      <c r="B21" s="4" t="inlineStr">
        <is>
          <t>DC_017</t>
        </is>
      </c>
      <c r="C21" s="4" t="inlineStr">
        <is>
          <t>Bình tam giác 500ml</t>
        </is>
      </c>
      <c r="D21" s="4" t="inlineStr">
        <is>
          <t>cái</t>
        </is>
      </c>
      <c r="E21" s="4" t="n">
        <v>6</v>
      </c>
      <c r="F21" s="4" t="n">
        <v>132</v>
      </c>
      <c r="G21" s="4" t="n">
        <v>0.3333</v>
      </c>
      <c r="H21" s="4" t="n">
        <v>180000</v>
      </c>
      <c r="I21" s="4" t="inlineStr"/>
      <c r="J21" s="4" t="inlineStr"/>
      <c r="K21" s="4" t="inlineStr"/>
      <c r="L21" s="4">
        <f>ROUND((H21/F21)*1.1, 0)</f>
        <v/>
      </c>
      <c r="M21" s="4">
        <f>ROUND(G21*L21, 0)</f>
        <v/>
      </c>
      <c r="N21" s="4" t="inlineStr">
        <is>
          <t>Tra cứu nguyên giá mua mới trên Mua sắm công để tính đơn giá Ca</t>
        </is>
      </c>
    </row>
    <row r="22">
      <c r="A22" s="5" t="n">
        <v>18</v>
      </c>
      <c r="B22" s="5" t="inlineStr">
        <is>
          <t>DC_018</t>
        </is>
      </c>
      <c r="C22" s="5" t="inlineStr">
        <is>
          <t>Bình tia</t>
        </is>
      </c>
      <c r="D22" s="5" t="inlineStr">
        <is>
          <t>cái</t>
        </is>
      </c>
      <c r="E22" s="5" t="n">
        <v>6</v>
      </c>
      <c r="F22" s="5" t="n">
        <v>132</v>
      </c>
      <c r="G22" s="5" t="n">
        <v>12.15</v>
      </c>
      <c r="H22" s="5" t="n">
        <v>180000</v>
      </c>
      <c r="I22" s="5" t="inlineStr"/>
      <c r="J22" s="5" t="inlineStr"/>
      <c r="K22" s="5" t="inlineStr"/>
      <c r="L22" s="5">
        <f>ROUND((H22/F22)*1.1, 0)</f>
        <v/>
      </c>
      <c r="M22" s="5">
        <f>ROUND(G22*L22, 0)</f>
        <v/>
      </c>
      <c r="N22" s="5" t="inlineStr">
        <is>
          <t>Tra cứu nguyên giá mua mới trên Mua sắm công để tính đơn giá Ca</t>
        </is>
      </c>
    </row>
    <row r="23">
      <c r="A23" s="4" t="n">
        <v>19</v>
      </c>
      <c r="B23" s="4" t="inlineStr">
        <is>
          <t>DC_019</t>
        </is>
      </c>
      <c r="C23" s="4" t="inlineStr">
        <is>
          <t>Bình tia</t>
        </is>
      </c>
      <c r="D23" s="4" t="inlineStr">
        <is>
          <t>Cái</t>
        </is>
      </c>
      <c r="E23" s="4" t="n">
        <v>6</v>
      </c>
      <c r="F23" s="4" t="n">
        <v>132</v>
      </c>
      <c r="G23" s="4" t="n">
        <v>0.3</v>
      </c>
      <c r="H23" s="4" t="n">
        <v>180000</v>
      </c>
      <c r="I23" s="4" t="inlineStr"/>
      <c r="J23" s="4" t="inlineStr"/>
      <c r="K23" s="4" t="inlineStr"/>
      <c r="L23" s="4">
        <f>ROUND((H23/F23)*1.1, 0)</f>
        <v/>
      </c>
      <c r="M23" s="4">
        <f>ROUND(G23*L23, 0)</f>
        <v/>
      </c>
      <c r="N23" s="4" t="inlineStr">
        <is>
          <t>Tra cứu nguyên giá mua mới trên Mua sắm công để tính đơn giá Ca</t>
        </is>
      </c>
    </row>
    <row r="24">
      <c r="A24" s="5" t="n">
        <v>20</v>
      </c>
      <c r="B24" s="5" t="inlineStr">
        <is>
          <t>DC_020</t>
        </is>
      </c>
      <c r="C24" s="5" t="inlineStr">
        <is>
          <t>Bình định mức 1000ml</t>
        </is>
      </c>
      <c r="D24" s="5" t="inlineStr">
        <is>
          <t>cái</t>
        </is>
      </c>
      <c r="E24" s="5" t="n">
        <v>6</v>
      </c>
      <c r="F24" s="5" t="n">
        <v>132</v>
      </c>
      <c r="G24" s="5" t="n">
        <v>4.2667</v>
      </c>
      <c r="H24" s="5" t="n">
        <v>180000</v>
      </c>
      <c r="I24" s="5" t="inlineStr"/>
      <c r="J24" s="5" t="inlineStr"/>
      <c r="K24" s="5" t="inlineStr"/>
      <c r="L24" s="5">
        <f>ROUND((H24/F24)*1.1, 0)</f>
        <v/>
      </c>
      <c r="M24" s="5">
        <f>ROUND(G24*L24, 0)</f>
        <v/>
      </c>
      <c r="N24" s="5" t="inlineStr">
        <is>
          <t>Tra cứu nguyên giá mua mới trên Mua sắm công để tính đơn giá Ca</t>
        </is>
      </c>
    </row>
    <row r="25">
      <c r="A25" s="4" t="n">
        <v>21</v>
      </c>
      <c r="B25" s="4" t="inlineStr">
        <is>
          <t>DC_021</t>
        </is>
      </c>
      <c r="C25" s="4" t="inlineStr">
        <is>
          <t>Bình định mức 100ml</t>
        </is>
      </c>
      <c r="D25" s="4" t="inlineStr">
        <is>
          <t>cái</t>
        </is>
      </c>
      <c r="E25" s="4" t="n">
        <v>6</v>
      </c>
      <c r="F25" s="4" t="n">
        <v>132</v>
      </c>
      <c r="G25" s="4" t="n">
        <v>1.9</v>
      </c>
      <c r="H25" s="4" t="n">
        <v>180000</v>
      </c>
      <c r="I25" s="4" t="inlineStr"/>
      <c r="J25" s="4" t="inlineStr"/>
      <c r="K25" s="4" t="inlineStr"/>
      <c r="L25" s="4">
        <f>ROUND((H25/F25)*1.1, 0)</f>
        <v/>
      </c>
      <c r="M25" s="4">
        <f>ROUND(G25*L25, 0)</f>
        <v/>
      </c>
      <c r="N25" s="4" t="inlineStr">
        <is>
          <t>Tra cứu nguyên giá mua mới trên Mua sắm công để tính đơn giá Ca</t>
        </is>
      </c>
    </row>
    <row r="26">
      <c r="A26" s="5" t="n">
        <v>22</v>
      </c>
      <c r="B26" s="5" t="inlineStr">
        <is>
          <t>DC_022</t>
        </is>
      </c>
      <c r="C26" s="5" t="inlineStr">
        <is>
          <t>Bình định mức 100ml</t>
        </is>
      </c>
      <c r="D26" s="5" t="inlineStr">
        <is>
          <t>Cái</t>
        </is>
      </c>
      <c r="E26" s="5" t="n">
        <v>6</v>
      </c>
      <c r="F26" s="5" t="n">
        <v>132</v>
      </c>
      <c r="G26" s="5" t="n">
        <v>0.3</v>
      </c>
      <c r="H26" s="5" t="n">
        <v>180000</v>
      </c>
      <c r="I26" s="5" t="inlineStr"/>
      <c r="J26" s="5" t="inlineStr"/>
      <c r="K26" s="5" t="inlineStr"/>
      <c r="L26" s="5">
        <f>ROUND((H26/F26)*1.1, 0)</f>
        <v/>
      </c>
      <c r="M26" s="5">
        <f>ROUND(G26*L26, 0)</f>
        <v/>
      </c>
      <c r="N26" s="5" t="inlineStr">
        <is>
          <t>Tra cứu nguyên giá mua mới trên Mua sắm công để tính đơn giá Ca</t>
        </is>
      </c>
    </row>
    <row r="27">
      <c r="A27" s="4" t="n">
        <v>23</v>
      </c>
      <c r="B27" s="4" t="inlineStr">
        <is>
          <t>DC_023</t>
        </is>
      </c>
      <c r="C27" s="4" t="inlineStr">
        <is>
          <t>Bình định mức 250ml</t>
        </is>
      </c>
      <c r="D27" s="4" t="inlineStr">
        <is>
          <t>cái</t>
        </is>
      </c>
      <c r="E27" s="4" t="n">
        <v>6</v>
      </c>
      <c r="F27" s="4" t="n">
        <v>132</v>
      </c>
      <c r="G27" s="4" t="n">
        <v>1.4</v>
      </c>
      <c r="H27" s="4" t="n">
        <v>180000</v>
      </c>
      <c r="I27" s="4" t="inlineStr"/>
      <c r="J27" s="4" t="inlineStr"/>
      <c r="K27" s="4" t="inlineStr"/>
      <c r="L27" s="4">
        <f>ROUND((H27/F27)*1.1, 0)</f>
        <v/>
      </c>
      <c r="M27" s="4">
        <f>ROUND(G27*L27, 0)</f>
        <v/>
      </c>
      <c r="N27" s="4" t="inlineStr">
        <is>
          <t>Tra cứu nguyên giá mua mới trên Mua sắm công để tính đơn giá Ca</t>
        </is>
      </c>
    </row>
    <row r="28">
      <c r="A28" s="5" t="n">
        <v>24</v>
      </c>
      <c r="B28" s="5" t="inlineStr">
        <is>
          <t>DC_024</t>
        </is>
      </c>
      <c r="C28" s="5" t="inlineStr">
        <is>
          <t>Bình định mức 25ml</t>
        </is>
      </c>
      <c r="D28" s="5" t="inlineStr">
        <is>
          <t>cái</t>
        </is>
      </c>
      <c r="E28" s="5" t="n">
        <v>6</v>
      </c>
      <c r="F28" s="5" t="n">
        <v>132</v>
      </c>
      <c r="G28" s="5" t="n">
        <v>3.4667</v>
      </c>
      <c r="H28" s="5" t="n">
        <v>180000</v>
      </c>
      <c r="I28" s="5" t="inlineStr"/>
      <c r="J28" s="5" t="inlineStr"/>
      <c r="K28" s="5" t="inlineStr"/>
      <c r="L28" s="5">
        <f>ROUND((H28/F28)*1.1, 0)</f>
        <v/>
      </c>
      <c r="M28" s="5">
        <f>ROUND(G28*L28, 0)</f>
        <v/>
      </c>
      <c r="N28" s="5" t="inlineStr">
        <is>
          <t>Tra cứu nguyên giá mua mới trên Mua sắm công để tính đơn giá Ca</t>
        </is>
      </c>
    </row>
    <row r="29">
      <c r="A29" s="4" t="n">
        <v>25</v>
      </c>
      <c r="B29" s="4" t="inlineStr">
        <is>
          <t>DC_025</t>
        </is>
      </c>
      <c r="C29" s="4" t="inlineStr">
        <is>
          <t>Bình định mức 50ml</t>
        </is>
      </c>
      <c r="D29" s="4" t="inlineStr">
        <is>
          <t>cái</t>
        </is>
      </c>
      <c r="E29" s="4" t="n">
        <v>6</v>
      </c>
      <c r="F29" s="4" t="n">
        <v>132</v>
      </c>
      <c r="G29" s="4" t="n">
        <v>4.9667</v>
      </c>
      <c r="H29" s="4" t="n">
        <v>180000</v>
      </c>
      <c r="I29" s="4" t="inlineStr"/>
      <c r="J29" s="4" t="inlineStr"/>
      <c r="K29" s="4" t="inlineStr"/>
      <c r="L29" s="4">
        <f>ROUND((H29/F29)*1.1, 0)</f>
        <v/>
      </c>
      <c r="M29" s="4">
        <f>ROUND(G29*L29, 0)</f>
        <v/>
      </c>
      <c r="N29" s="4" t="inlineStr">
        <is>
          <t>Tra cứu nguyên giá mua mới trên Mua sắm công để tính đơn giá Ca</t>
        </is>
      </c>
    </row>
    <row r="30">
      <c r="A30" s="5" t="n">
        <v>26</v>
      </c>
      <c r="B30" s="5" t="inlineStr">
        <is>
          <t>DC_026</t>
        </is>
      </c>
      <c r="C30" s="5" t="inlineStr">
        <is>
          <t>Bình định mức 50ml</t>
        </is>
      </c>
      <c r="D30" s="5" t="inlineStr">
        <is>
          <t>Cái</t>
        </is>
      </c>
      <c r="E30" s="5" t="n">
        <v>6</v>
      </c>
      <c r="F30" s="5" t="n">
        <v>132</v>
      </c>
      <c r="G30" s="5" t="n">
        <v>0.3</v>
      </c>
      <c r="H30" s="5" t="n">
        <v>180000</v>
      </c>
      <c r="I30" s="5" t="inlineStr"/>
      <c r="J30" s="5" t="inlineStr"/>
      <c r="K30" s="5" t="inlineStr"/>
      <c r="L30" s="5">
        <f>ROUND((H30/F30)*1.1, 0)</f>
        <v/>
      </c>
      <c r="M30" s="5">
        <f>ROUND(G30*L30, 0)</f>
        <v/>
      </c>
      <c r="N30" s="5" t="inlineStr">
        <is>
          <t>Tra cứu nguyên giá mua mới trên Mua sắm công để tính đơn giá Ca</t>
        </is>
      </c>
    </row>
    <row r="31">
      <c r="A31" s="4" t="n">
        <v>27</v>
      </c>
      <c r="B31" s="4" t="inlineStr">
        <is>
          <t>DC_027</t>
        </is>
      </c>
      <c r="C31" s="4" t="inlineStr">
        <is>
          <t>Bản đồ địa hình</t>
        </is>
      </c>
      <c r="D31" s="4" t="inlineStr">
        <is>
          <t>cái</t>
        </is>
      </c>
      <c r="E31" s="4" t="n">
        <v>3</v>
      </c>
      <c r="F31" s="4" t="n">
        <v>66</v>
      </c>
      <c r="G31" s="4" t="n">
        <v>11.4</v>
      </c>
      <c r="H31" s="4" t="n">
        <v>350000</v>
      </c>
      <c r="I31" s="4" t="inlineStr"/>
      <c r="J31" s="4" t="inlineStr"/>
      <c r="K31" s="4" t="inlineStr"/>
      <c r="L31" s="4">
        <f>ROUND((H31/F31)*1.1, 0)</f>
        <v/>
      </c>
      <c r="M31" s="4">
        <f>ROUND(G31*L31, 0)</f>
        <v/>
      </c>
      <c r="N31" s="4" t="inlineStr">
        <is>
          <t>Tra cứu nguyên giá mua mới trên Mua sắm công để tính đơn giá Ca</t>
        </is>
      </c>
    </row>
    <row r="32">
      <c r="A32" s="5" t="n">
        <v>28</v>
      </c>
      <c r="B32" s="5" t="inlineStr">
        <is>
          <t>DC_028</t>
        </is>
      </c>
      <c r="C32" s="5" t="inlineStr">
        <is>
          <t>Bếp điện</t>
        </is>
      </c>
      <c r="D32" s="5" t="inlineStr">
        <is>
          <t>cái</t>
        </is>
      </c>
      <c r="E32" s="5" t="n">
        <v>12</v>
      </c>
      <c r="F32" s="5" t="n">
        <v>264</v>
      </c>
      <c r="G32" s="5" t="n">
        <v>0.1167</v>
      </c>
      <c r="H32" s="5" t="n">
        <v>350000</v>
      </c>
      <c r="I32" s="5" t="inlineStr"/>
      <c r="J32" s="5" t="inlineStr"/>
      <c r="K32" s="5" t="inlineStr"/>
      <c r="L32" s="5">
        <f>ROUND((H32/F32)*1.1, 0)</f>
        <v/>
      </c>
      <c r="M32" s="5">
        <f>ROUND(G32*L32, 0)</f>
        <v/>
      </c>
      <c r="N32" s="5" t="inlineStr">
        <is>
          <t>Tra cứu nguyên giá mua mới trên Mua sắm công để tính đơn giá Ca</t>
        </is>
      </c>
    </row>
    <row r="33">
      <c r="A33" s="4" t="n">
        <v>29</v>
      </c>
      <c r="B33" s="4" t="inlineStr">
        <is>
          <t>DC_029</t>
        </is>
      </c>
      <c r="C33" s="4" t="inlineStr">
        <is>
          <t>Bộ dây nối</t>
        </is>
      </c>
      <c r="D33" s="4" t="inlineStr">
        <is>
          <t>bộ</t>
        </is>
      </c>
      <c r="E33" s="4" t="n">
        <v>12</v>
      </c>
      <c r="F33" s="4" t="n">
        <v>264</v>
      </c>
      <c r="G33" s="4" t="n">
        <v>0.05</v>
      </c>
      <c r="H33" s="4" t="n">
        <v>1500000</v>
      </c>
      <c r="I33" s="4" t="inlineStr"/>
      <c r="J33" s="4" t="inlineStr"/>
      <c r="K33" s="4" t="inlineStr"/>
      <c r="L33" s="4">
        <f>ROUND((H33/F33)*1.1, 0)</f>
        <v/>
      </c>
      <c r="M33" s="4">
        <f>ROUND(G33*L33, 0)</f>
        <v/>
      </c>
      <c r="N33" s="4" t="inlineStr">
        <is>
          <t>Tra cứu nguyên giá mua mới trên Mua sắm công để tính đơn giá Ca</t>
        </is>
      </c>
    </row>
    <row r="34">
      <c r="A34" s="5" t="n">
        <v>30</v>
      </c>
      <c r="B34" s="5" t="inlineStr">
        <is>
          <t>DC_030</t>
        </is>
      </c>
      <c r="C34" s="5" t="inlineStr">
        <is>
          <t>Bộ lưu giữ filter</t>
        </is>
      </c>
      <c r="D34" s="5" t="inlineStr">
        <is>
          <t>bộ</t>
        </is>
      </c>
      <c r="E34" s="5" t="n">
        <v>60</v>
      </c>
      <c r="F34" s="5" t="n">
        <v>1320</v>
      </c>
      <c r="G34" s="5" t="n">
        <v>0.01</v>
      </c>
      <c r="H34" s="5" t="n">
        <v>1500000</v>
      </c>
      <c r="I34" s="5" t="inlineStr"/>
      <c r="J34" s="5" t="inlineStr"/>
      <c r="K34" s="5" t="inlineStr"/>
      <c r="L34" s="5">
        <f>ROUND((H34/F34)*1.1, 0)</f>
        <v/>
      </c>
      <c r="M34" s="5">
        <f>ROUND(G34*L34, 0)</f>
        <v/>
      </c>
      <c r="N34" s="5" t="inlineStr">
        <is>
          <t>Tra cứu nguyên giá mua mới trên Mua sắm công để tính đơn giá Ca</t>
        </is>
      </c>
    </row>
    <row r="35">
      <c r="A35" s="4" t="n">
        <v>31</v>
      </c>
      <c r="B35" s="4" t="inlineStr">
        <is>
          <t>DC_031</t>
        </is>
      </c>
      <c r="C35" s="4" t="inlineStr">
        <is>
          <t>Bộ lọc bụi</t>
        </is>
      </c>
      <c r="D35" s="4" t="inlineStr">
        <is>
          <t>bộ</t>
        </is>
      </c>
      <c r="E35" s="4" t="n">
        <v>6</v>
      </c>
      <c r="F35" s="4" t="n">
        <v>132</v>
      </c>
      <c r="G35" s="4" t="n">
        <v>0.4667</v>
      </c>
      <c r="H35" s="4" t="n">
        <v>1500000</v>
      </c>
      <c r="I35" s="4" t="inlineStr"/>
      <c r="J35" s="4" t="inlineStr"/>
      <c r="K35" s="4" t="inlineStr"/>
      <c r="L35" s="4">
        <f>ROUND((H35/F35)*1.1, 0)</f>
        <v/>
      </c>
      <c r="M35" s="4">
        <f>ROUND(G35*L35, 0)</f>
        <v/>
      </c>
      <c r="N35" s="4" t="inlineStr">
        <is>
          <t>Tra cứu nguyên giá mua mới trên Mua sắm công để tính đơn giá Ca</t>
        </is>
      </c>
    </row>
    <row r="36">
      <c r="A36" s="5" t="n">
        <v>32</v>
      </c>
      <c r="B36" s="5" t="inlineStr">
        <is>
          <t>DC_032</t>
        </is>
      </c>
      <c r="C36" s="5" t="inlineStr">
        <is>
          <t>Bộ lọc khí lưu huỳnh</t>
        </is>
      </c>
      <c r="D36" s="5" t="inlineStr">
        <is>
          <t>bộ</t>
        </is>
      </c>
      <c r="E36" s="5" t="n">
        <v>6</v>
      </c>
      <c r="F36" s="5" t="n">
        <v>132</v>
      </c>
      <c r="G36" s="5" t="n">
        <v>0.1</v>
      </c>
      <c r="H36" s="5" t="n">
        <v>1500000</v>
      </c>
      <c r="I36" s="5" t="inlineStr"/>
      <c r="J36" s="5" t="inlineStr"/>
      <c r="K36" s="5" t="inlineStr"/>
      <c r="L36" s="5">
        <f>ROUND((H36/F36)*1.1, 0)</f>
        <v/>
      </c>
      <c r="M36" s="5">
        <f>ROUND(G36*L36, 0)</f>
        <v/>
      </c>
      <c r="N36" s="5" t="inlineStr">
        <is>
          <t>Tra cứu nguyên giá mua mới trên Mua sắm công để tính đơn giá Ca</t>
        </is>
      </c>
    </row>
    <row r="37">
      <c r="A37" s="4" t="n">
        <v>33</v>
      </c>
      <c r="B37" s="4" t="inlineStr">
        <is>
          <t>DC_033</t>
        </is>
      </c>
      <c r="C37" s="4" t="inlineStr">
        <is>
          <t>Bộ lọc tạp chất cản trở</t>
        </is>
      </c>
      <c r="D37" s="4" t="inlineStr">
        <is>
          <t>bộ</t>
        </is>
      </c>
      <c r="E37" s="4" t="n">
        <v>6</v>
      </c>
      <c r="F37" s="4" t="n">
        <v>132</v>
      </c>
      <c r="G37" s="4" t="n">
        <v>0.3667</v>
      </c>
      <c r="H37" s="4" t="n">
        <v>1500000</v>
      </c>
      <c r="I37" s="4" t="inlineStr"/>
      <c r="J37" s="4" t="inlineStr"/>
      <c r="K37" s="4" t="inlineStr"/>
      <c r="L37" s="4">
        <f>ROUND((H37/F37)*1.1, 0)</f>
        <v/>
      </c>
      <c r="M37" s="4">
        <f>ROUND(G37*L37, 0)</f>
        <v/>
      </c>
      <c r="N37" s="4" t="inlineStr">
        <is>
          <t>Tra cứu nguyên giá mua mới trên Mua sắm công để tính đơn giá Ca</t>
        </is>
      </c>
    </row>
    <row r="38">
      <c r="A38" s="5" t="n">
        <v>34</v>
      </c>
      <c r="B38" s="5" t="inlineStr">
        <is>
          <t>DC_034</t>
        </is>
      </c>
      <c r="C38" s="5" t="inlineStr">
        <is>
          <t>Bộ sục khí</t>
        </is>
      </c>
      <c r="D38" s="5" t="inlineStr">
        <is>
          <t>bộ</t>
        </is>
      </c>
      <c r="E38" s="5" t="n">
        <v>24</v>
      </c>
      <c r="F38" s="5" t="n">
        <v>528</v>
      </c>
      <c r="G38" s="5" t="n">
        <v>0.0583</v>
      </c>
      <c r="H38" s="5" t="n">
        <v>1500000</v>
      </c>
      <c r="I38" s="5" t="inlineStr"/>
      <c r="J38" s="5" t="inlineStr"/>
      <c r="K38" s="5" t="inlineStr"/>
      <c r="L38" s="5">
        <f>ROUND((H38/F38)*1.1, 0)</f>
        <v/>
      </c>
      <c r="M38" s="5">
        <f>ROUND(G38*L38, 0)</f>
        <v/>
      </c>
      <c r="N38" s="5" t="inlineStr">
        <is>
          <t>Tra cứu nguyên giá mua mới trên Mua sắm công để tính đơn giá Ca</t>
        </is>
      </c>
    </row>
    <row r="39">
      <c r="A39" s="4" t="n">
        <v>35</v>
      </c>
      <c r="B39" s="4" t="inlineStr">
        <is>
          <t>DC_035</t>
        </is>
      </c>
      <c r="C39" s="4" t="inlineStr">
        <is>
          <t>Chai BOD</t>
        </is>
      </c>
      <c r="D39" s="4" t="inlineStr">
        <is>
          <t>cái</t>
        </is>
      </c>
      <c r="E39" s="4" t="n">
        <v>6</v>
      </c>
      <c r="F39" s="4" t="n">
        <v>132</v>
      </c>
      <c r="G39" s="4" t="n">
        <v>0.2333</v>
      </c>
      <c r="H39" s="4" t="n">
        <v>350000</v>
      </c>
      <c r="I39" s="4" t="inlineStr"/>
      <c r="J39" s="4" t="inlineStr"/>
      <c r="K39" s="4" t="inlineStr"/>
      <c r="L39" s="4">
        <f>ROUND((H39/F39)*1.1, 0)</f>
        <v/>
      </c>
      <c r="M39" s="4">
        <f>ROUND(G39*L39, 0)</f>
        <v/>
      </c>
      <c r="N39" s="4" t="inlineStr">
        <is>
          <t>Tra cứu nguyên giá mua mới trên Mua sắm công để tính đơn giá Ca</t>
        </is>
      </c>
    </row>
    <row r="40">
      <c r="A40" s="5" t="n">
        <v>36</v>
      </c>
      <c r="B40" s="5" t="inlineStr">
        <is>
          <t>DC_036</t>
        </is>
      </c>
      <c r="C40" s="5" t="inlineStr">
        <is>
          <t>Chai NO2</t>
        </is>
      </c>
      <c r="D40" s="5" t="inlineStr">
        <is>
          <t>cái</t>
        </is>
      </c>
      <c r="E40" s="5" t="n">
        <v>6</v>
      </c>
      <c r="F40" s="5" t="n">
        <v>132</v>
      </c>
      <c r="G40" s="5" t="n">
        <v>0.1667</v>
      </c>
      <c r="H40" s="5" t="n">
        <v>350000</v>
      </c>
      <c r="I40" s="5" t="inlineStr"/>
      <c r="J40" s="5" t="inlineStr"/>
      <c r="K40" s="5" t="inlineStr"/>
      <c r="L40" s="5">
        <f>ROUND((H40/F40)*1.1, 0)</f>
        <v/>
      </c>
      <c r="M40" s="5">
        <f>ROUND(G40*L40, 0)</f>
        <v/>
      </c>
      <c r="N40" s="5" t="inlineStr">
        <is>
          <t>Tra cứu nguyên giá mua mới trên Mua sắm công để tính đơn giá Ca</t>
        </is>
      </c>
    </row>
    <row r="41">
      <c r="A41" s="4" t="n">
        <v>37</v>
      </c>
      <c r="B41" s="4" t="inlineStr">
        <is>
          <t>DC_037</t>
        </is>
      </c>
      <c r="C41" s="4" t="inlineStr">
        <is>
          <t>Chai SO2</t>
        </is>
      </c>
      <c r="D41" s="4" t="inlineStr">
        <is>
          <t>cái</t>
        </is>
      </c>
      <c r="E41" s="4" t="n">
        <v>3</v>
      </c>
      <c r="F41" s="4" t="n">
        <v>66</v>
      </c>
      <c r="G41" s="4" t="n">
        <v>0.3333</v>
      </c>
      <c r="H41" s="4" t="n">
        <v>350000</v>
      </c>
      <c r="I41" s="4" t="inlineStr"/>
      <c r="J41" s="4" t="inlineStr"/>
      <c r="K41" s="4" t="inlineStr"/>
      <c r="L41" s="4">
        <f>ROUND((H41/F41)*1.1, 0)</f>
        <v/>
      </c>
      <c r="M41" s="4">
        <f>ROUND(G41*L41, 0)</f>
        <v/>
      </c>
      <c r="N41" s="4" t="inlineStr">
        <is>
          <t>Tra cứu nguyên giá mua mới trên Mua sắm công để tính đơn giá Ca</t>
        </is>
      </c>
    </row>
    <row r="42">
      <c r="A42" s="5" t="n">
        <v>38</v>
      </c>
      <c r="B42" s="5" t="inlineStr">
        <is>
          <t>DC_038</t>
        </is>
      </c>
      <c r="C42" s="5" t="inlineStr">
        <is>
          <t>Chai bảo quản dung dịch</t>
        </is>
      </c>
      <c r="D42" s="5" t="inlineStr">
        <is>
          <t>cái</t>
        </is>
      </c>
      <c r="E42" s="5" t="n">
        <v>6</v>
      </c>
      <c r="F42" s="5" t="n">
        <v>132</v>
      </c>
      <c r="G42" s="5" t="n">
        <v>0.2333</v>
      </c>
      <c r="H42" s="5" t="n">
        <v>350000</v>
      </c>
      <c r="I42" s="5" t="inlineStr"/>
      <c r="J42" s="5" t="inlineStr"/>
      <c r="K42" s="5" t="inlineStr"/>
      <c r="L42" s="5">
        <f>ROUND((H42/F42)*1.1, 0)</f>
        <v/>
      </c>
      <c r="M42" s="5">
        <f>ROUND(G42*L42, 0)</f>
        <v/>
      </c>
      <c r="N42" s="5" t="inlineStr">
        <is>
          <t>Tra cứu nguyên giá mua mới trên Mua sắm công để tính đơn giá Ca</t>
        </is>
      </c>
    </row>
    <row r="43">
      <c r="A43" s="4" t="n">
        <v>39</v>
      </c>
      <c r="B43" s="4" t="inlineStr">
        <is>
          <t>DC_039</t>
        </is>
      </c>
      <c r="C43" s="4" t="inlineStr">
        <is>
          <t>Chai chứa mẫu 100ml</t>
        </is>
      </c>
      <c r="D43" s="4" t="inlineStr">
        <is>
          <t>cái</t>
        </is>
      </c>
      <c r="E43" s="4" t="n">
        <v>6</v>
      </c>
      <c r="F43" s="4" t="n">
        <v>132</v>
      </c>
      <c r="G43" s="4" t="n">
        <v>0.2333</v>
      </c>
      <c r="H43" s="4" t="n">
        <v>350000</v>
      </c>
      <c r="I43" s="4" t="inlineStr"/>
      <c r="J43" s="4" t="inlineStr"/>
      <c r="K43" s="4" t="inlineStr"/>
      <c r="L43" s="4">
        <f>ROUND((H43/F43)*1.1, 0)</f>
        <v/>
      </c>
      <c r="M43" s="4">
        <f>ROUND(G43*L43, 0)</f>
        <v/>
      </c>
      <c r="N43" s="4" t="inlineStr">
        <is>
          <t>Tra cứu nguyên giá mua mới trên Mua sắm công để tính đơn giá Ca</t>
        </is>
      </c>
    </row>
    <row r="44">
      <c r="A44" s="5" t="n">
        <v>40</v>
      </c>
      <c r="B44" s="5" t="inlineStr">
        <is>
          <t>DC_040</t>
        </is>
      </c>
      <c r="C44" s="5" t="inlineStr">
        <is>
          <t>Chai nhựa 0,5 lít</t>
        </is>
      </c>
      <c r="D44" s="5" t="inlineStr">
        <is>
          <t>cái</t>
        </is>
      </c>
      <c r="E44" s="5" t="n">
        <v>6</v>
      </c>
      <c r="F44" s="5" t="n">
        <v>132</v>
      </c>
      <c r="G44" s="5" t="n">
        <v>1.4333</v>
      </c>
      <c r="H44" s="5" t="n">
        <v>350000</v>
      </c>
      <c r="I44" s="5" t="inlineStr"/>
      <c r="J44" s="5" t="inlineStr"/>
      <c r="K44" s="5" t="inlineStr"/>
      <c r="L44" s="5">
        <f>ROUND((H44/F44)*1.1, 0)</f>
        <v/>
      </c>
      <c r="M44" s="5">
        <f>ROUND(G44*L44, 0)</f>
        <v/>
      </c>
      <c r="N44" s="5" t="inlineStr">
        <is>
          <t>Tra cứu nguyên giá mua mới trên Mua sắm công để tính đơn giá Ca</t>
        </is>
      </c>
    </row>
    <row r="45">
      <c r="A45" s="4" t="n">
        <v>41</v>
      </c>
      <c r="B45" s="4" t="inlineStr">
        <is>
          <t>DC_041</t>
        </is>
      </c>
      <c r="C45" s="4" t="inlineStr">
        <is>
          <t>Chai nhựa 0,5 lít</t>
        </is>
      </c>
      <c r="D45" s="4" t="inlineStr">
        <is>
          <t>Cái</t>
        </is>
      </c>
      <c r="E45" s="4" t="n">
        <v>6</v>
      </c>
      <c r="F45" s="4" t="n">
        <v>132</v>
      </c>
      <c r="G45" s="4" t="n">
        <v>0.3</v>
      </c>
      <c r="H45" s="4" t="n">
        <v>350000</v>
      </c>
      <c r="I45" s="4" t="inlineStr"/>
      <c r="J45" s="4" t="inlineStr"/>
      <c r="K45" s="4" t="inlineStr"/>
      <c r="L45" s="4">
        <f>ROUND((H45/F45)*1.1, 0)</f>
        <v/>
      </c>
      <c r="M45" s="4">
        <f>ROUND(G45*L45, 0)</f>
        <v/>
      </c>
      <c r="N45" s="4" t="inlineStr">
        <is>
          <t>Tra cứu nguyên giá mua mới trên Mua sắm công để tính đơn giá Ca</t>
        </is>
      </c>
    </row>
    <row r="46">
      <c r="A46" s="5" t="n">
        <v>42</v>
      </c>
      <c r="B46" s="5" t="inlineStr">
        <is>
          <t>DC_042</t>
        </is>
      </c>
      <c r="C46" s="5" t="inlineStr">
        <is>
          <t>Chai đựng hóa chất</t>
        </is>
      </c>
      <c r="D46" s="5" t="inlineStr">
        <is>
          <t>cái</t>
        </is>
      </c>
      <c r="E46" s="5" t="n">
        <v>6</v>
      </c>
      <c r="F46" s="5" t="n">
        <v>132</v>
      </c>
      <c r="G46" s="5" t="n">
        <v>11.1667</v>
      </c>
      <c r="H46" s="5" t="n">
        <v>350000</v>
      </c>
      <c r="I46" s="5" t="inlineStr"/>
      <c r="J46" s="5" t="inlineStr"/>
      <c r="K46" s="5" t="inlineStr"/>
      <c r="L46" s="5">
        <f>ROUND((H46/F46)*1.1, 0)</f>
        <v/>
      </c>
      <c r="M46" s="5">
        <f>ROUND(G46*L46, 0)</f>
        <v/>
      </c>
      <c r="N46" s="5" t="inlineStr">
        <is>
          <t>Tra cứu nguyên giá mua mới trên Mua sắm công để tính đơn giá Ca</t>
        </is>
      </c>
    </row>
    <row r="47">
      <c r="A47" s="4" t="n">
        <v>43</v>
      </c>
      <c r="B47" s="4" t="inlineStr">
        <is>
          <t>DC_043</t>
        </is>
      </c>
      <c r="C47" s="4" t="inlineStr">
        <is>
          <t>Chai đựng hóa chất</t>
        </is>
      </c>
      <c r="D47" s="4" t="inlineStr">
        <is>
          <t>Cái</t>
        </is>
      </c>
      <c r="E47" s="4" t="n">
        <v>6</v>
      </c>
      <c r="F47" s="4" t="n">
        <v>132</v>
      </c>
      <c r="G47" s="4" t="n">
        <v>0.3333</v>
      </c>
      <c r="H47" s="4" t="n">
        <v>350000</v>
      </c>
      <c r="I47" s="4" t="inlineStr"/>
      <c r="J47" s="4" t="inlineStr"/>
      <c r="K47" s="4" t="inlineStr"/>
      <c r="L47" s="4">
        <f>ROUND((H47/F47)*1.1, 0)</f>
        <v/>
      </c>
      <c r="M47" s="4">
        <f>ROUND(G47*L47, 0)</f>
        <v/>
      </c>
      <c r="N47" s="4" t="inlineStr">
        <is>
          <t>Tra cứu nguyên giá mua mới trên Mua sắm công để tính đơn giá Ca</t>
        </is>
      </c>
    </row>
    <row r="48">
      <c r="A48" s="5" t="n">
        <v>44</v>
      </c>
      <c r="B48" s="5" t="inlineStr">
        <is>
          <t>DC_044</t>
        </is>
      </c>
      <c r="C48" s="5" t="inlineStr">
        <is>
          <t>Chai đựng mẫu</t>
        </is>
      </c>
      <c r="D48" s="5" t="inlineStr">
        <is>
          <t>cái</t>
        </is>
      </c>
      <c r="E48" s="5" t="n">
        <v>6</v>
      </c>
      <c r="F48" s="5" t="n">
        <v>132</v>
      </c>
      <c r="G48" s="5" t="n">
        <v>7.8417</v>
      </c>
      <c r="H48" s="5" t="n">
        <v>350000</v>
      </c>
      <c r="I48" s="5" t="inlineStr"/>
      <c r="J48" s="5" t="inlineStr"/>
      <c r="K48" s="5" t="inlineStr"/>
      <c r="L48" s="5">
        <f>ROUND((H48/F48)*1.1, 0)</f>
        <v/>
      </c>
      <c r="M48" s="5">
        <f>ROUND(G48*L48, 0)</f>
        <v/>
      </c>
      <c r="N48" s="5" t="inlineStr">
        <is>
          <t>Tra cứu nguyên giá mua mới trên Mua sắm công để tính đơn giá Ca</t>
        </is>
      </c>
    </row>
    <row r="49">
      <c r="A49" s="4" t="n">
        <v>45</v>
      </c>
      <c r="B49" s="4" t="inlineStr">
        <is>
          <t>DC_045</t>
        </is>
      </c>
      <c r="C49" s="4" t="inlineStr">
        <is>
          <t>Chai đựng mẫu</t>
        </is>
      </c>
      <c r="D49" s="4" t="inlineStr">
        <is>
          <t>cái</t>
        </is>
      </c>
      <c r="E49" s="4" t="n">
        <v>6</v>
      </c>
      <c r="F49" s="4" t="n">
        <v>132</v>
      </c>
      <c r="G49" s="4" t="n">
        <v>0.2</v>
      </c>
      <c r="H49" s="4" t="n">
        <v>350000</v>
      </c>
      <c r="I49" s="4" t="inlineStr"/>
      <c r="J49" s="4" t="inlineStr"/>
      <c r="K49" s="4" t="inlineStr"/>
      <c r="L49" s="4">
        <f>ROUND((H49/F49)*1.1, 0)</f>
        <v/>
      </c>
      <c r="M49" s="4">
        <f>ROUND(G49*L49, 0)</f>
        <v/>
      </c>
      <c r="N49" s="4" t="inlineStr">
        <is>
          <t>Tra cứu nguyên giá mua mới trên Mua sắm công để tính đơn giá Ca</t>
        </is>
      </c>
    </row>
    <row r="50">
      <c r="A50" s="5" t="n">
        <v>46</v>
      </c>
      <c r="B50" s="5" t="inlineStr">
        <is>
          <t>DC_046</t>
        </is>
      </c>
      <c r="C50" s="5" t="inlineStr">
        <is>
          <t>Chai đựng mẫu</t>
        </is>
      </c>
      <c r="D50" s="5" t="inlineStr">
        <is>
          <t>cai</t>
        </is>
      </c>
      <c r="E50" s="5" t="n">
        <v>6</v>
      </c>
      <c r="F50" s="5" t="n">
        <v>132</v>
      </c>
      <c r="G50" s="5" t="n">
        <v>0.2</v>
      </c>
      <c r="H50" s="5" t="n">
        <v>350000</v>
      </c>
      <c r="I50" s="5" t="inlineStr"/>
      <c r="J50" s="5" t="inlineStr"/>
      <c r="K50" s="5" t="inlineStr"/>
      <c r="L50" s="5">
        <f>ROUND((H50/F50)*1.1, 0)</f>
        <v/>
      </c>
      <c r="M50" s="5">
        <f>ROUND(G50*L50, 0)</f>
        <v/>
      </c>
      <c r="N50" s="5" t="inlineStr">
        <is>
          <t>Tra cứu nguyên giá mua mới trên Mua sắm công để tính đơn giá Ca</t>
        </is>
      </c>
    </row>
    <row r="51">
      <c r="A51" s="4" t="n">
        <v>47</v>
      </c>
      <c r="B51" s="4" t="inlineStr">
        <is>
          <t>DC_047</t>
        </is>
      </c>
      <c r="C51" s="4" t="inlineStr">
        <is>
          <t>Chai đựng mẫu vi sinh</t>
        </is>
      </c>
      <c r="D51" s="4" t="inlineStr">
        <is>
          <t>cái</t>
        </is>
      </c>
      <c r="E51" s="4" t="n">
        <v>6</v>
      </c>
      <c r="F51" s="4" t="n">
        <v>132</v>
      </c>
      <c r="G51" s="4" t="n">
        <v>0.2333</v>
      </c>
      <c r="H51" s="4" t="n">
        <v>350000</v>
      </c>
      <c r="I51" s="4" t="inlineStr"/>
      <c r="J51" s="4" t="inlineStr"/>
      <c r="K51" s="4" t="inlineStr"/>
      <c r="L51" s="4">
        <f>ROUND((H51/F51)*1.1, 0)</f>
        <v/>
      </c>
      <c r="M51" s="4">
        <f>ROUND(G51*L51, 0)</f>
        <v/>
      </c>
      <c r="N51" s="4" t="inlineStr">
        <is>
          <t>Tra cứu nguyên giá mua mới trên Mua sắm công để tính đơn giá Ca</t>
        </is>
      </c>
    </row>
    <row r="52">
      <c r="A52" s="5" t="n">
        <v>48</v>
      </c>
      <c r="B52" s="5" t="inlineStr">
        <is>
          <t>DC_048</t>
        </is>
      </c>
      <c r="C52" s="5" t="inlineStr">
        <is>
          <t>Chụp đầu đo</t>
        </is>
      </c>
      <c r="D52" s="5" t="inlineStr">
        <is>
          <t>cái</t>
        </is>
      </c>
      <c r="E52" s="5" t="n">
        <v>3</v>
      </c>
      <c r="F52" s="5" t="n">
        <v>66</v>
      </c>
      <c r="G52" s="5" t="n">
        <v>0.3333</v>
      </c>
      <c r="H52" s="5" t="n">
        <v>350000</v>
      </c>
      <c r="I52" s="5" t="inlineStr"/>
      <c r="J52" s="5" t="inlineStr"/>
      <c r="K52" s="5" t="inlineStr"/>
      <c r="L52" s="5">
        <f>ROUND((H52/F52)*1.1, 0)</f>
        <v/>
      </c>
      <c r="M52" s="5">
        <f>ROUND(G52*L52, 0)</f>
        <v/>
      </c>
      <c r="N52" s="5" t="inlineStr">
        <is>
          <t>Tra cứu nguyên giá mua mới trên Mua sắm công để tính đơn giá Ca</t>
        </is>
      </c>
    </row>
    <row r="53">
      <c r="A53" s="4" t="n">
        <v>49</v>
      </c>
      <c r="B53" s="4" t="inlineStr">
        <is>
          <t>DC_049</t>
        </is>
      </c>
      <c r="C53" s="4" t="inlineStr">
        <is>
          <t>Cuvet 1cm</t>
        </is>
      </c>
      <c r="D53" s="4" t="inlineStr">
        <is>
          <t>cái</t>
        </is>
      </c>
      <c r="E53" s="4" t="n">
        <v>12</v>
      </c>
      <c r="F53" s="4" t="n">
        <v>264</v>
      </c>
      <c r="G53" s="4" t="n">
        <v>0.85</v>
      </c>
      <c r="H53" s="4" t="n">
        <v>350000</v>
      </c>
      <c r="I53" s="4" t="inlineStr"/>
      <c r="J53" s="4" t="inlineStr"/>
      <c r="K53" s="4" t="inlineStr"/>
      <c r="L53" s="4">
        <f>ROUND((H53/F53)*1.1, 0)</f>
        <v/>
      </c>
      <c r="M53" s="4">
        <f>ROUND(G53*L53, 0)</f>
        <v/>
      </c>
      <c r="N53" s="4" t="inlineStr">
        <is>
          <t>Tra cứu nguyên giá mua mới trên Mua sắm công để tính đơn giá Ca</t>
        </is>
      </c>
    </row>
    <row r="54">
      <c r="A54" s="5" t="n">
        <v>50</v>
      </c>
      <c r="B54" s="5" t="inlineStr">
        <is>
          <t>DC_050</t>
        </is>
      </c>
      <c r="C54" s="5" t="inlineStr">
        <is>
          <t>Cuvet Graphit</t>
        </is>
      </c>
      <c r="D54" s="5" t="inlineStr">
        <is>
          <t>cái</t>
        </is>
      </c>
      <c r="E54" s="5" t="n">
        <v>1</v>
      </c>
      <c r="F54" s="5" t="n">
        <v>22</v>
      </c>
      <c r="G54" s="5" t="n">
        <v>3.6</v>
      </c>
      <c r="H54" s="5" t="n">
        <v>350000</v>
      </c>
      <c r="I54" s="5" t="inlineStr"/>
      <c r="J54" s="5" t="inlineStr"/>
      <c r="K54" s="5" t="inlineStr"/>
      <c r="L54" s="5">
        <f>ROUND((H54/F54)*1.1, 0)</f>
        <v/>
      </c>
      <c r="M54" s="5">
        <f>ROUND(G54*L54, 0)</f>
        <v/>
      </c>
      <c r="N54" s="5" t="inlineStr">
        <is>
          <t>Tra cứu nguyên giá mua mới trên Mua sắm công để tính đơn giá Ca</t>
        </is>
      </c>
    </row>
    <row r="55">
      <c r="A55" s="4" t="n">
        <v>51</v>
      </c>
      <c r="B55" s="4" t="inlineStr">
        <is>
          <t>DC_051</t>
        </is>
      </c>
      <c r="C55" s="4" t="inlineStr">
        <is>
          <t>Cuvet thạch anh cho FIAS</t>
        </is>
      </c>
      <c r="D55" s="4" t="inlineStr">
        <is>
          <t>cái</t>
        </is>
      </c>
      <c r="E55" s="4" t="n">
        <v>12</v>
      </c>
      <c r="F55" s="4" t="n">
        <v>264</v>
      </c>
      <c r="G55" s="4" t="n">
        <v>0.3</v>
      </c>
      <c r="H55" s="4" t="n">
        <v>350000</v>
      </c>
      <c r="I55" s="4" t="inlineStr"/>
      <c r="J55" s="4" t="inlineStr"/>
      <c r="K55" s="4" t="inlineStr"/>
      <c r="L55" s="4">
        <f>ROUND((H55/F55)*1.1, 0)</f>
        <v/>
      </c>
      <c r="M55" s="4">
        <f>ROUND(G55*L55, 0)</f>
        <v/>
      </c>
      <c r="N55" s="4" t="inlineStr">
        <is>
          <t>Tra cứu nguyên giá mua mới trên Mua sắm công để tính đơn giá Ca</t>
        </is>
      </c>
    </row>
    <row r="56">
      <c r="A56" s="5" t="n">
        <v>52</v>
      </c>
      <c r="B56" s="5" t="inlineStr">
        <is>
          <t>DC_052</t>
        </is>
      </c>
      <c r="C56" s="5" t="inlineStr">
        <is>
          <t>Cái lọc</t>
        </is>
      </c>
      <c r="D56" s="5" t="inlineStr">
        <is>
          <t>cái</t>
        </is>
      </c>
      <c r="E56" s="5" t="n">
        <v>1</v>
      </c>
      <c r="F56" s="5" t="n">
        <v>22</v>
      </c>
      <c r="G56" s="5" t="n">
        <v>2</v>
      </c>
      <c r="H56" s="5" t="n">
        <v>350000</v>
      </c>
      <c r="I56" s="5" t="inlineStr"/>
      <c r="J56" s="5" t="inlineStr"/>
      <c r="K56" s="5" t="inlineStr"/>
      <c r="L56" s="5">
        <f>ROUND((H56/F56)*1.1, 0)</f>
        <v/>
      </c>
      <c r="M56" s="5">
        <f>ROUND(G56*L56, 0)</f>
        <v/>
      </c>
      <c r="N56" s="5" t="inlineStr">
        <is>
          <t>Tra cứu nguyên giá mua mới trên Mua sắm công để tính đơn giá Ca</t>
        </is>
      </c>
    </row>
    <row r="57">
      <c r="A57" s="4" t="n">
        <v>53</v>
      </c>
      <c r="B57" s="4" t="inlineStr">
        <is>
          <t>DC_053</t>
        </is>
      </c>
      <c r="C57" s="4" t="inlineStr">
        <is>
          <t>Công tác phân tích độ rung trong phòng thí nghiệm (2ĐR)</t>
        </is>
      </c>
      <c r="D57" s="4" t="inlineStr"/>
      <c r="E57" s="4" t="n">
        <v>12</v>
      </c>
      <c r="F57" s="4" t="n">
        <v>264</v>
      </c>
      <c r="G57" s="4" t="n">
        <v>0.0833</v>
      </c>
      <c r="H57" s="4" t="n">
        <v>350000</v>
      </c>
      <c r="I57" s="4" t="inlineStr"/>
      <c r="J57" s="4" t="inlineStr"/>
      <c r="K57" s="4" t="inlineStr"/>
      <c r="L57" s="4">
        <f>ROUND((H57/F57)*1.1, 0)</f>
        <v/>
      </c>
      <c r="M57" s="4">
        <f>ROUND(G57*L57, 0)</f>
        <v/>
      </c>
      <c r="N57" s="4" t="inlineStr">
        <is>
          <t>Tra cứu nguyên giá mua mới trên Mua sắm công để tính đơn giá Ca</t>
        </is>
      </c>
    </row>
    <row r="58">
      <c r="A58" s="5" t="n">
        <v>54</v>
      </c>
      <c r="B58" s="5" t="inlineStr">
        <is>
          <t>DC_054</t>
        </is>
      </c>
      <c r="C58" s="5" t="inlineStr">
        <is>
          <t>Cốc cân</t>
        </is>
      </c>
      <c r="D58" s="5" t="inlineStr">
        <is>
          <t>cái</t>
        </is>
      </c>
      <c r="E58" s="5" t="n">
        <v>6</v>
      </c>
      <c r="F58" s="5" t="n">
        <v>132</v>
      </c>
      <c r="G58" s="5" t="n">
        <v>0.2333</v>
      </c>
      <c r="H58" s="5" t="n">
        <v>180000</v>
      </c>
      <c r="I58" s="5" t="inlineStr"/>
      <c r="J58" s="5" t="inlineStr"/>
      <c r="K58" s="5" t="inlineStr"/>
      <c r="L58" s="5">
        <f>ROUND((H58/F58)*1.1, 0)</f>
        <v/>
      </c>
      <c r="M58" s="5">
        <f>ROUND(G58*L58, 0)</f>
        <v/>
      </c>
      <c r="N58" s="5" t="inlineStr">
        <is>
          <t>Tra cứu nguyên giá mua mới trên Mua sắm công để tính đơn giá Ca</t>
        </is>
      </c>
    </row>
    <row r="59">
      <c r="A59" s="4" t="n">
        <v>55</v>
      </c>
      <c r="B59" s="4" t="inlineStr">
        <is>
          <t>DC_055</t>
        </is>
      </c>
      <c r="C59" s="4" t="inlineStr">
        <is>
          <t>Cốc thủy tinh</t>
        </is>
      </c>
      <c r="D59" s="4" t="inlineStr">
        <is>
          <t>cái</t>
        </is>
      </c>
      <c r="E59" s="4" t="n">
        <v>6</v>
      </c>
      <c r="F59" s="4" t="n">
        <v>132</v>
      </c>
      <c r="G59" s="4" t="n">
        <v>1.3</v>
      </c>
      <c r="H59" s="4" t="n">
        <v>180000</v>
      </c>
      <c r="I59" s="4" t="inlineStr"/>
      <c r="J59" s="4" t="inlineStr"/>
      <c r="K59" s="4" t="inlineStr"/>
      <c r="L59" s="4">
        <f>ROUND((H59/F59)*1.1, 0)</f>
        <v/>
      </c>
      <c r="M59" s="4">
        <f>ROUND(G59*L59, 0)</f>
        <v/>
      </c>
      <c r="N59" s="4" t="inlineStr">
        <is>
          <t>Tra cứu nguyên giá mua mới trên Mua sắm công để tính đơn giá Ca</t>
        </is>
      </c>
    </row>
    <row r="60">
      <c r="A60" s="5" t="n">
        <v>56</v>
      </c>
      <c r="B60" s="5" t="inlineStr">
        <is>
          <t>DC_056</t>
        </is>
      </c>
      <c r="C60" s="5" t="inlineStr">
        <is>
          <t>Cốc thủy tinh 250ml</t>
        </is>
      </c>
      <c r="D60" s="5" t="inlineStr">
        <is>
          <t>cái</t>
        </is>
      </c>
      <c r="E60" s="5" t="n">
        <v>6</v>
      </c>
      <c r="F60" s="5" t="n">
        <v>132</v>
      </c>
      <c r="G60" s="5" t="n">
        <v>4.4667</v>
      </c>
      <c r="H60" s="5" t="n">
        <v>180000</v>
      </c>
      <c r="I60" s="5" t="inlineStr"/>
      <c r="J60" s="5" t="inlineStr"/>
      <c r="K60" s="5" t="inlineStr"/>
      <c r="L60" s="5">
        <f>ROUND((H60/F60)*1.1, 0)</f>
        <v/>
      </c>
      <c r="M60" s="5">
        <f>ROUND(G60*L60, 0)</f>
        <v/>
      </c>
      <c r="N60" s="5" t="inlineStr">
        <is>
          <t>Tra cứu nguyên giá mua mới trên Mua sắm công để tính đơn giá Ca</t>
        </is>
      </c>
    </row>
    <row r="61">
      <c r="A61" s="4" t="n">
        <v>57</v>
      </c>
      <c r="B61" s="4" t="inlineStr">
        <is>
          <t>DC_057</t>
        </is>
      </c>
      <c r="C61" s="4" t="inlineStr">
        <is>
          <t>Cốc đo</t>
        </is>
      </c>
      <c r="D61" s="4" t="inlineStr">
        <is>
          <t>cái</t>
        </is>
      </c>
      <c r="E61" s="4" t="n">
        <v>3</v>
      </c>
      <c r="F61" s="4" t="n">
        <v>66</v>
      </c>
      <c r="G61" s="4" t="n">
        <v>1.9667</v>
      </c>
      <c r="H61" s="4" t="n">
        <v>180000</v>
      </c>
      <c r="I61" s="4" t="inlineStr"/>
      <c r="J61" s="4" t="inlineStr"/>
      <c r="K61" s="4" t="inlineStr"/>
      <c r="L61" s="4">
        <f>ROUND((H61/F61)*1.1, 0)</f>
        <v/>
      </c>
      <c r="M61" s="4">
        <f>ROUND(G61*L61, 0)</f>
        <v/>
      </c>
      <c r="N61" s="4" t="inlineStr">
        <is>
          <t>Tra cứu nguyên giá mua mới trên Mua sắm công để tính đơn giá Ca</t>
        </is>
      </c>
    </row>
    <row r="62">
      <c r="A62" s="5" t="n">
        <v>58</v>
      </c>
      <c r="B62" s="5" t="inlineStr">
        <is>
          <t>DC_058</t>
        </is>
      </c>
      <c r="C62" s="5" t="inlineStr">
        <is>
          <t>Cột sắc ký</t>
        </is>
      </c>
      <c r="D62" s="5" t="inlineStr">
        <is>
          <t>cái</t>
        </is>
      </c>
      <c r="E62" s="5" t="n">
        <v>12</v>
      </c>
      <c r="F62" s="5" t="n">
        <v>264</v>
      </c>
      <c r="G62" s="5" t="n">
        <v>0.0833</v>
      </c>
      <c r="H62" s="5" t="n">
        <v>350000</v>
      </c>
      <c r="I62" s="5" t="inlineStr"/>
      <c r="J62" s="5" t="inlineStr"/>
      <c r="K62" s="5" t="inlineStr"/>
      <c r="L62" s="5">
        <f>ROUND((H62/F62)*1.1, 0)</f>
        <v/>
      </c>
      <c r="M62" s="5">
        <f>ROUND(G62*L62, 0)</f>
        <v/>
      </c>
      <c r="N62" s="5" t="inlineStr">
        <is>
          <t>Tra cứu nguyên giá mua mới trên Mua sắm công để tính đơn giá Ca</t>
        </is>
      </c>
    </row>
    <row r="63">
      <c r="A63" s="4" t="n">
        <v>59</v>
      </c>
      <c r="B63" s="4" t="inlineStr">
        <is>
          <t>DC_059</t>
        </is>
      </c>
      <c r="C63" s="4" t="inlineStr">
        <is>
          <t>Cột tách mao quản</t>
        </is>
      </c>
      <c r="D63" s="4" t="inlineStr">
        <is>
          <t>cái</t>
        </is>
      </c>
      <c r="E63" s="4" t="n">
        <v>12</v>
      </c>
      <c r="F63" s="4" t="n">
        <v>264</v>
      </c>
      <c r="G63" s="4" t="n">
        <v>0.0833</v>
      </c>
      <c r="H63" s="4" t="n">
        <v>350000</v>
      </c>
      <c r="I63" s="4" t="inlineStr"/>
      <c r="J63" s="4" t="inlineStr"/>
      <c r="K63" s="4" t="inlineStr"/>
      <c r="L63" s="4">
        <f>ROUND((H63/F63)*1.1, 0)</f>
        <v/>
      </c>
      <c r="M63" s="4">
        <f>ROUND(G63*L63, 0)</f>
        <v/>
      </c>
      <c r="N63" s="4" t="inlineStr">
        <is>
          <t>Tra cứu nguyên giá mua mới trên Mua sắm công để tính đơn giá Ca</t>
        </is>
      </c>
    </row>
    <row r="64">
      <c r="A64" s="5" t="n">
        <v>60</v>
      </c>
      <c r="B64" s="5" t="inlineStr">
        <is>
          <t>DC_060</t>
        </is>
      </c>
      <c r="C64" s="5" t="inlineStr">
        <is>
          <t>Dây nối</t>
        </is>
      </c>
      <c r="D64" s="5" t="inlineStr">
        <is>
          <t>cái</t>
        </is>
      </c>
      <c r="E64" s="5" t="n">
        <v>12</v>
      </c>
      <c r="F64" s="5" t="n">
        <v>264</v>
      </c>
      <c r="G64" s="5" t="n">
        <v>0.05</v>
      </c>
      <c r="H64" s="5" t="n">
        <v>350000</v>
      </c>
      <c r="I64" s="5" t="inlineStr"/>
      <c r="J64" s="5" t="inlineStr"/>
      <c r="K64" s="5" t="inlineStr"/>
      <c r="L64" s="5">
        <f>ROUND((H64/F64)*1.1, 0)</f>
        <v/>
      </c>
      <c r="M64" s="5">
        <f>ROUND(G64*L64, 0)</f>
        <v/>
      </c>
      <c r="N64" s="5" t="inlineStr">
        <is>
          <t>Tra cứu nguyên giá mua mới trên Mua sắm công để tính đơn giá Ca</t>
        </is>
      </c>
    </row>
    <row r="65">
      <c r="A65" s="4" t="n">
        <v>61</v>
      </c>
      <c r="B65" s="4" t="inlineStr">
        <is>
          <t>DC_061</t>
        </is>
      </c>
      <c r="C65" s="4" t="inlineStr">
        <is>
          <t>Dây điện đôi dài 50m</t>
        </is>
      </c>
      <c r="D65" s="4" t="inlineStr">
        <is>
          <t>dây</t>
        </is>
      </c>
      <c r="E65" s="4" t="n">
        <v>36</v>
      </c>
      <c r="F65" s="4" t="n">
        <v>792</v>
      </c>
      <c r="G65" s="4" t="n">
        <v>0.1389</v>
      </c>
      <c r="H65" s="4" t="n">
        <v>350000</v>
      </c>
      <c r="I65" s="4" t="inlineStr"/>
      <c r="J65" s="4" t="inlineStr"/>
      <c r="K65" s="4" t="inlineStr"/>
      <c r="L65" s="4">
        <f>ROUND((H65/F65)*1.1, 0)</f>
        <v/>
      </c>
      <c r="M65" s="4">
        <f>ROUND(G65*L65, 0)</f>
        <v/>
      </c>
      <c r="N65" s="4" t="inlineStr">
        <is>
          <t>Tra cứu nguyên giá mua mới trên Mua sắm công để tính đơn giá Ca</t>
        </is>
      </c>
    </row>
    <row r="66">
      <c r="A66" s="5" t="n">
        <v>62</v>
      </c>
      <c r="B66" s="5" t="inlineStr">
        <is>
          <t>DC_062</t>
        </is>
      </c>
      <c r="C66" s="5" t="inlineStr">
        <is>
          <t>Ghế tựa</t>
        </is>
      </c>
      <c r="D66" s="5" t="inlineStr">
        <is>
          <t>cái</t>
        </is>
      </c>
      <c r="E66" s="5" t="n">
        <v>72</v>
      </c>
      <c r="F66" s="5" t="n">
        <v>1584</v>
      </c>
      <c r="G66" s="5" t="n">
        <v>0.5722</v>
      </c>
      <c r="H66" s="5" t="n">
        <v>350000</v>
      </c>
      <c r="I66" s="5" t="inlineStr"/>
      <c r="J66" s="5" t="inlineStr"/>
      <c r="K66" s="5" t="inlineStr"/>
      <c r="L66" s="5">
        <f>ROUND((H66/F66)*1.1, 0)</f>
        <v/>
      </c>
      <c r="M66" s="5">
        <f>ROUND(G66*L66, 0)</f>
        <v/>
      </c>
      <c r="N66" s="5" t="inlineStr">
        <is>
          <t>Tra cứu nguyên giá mua mới trên Mua sắm công để tính đơn giá Ca</t>
        </is>
      </c>
    </row>
    <row r="67">
      <c r="A67" s="4" t="n">
        <v>63</v>
      </c>
      <c r="B67" s="4" t="inlineStr">
        <is>
          <t>DC_063</t>
        </is>
      </c>
      <c r="C67" s="4" t="inlineStr">
        <is>
          <t>Ghế tựa</t>
        </is>
      </c>
      <c r="D67" s="4" t="inlineStr">
        <is>
          <t>Cái</t>
        </is>
      </c>
      <c r="E67" s="4" t="n">
        <v>72</v>
      </c>
      <c r="F67" s="4" t="n">
        <v>1584</v>
      </c>
      <c r="G67" s="4" t="n">
        <v>0.025</v>
      </c>
      <c r="H67" s="4" t="n">
        <v>350000</v>
      </c>
      <c r="I67" s="4" t="inlineStr"/>
      <c r="J67" s="4" t="inlineStr"/>
      <c r="K67" s="4" t="inlineStr"/>
      <c r="L67" s="4">
        <f>ROUND((H67/F67)*1.1, 0)</f>
        <v/>
      </c>
      <c r="M67" s="4">
        <f>ROUND(G67*L67, 0)</f>
        <v/>
      </c>
      <c r="N67" s="4" t="inlineStr">
        <is>
          <t>Tra cứu nguyên giá mua mới trên Mua sắm công để tính đơn giá Ca</t>
        </is>
      </c>
    </row>
    <row r="68">
      <c r="A68" s="5" t="n">
        <v>64</v>
      </c>
      <c r="B68" s="5" t="inlineStr">
        <is>
          <t>DC_064</t>
        </is>
      </c>
      <c r="C68" s="5" t="inlineStr">
        <is>
          <t>Ghế tựa</t>
        </is>
      </c>
      <c r="D68" s="5" t="inlineStr">
        <is>
          <t>bộ</t>
        </is>
      </c>
      <c r="E68" s="5" t="n">
        <v>72</v>
      </c>
      <c r="F68" s="5" t="n">
        <v>1584</v>
      </c>
      <c r="G68" s="5" t="n">
        <v>0.0083</v>
      </c>
      <c r="H68" s="5" t="n">
        <v>350000</v>
      </c>
      <c r="I68" s="5" t="inlineStr"/>
      <c r="J68" s="5" t="inlineStr"/>
      <c r="K68" s="5" t="inlineStr"/>
      <c r="L68" s="5">
        <f>ROUND((H68/F68)*1.1, 0)</f>
        <v/>
      </c>
      <c r="M68" s="5">
        <f>ROUND(G68*L68, 0)</f>
        <v/>
      </c>
      <c r="N68" s="5" t="inlineStr">
        <is>
          <t>Tra cứu nguyên giá mua mới trên Mua sắm công để tính đơn giá Ca</t>
        </is>
      </c>
    </row>
    <row r="69">
      <c r="A69" s="4" t="n">
        <v>65</v>
      </c>
      <c r="B69" s="4" t="inlineStr">
        <is>
          <t>DC_065</t>
        </is>
      </c>
      <c r="C69" s="4" t="inlineStr">
        <is>
          <t>Gim bấm</t>
        </is>
      </c>
      <c r="D69" s="4" t="inlineStr">
        <is>
          <t>hộp</t>
        </is>
      </c>
      <c r="E69" s="4" t="n">
        <v>1</v>
      </c>
      <c r="F69" s="4" t="n">
        <v>22</v>
      </c>
      <c r="G69" s="4" t="n">
        <v>2</v>
      </c>
      <c r="H69" s="4" t="n">
        <v>350000</v>
      </c>
      <c r="I69" s="4" t="inlineStr"/>
      <c r="J69" s="4" t="inlineStr"/>
      <c r="K69" s="4" t="inlineStr"/>
      <c r="L69" s="4">
        <f>ROUND((H69/F69)*1.1, 0)</f>
        <v/>
      </c>
      <c r="M69" s="4">
        <f>ROUND(G69*L69, 0)</f>
        <v/>
      </c>
      <c r="N69" s="4" t="inlineStr">
        <is>
          <t>Tra cứu nguyên giá mua mới trên Mua sắm công để tính đơn giá Ca</t>
        </is>
      </c>
    </row>
    <row r="70">
      <c r="A70" s="5" t="n">
        <v>66</v>
      </c>
      <c r="B70" s="5" t="inlineStr">
        <is>
          <t>DC_066</t>
        </is>
      </c>
      <c r="C70" s="5" t="inlineStr">
        <is>
          <t>Gim bấm</t>
        </is>
      </c>
      <c r="D70" s="5" t="inlineStr">
        <is>
          <t>bộ</t>
        </is>
      </c>
      <c r="E70" s="5" t="n">
        <v>1</v>
      </c>
      <c r="F70" s="5" t="n">
        <v>22</v>
      </c>
      <c r="G70" s="5" t="n">
        <v>0.6</v>
      </c>
      <c r="H70" s="5" t="n">
        <v>350000</v>
      </c>
      <c r="I70" s="5" t="inlineStr"/>
      <c r="J70" s="5" t="inlineStr"/>
      <c r="K70" s="5" t="inlineStr"/>
      <c r="L70" s="5">
        <f>ROUND((H70/F70)*1.1, 0)</f>
        <v/>
      </c>
      <c r="M70" s="5">
        <f>ROUND(G70*L70, 0)</f>
        <v/>
      </c>
      <c r="N70" s="5" t="inlineStr">
        <is>
          <t>Tra cứu nguyên giá mua mới trên Mua sắm công để tính đơn giá Ca</t>
        </is>
      </c>
    </row>
    <row r="71">
      <c r="A71" s="4" t="n">
        <v>67</v>
      </c>
      <c r="B71" s="4" t="inlineStr">
        <is>
          <t>DC_067</t>
        </is>
      </c>
      <c r="C71" s="4" t="inlineStr">
        <is>
          <t>Gim kẹp giấy</t>
        </is>
      </c>
      <c r="D71" s="4" t="inlineStr">
        <is>
          <t>hộp</t>
        </is>
      </c>
      <c r="E71" s="4" t="n">
        <v>1</v>
      </c>
      <c r="F71" s="4" t="n">
        <v>22</v>
      </c>
      <c r="G71" s="4" t="n">
        <v>2</v>
      </c>
      <c r="H71" s="4" t="n">
        <v>350000</v>
      </c>
      <c r="I71" s="4" t="inlineStr"/>
      <c r="J71" s="4" t="inlineStr"/>
      <c r="K71" s="4" t="inlineStr"/>
      <c r="L71" s="4">
        <f>ROUND((H71/F71)*1.1, 0)</f>
        <v/>
      </c>
      <c r="M71" s="4">
        <f>ROUND(G71*L71, 0)</f>
        <v/>
      </c>
      <c r="N71" s="4" t="inlineStr">
        <is>
          <t>Tra cứu nguyên giá mua mới trên Mua sắm công để tính đơn giá Ca</t>
        </is>
      </c>
    </row>
    <row r="72">
      <c r="A72" s="5" t="n">
        <v>68</v>
      </c>
      <c r="B72" s="5" t="inlineStr">
        <is>
          <t>DC_068</t>
        </is>
      </c>
      <c r="C72" s="5" t="inlineStr">
        <is>
          <t>Gim kẹp giấy</t>
        </is>
      </c>
      <c r="D72" s="5" t="inlineStr">
        <is>
          <t>Hộp</t>
        </is>
      </c>
      <c r="E72" s="5" t="n">
        <v>1</v>
      </c>
      <c r="F72" s="5" t="n">
        <v>22</v>
      </c>
      <c r="G72" s="5" t="n">
        <v>0.6</v>
      </c>
      <c r="H72" s="5" t="n">
        <v>350000</v>
      </c>
      <c r="I72" s="5" t="inlineStr"/>
      <c r="J72" s="5" t="inlineStr"/>
      <c r="K72" s="5" t="inlineStr"/>
      <c r="L72" s="5">
        <f>ROUND((H72/F72)*1.1, 0)</f>
        <v/>
      </c>
      <c r="M72" s="5">
        <f>ROUND(G72*L72, 0)</f>
        <v/>
      </c>
      <c r="N72" s="5" t="inlineStr">
        <is>
          <t>Tra cứu nguyên giá mua mới trên Mua sắm công để tính đơn giá Ca</t>
        </is>
      </c>
    </row>
    <row r="73">
      <c r="A73" s="4" t="n">
        <v>69</v>
      </c>
      <c r="B73" s="4" t="inlineStr">
        <is>
          <t>DC_069</t>
        </is>
      </c>
      <c r="C73" s="4" t="inlineStr">
        <is>
          <t>Giầy BHLĐ</t>
        </is>
      </c>
      <c r="D73" s="4" t="inlineStr">
        <is>
          <t>đôi</t>
        </is>
      </c>
      <c r="E73" s="4" t="n">
        <v>12</v>
      </c>
      <c r="F73" s="4" t="n">
        <v>264</v>
      </c>
      <c r="G73" s="4" t="n">
        <v>7.8167</v>
      </c>
      <c r="H73" s="4" t="n">
        <v>350000</v>
      </c>
      <c r="I73" s="4" t="inlineStr"/>
      <c r="J73" s="4" t="inlineStr"/>
      <c r="K73" s="4" t="inlineStr"/>
      <c r="L73" s="4">
        <f>ROUND((H73/F73)*1.1, 0)</f>
        <v/>
      </c>
      <c r="M73" s="4">
        <f>ROUND(G73*L73, 0)</f>
        <v/>
      </c>
      <c r="N73" s="4" t="inlineStr">
        <is>
          <t>Tra cứu nguyên giá mua mới trên Mua sắm công để tính đơn giá Ca</t>
        </is>
      </c>
    </row>
    <row r="74">
      <c r="A74" s="5" t="n">
        <v>70</v>
      </c>
      <c r="B74" s="5" t="inlineStr">
        <is>
          <t>DC_070</t>
        </is>
      </c>
      <c r="C74" s="5" t="inlineStr">
        <is>
          <t>Giầy BHLĐ</t>
        </is>
      </c>
      <c r="D74" s="5" t="inlineStr">
        <is>
          <t>Đôi</t>
        </is>
      </c>
      <c r="E74" s="5" t="n">
        <v>12</v>
      </c>
      <c r="F74" s="5" t="n">
        <v>264</v>
      </c>
      <c r="G74" s="5" t="n">
        <v>0.4</v>
      </c>
      <c r="H74" s="5" t="n">
        <v>350000</v>
      </c>
      <c r="I74" s="5" t="inlineStr"/>
      <c r="J74" s="5" t="inlineStr"/>
      <c r="K74" s="5" t="inlineStr"/>
      <c r="L74" s="5">
        <f>ROUND((H74/F74)*1.1, 0)</f>
        <v/>
      </c>
      <c r="M74" s="5">
        <f>ROUND(G74*L74, 0)</f>
        <v/>
      </c>
      <c r="N74" s="5" t="inlineStr">
        <is>
          <t>Tra cứu nguyên giá mua mới trên Mua sắm công để tính đơn giá Ca</t>
        </is>
      </c>
    </row>
    <row r="75">
      <c r="A75" s="4" t="n">
        <v>71</v>
      </c>
      <c r="B75" s="4" t="inlineStr">
        <is>
          <t>DC_071</t>
        </is>
      </c>
      <c r="C75" s="4" t="inlineStr">
        <is>
          <t>Găng tay chống nóng</t>
        </is>
      </c>
      <c r="D75" s="4" t="inlineStr">
        <is>
          <t>đôi</t>
        </is>
      </c>
      <c r="E75" s="4" t="n">
        <v>3</v>
      </c>
      <c r="F75" s="4" t="n">
        <v>66</v>
      </c>
      <c r="G75" s="4" t="n">
        <v>1.5333</v>
      </c>
      <c r="H75" s="4" t="n">
        <v>180000</v>
      </c>
      <c r="I75" s="4" t="inlineStr"/>
      <c r="J75" s="4" t="inlineStr"/>
      <c r="K75" s="4" t="inlineStr"/>
      <c r="L75" s="4">
        <f>ROUND((H75/F75)*1.1, 0)</f>
        <v/>
      </c>
      <c r="M75" s="4">
        <f>ROUND(G75*L75, 0)</f>
        <v/>
      </c>
      <c r="N75" s="4" t="inlineStr">
        <is>
          <t>Tra cứu nguyên giá mua mới trên Mua sắm công để tính đơn giá Ca</t>
        </is>
      </c>
    </row>
    <row r="76">
      <c r="A76" s="5" t="n">
        <v>72</v>
      </c>
      <c r="B76" s="5" t="inlineStr">
        <is>
          <t>DC_072</t>
        </is>
      </c>
      <c r="C76" s="5" t="inlineStr">
        <is>
          <t>Găng tay y tế</t>
        </is>
      </c>
      <c r="D76" s="5" t="inlineStr">
        <is>
          <t>hộp</t>
        </is>
      </c>
      <c r="E76" s="5" t="n">
        <v>0.3</v>
      </c>
      <c r="F76" s="5" t="n">
        <v>6.6</v>
      </c>
      <c r="G76" s="5" t="n">
        <v>282</v>
      </c>
      <c r="H76" s="5" t="n">
        <v>350000</v>
      </c>
      <c r="I76" s="5" t="inlineStr"/>
      <c r="J76" s="5" t="inlineStr"/>
      <c r="K76" s="5" t="inlineStr"/>
      <c r="L76" s="5">
        <f>ROUND((H76/F76)*1.1, 0)</f>
        <v/>
      </c>
      <c r="M76" s="5">
        <f>ROUND(G76*L76, 0)</f>
        <v/>
      </c>
      <c r="N76" s="5" t="inlineStr">
        <is>
          <t>Tra cứu nguyên giá mua mới trên Mua sắm công để tính đơn giá Ca</t>
        </is>
      </c>
    </row>
    <row r="77">
      <c r="A77" s="4" t="n">
        <v>73</v>
      </c>
      <c r="B77" s="4" t="inlineStr">
        <is>
          <t>DC_073</t>
        </is>
      </c>
      <c r="C77" s="4" t="inlineStr">
        <is>
          <t>Hệ thống làm mát</t>
        </is>
      </c>
      <c r="D77" s="4" t="inlineStr">
        <is>
          <t>bộ</t>
        </is>
      </c>
      <c r="E77" s="4" t="n">
        <v>18</v>
      </c>
      <c r="F77" s="4" t="n">
        <v>396</v>
      </c>
      <c r="G77" s="4" t="n">
        <v>0.0333</v>
      </c>
      <c r="H77" s="4" t="n">
        <v>180000</v>
      </c>
      <c r="I77" s="4" t="inlineStr"/>
      <c r="J77" s="4" t="inlineStr"/>
      <c r="K77" s="4" t="inlineStr"/>
      <c r="L77" s="4">
        <f>ROUND((H77/F77)*1.1, 0)</f>
        <v/>
      </c>
      <c r="M77" s="4">
        <f>ROUND(G77*L77, 0)</f>
        <v/>
      </c>
      <c r="N77" s="4" t="inlineStr">
        <is>
          <t>Tra cứu nguyên giá mua mới trên Mua sắm công để tính đơn giá Ca</t>
        </is>
      </c>
    </row>
    <row r="78">
      <c r="A78" s="5" t="n">
        <v>74</v>
      </c>
      <c r="B78" s="5" t="inlineStr">
        <is>
          <t>DC_074</t>
        </is>
      </c>
      <c r="C78" s="5" t="inlineStr">
        <is>
          <t>Hộp gia nhiệt</t>
        </is>
      </c>
      <c r="D78" s="5" t="inlineStr">
        <is>
          <t>hộp</t>
        </is>
      </c>
      <c r="E78" s="5" t="n">
        <v>18</v>
      </c>
      <c r="F78" s="5" t="n">
        <v>396</v>
      </c>
      <c r="G78" s="5" t="n">
        <v>0.0333</v>
      </c>
      <c r="H78" s="5" t="n">
        <v>350000</v>
      </c>
      <c r="I78" s="5" t="inlineStr"/>
      <c r="J78" s="5" t="inlineStr"/>
      <c r="K78" s="5" t="inlineStr"/>
      <c r="L78" s="5">
        <f>ROUND((H78/F78)*1.1, 0)</f>
        <v/>
      </c>
      <c r="M78" s="5">
        <f>ROUND(G78*L78, 0)</f>
        <v/>
      </c>
      <c r="N78" s="5" t="inlineStr">
        <is>
          <t>Tra cứu nguyên giá mua mới trên Mua sắm công để tính đơn giá Ca</t>
        </is>
      </c>
    </row>
    <row r="79">
      <c r="A79" s="4" t="n">
        <v>75</v>
      </c>
      <c r="B79" s="4" t="inlineStr">
        <is>
          <t>DC_075</t>
        </is>
      </c>
      <c r="C79" s="4" t="inlineStr">
        <is>
          <t>Hộp đựng mẫu</t>
        </is>
      </c>
      <c r="D79" s="4" t="inlineStr">
        <is>
          <t>chiếc</t>
        </is>
      </c>
      <c r="E79" s="4" t="n">
        <v>1</v>
      </c>
      <c r="F79" s="4" t="n">
        <v>22</v>
      </c>
      <c r="G79" s="4" t="n">
        <v>4.8</v>
      </c>
      <c r="H79" s="4" t="n">
        <v>350000</v>
      </c>
      <c r="I79" s="4" t="inlineStr"/>
      <c r="J79" s="4" t="inlineStr"/>
      <c r="K79" s="4" t="inlineStr"/>
      <c r="L79" s="4">
        <f>ROUND((H79/F79)*1.1, 0)</f>
        <v/>
      </c>
      <c r="M79" s="4">
        <f>ROUND(G79*L79, 0)</f>
        <v/>
      </c>
      <c r="N79" s="4" t="inlineStr">
        <is>
          <t>Tra cứu nguyên giá mua mới trên Mua sắm công để tính đơn giá Ca</t>
        </is>
      </c>
    </row>
    <row r="80">
      <c r="A80" s="5" t="n">
        <v>76</v>
      </c>
      <c r="B80" s="5" t="inlineStr">
        <is>
          <t>DC_076</t>
        </is>
      </c>
      <c r="C80" s="5" t="inlineStr">
        <is>
          <t>Hộp đựng mẫu</t>
        </is>
      </c>
      <c r="D80" s="5" t="inlineStr">
        <is>
          <t>cái</t>
        </is>
      </c>
      <c r="E80" s="5" t="n">
        <v>1</v>
      </c>
      <c r="F80" s="5" t="n">
        <v>22</v>
      </c>
      <c r="G80" s="5" t="n">
        <v>2</v>
      </c>
      <c r="H80" s="5" t="n">
        <v>350000</v>
      </c>
      <c r="I80" s="5" t="inlineStr"/>
      <c r="J80" s="5" t="inlineStr"/>
      <c r="K80" s="5" t="inlineStr"/>
      <c r="L80" s="5">
        <f>ROUND((H80/F80)*1.1, 0)</f>
        <v/>
      </c>
      <c r="M80" s="5">
        <f>ROUND(G80*L80, 0)</f>
        <v/>
      </c>
      <c r="N80" s="5" t="inlineStr">
        <is>
          <t>Tra cứu nguyên giá mua mới trên Mua sắm công để tính đơn giá Ca</t>
        </is>
      </c>
    </row>
    <row r="81">
      <c r="A81" s="4" t="n">
        <v>77</v>
      </c>
      <c r="B81" s="4" t="inlineStr">
        <is>
          <t>DC_077</t>
        </is>
      </c>
      <c r="C81" s="4" t="inlineStr">
        <is>
          <t>Khẩu trang phòng độc</t>
        </is>
      </c>
      <c r="D81" s="4" t="inlineStr">
        <is>
          <t>đôi</t>
        </is>
      </c>
      <c r="E81" s="4" t="n">
        <v>3</v>
      </c>
      <c r="F81" s="4" t="n">
        <v>66</v>
      </c>
      <c r="G81" s="4" t="n">
        <v>1.5333</v>
      </c>
      <c r="H81" s="4" t="n">
        <v>350000</v>
      </c>
      <c r="I81" s="4" t="inlineStr"/>
      <c r="J81" s="4" t="inlineStr"/>
      <c r="K81" s="4" t="inlineStr"/>
      <c r="L81" s="4">
        <f>ROUND((H81/F81)*1.1, 0)</f>
        <v/>
      </c>
      <c r="M81" s="4">
        <f>ROUND(G81*L81, 0)</f>
        <v/>
      </c>
      <c r="N81" s="4" t="inlineStr">
        <is>
          <t>Tra cứu nguyên giá mua mới trên Mua sắm công để tính đơn giá Ca</t>
        </is>
      </c>
    </row>
    <row r="82">
      <c r="A82" s="5" t="n">
        <v>78</v>
      </c>
      <c r="B82" s="5" t="inlineStr">
        <is>
          <t>DC_078</t>
        </is>
      </c>
      <c r="C82" s="5" t="inlineStr">
        <is>
          <t>Khẩu trang y tế</t>
        </is>
      </c>
      <c r="D82" s="5" t="inlineStr">
        <is>
          <t>hộp</t>
        </is>
      </c>
      <c r="E82" s="5" t="n">
        <v>0.3</v>
      </c>
      <c r="F82" s="5" t="n">
        <v>6.6</v>
      </c>
      <c r="G82" s="5" t="n">
        <v>272.6667</v>
      </c>
      <c r="H82" s="5" t="n">
        <v>350000</v>
      </c>
      <c r="I82" s="5" t="inlineStr"/>
      <c r="J82" s="5" t="inlineStr"/>
      <c r="K82" s="5" t="inlineStr"/>
      <c r="L82" s="5">
        <f>ROUND((H82/F82)*1.1, 0)</f>
        <v/>
      </c>
      <c r="M82" s="5">
        <f>ROUND(G82*L82, 0)</f>
        <v/>
      </c>
      <c r="N82" s="5" t="inlineStr">
        <is>
          <t>Tra cứu nguyên giá mua mới trên Mua sắm công để tính đơn giá Ca</t>
        </is>
      </c>
    </row>
    <row r="83">
      <c r="A83" s="4" t="n">
        <v>79</v>
      </c>
      <c r="B83" s="4" t="inlineStr">
        <is>
          <t>DC_079</t>
        </is>
      </c>
      <c r="C83" s="4" t="inlineStr">
        <is>
          <t>Kết nối đầu đo</t>
        </is>
      </c>
      <c r="D83" s="4" t="inlineStr">
        <is>
          <t>cái</t>
        </is>
      </c>
      <c r="E83" s="4" t="n">
        <v>3</v>
      </c>
      <c r="F83" s="4" t="n">
        <v>66</v>
      </c>
      <c r="G83" s="4" t="n">
        <v>0.3333</v>
      </c>
      <c r="H83" s="4" t="n">
        <v>350000</v>
      </c>
      <c r="I83" s="4" t="inlineStr"/>
      <c r="J83" s="4" t="inlineStr"/>
      <c r="K83" s="4" t="inlineStr"/>
      <c r="L83" s="4">
        <f>ROUND((H83/F83)*1.1, 0)</f>
        <v/>
      </c>
      <c r="M83" s="4">
        <f>ROUND(G83*L83, 0)</f>
        <v/>
      </c>
      <c r="N83" s="4" t="inlineStr">
        <is>
          <t>Tra cứu nguyên giá mua mới trên Mua sắm công để tính đơn giá Ca</t>
        </is>
      </c>
    </row>
    <row r="84">
      <c r="A84" s="5" t="n">
        <v>80</v>
      </c>
      <c r="B84" s="5" t="inlineStr">
        <is>
          <t>DC_080</t>
        </is>
      </c>
      <c r="C84" s="5" t="inlineStr">
        <is>
          <t>Micropipet 10ml</t>
        </is>
      </c>
      <c r="D84" s="5" t="inlineStr">
        <is>
          <t>cái</t>
        </is>
      </c>
      <c r="E84" s="5" t="n">
        <v>6</v>
      </c>
      <c r="F84" s="5" t="n">
        <v>132</v>
      </c>
      <c r="G84" s="5" t="n">
        <v>0.5667</v>
      </c>
      <c r="H84" s="5" t="n">
        <v>350000</v>
      </c>
      <c r="I84" s="5" t="inlineStr"/>
      <c r="J84" s="5" t="inlineStr"/>
      <c r="K84" s="5" t="inlineStr"/>
      <c r="L84" s="5">
        <f>ROUND((H84/F84)*1.1, 0)</f>
        <v/>
      </c>
      <c r="M84" s="5">
        <f>ROUND(G84*L84, 0)</f>
        <v/>
      </c>
      <c r="N84" s="5" t="inlineStr">
        <is>
          <t>Tra cứu nguyên giá mua mới trên Mua sắm công để tính đơn giá Ca</t>
        </is>
      </c>
    </row>
    <row r="85">
      <c r="A85" s="4" t="n">
        <v>81</v>
      </c>
      <c r="B85" s="4" t="inlineStr">
        <is>
          <t>DC_081</t>
        </is>
      </c>
      <c r="C85" s="4" t="inlineStr">
        <is>
          <t>Micropipet 1ml</t>
        </is>
      </c>
      <c r="D85" s="4" t="inlineStr">
        <is>
          <t>cái</t>
        </is>
      </c>
      <c r="E85" s="4" t="n">
        <v>6</v>
      </c>
      <c r="F85" s="4" t="n">
        <v>132</v>
      </c>
      <c r="G85" s="4" t="n">
        <v>3.2333</v>
      </c>
      <c r="H85" s="4" t="n">
        <v>350000</v>
      </c>
      <c r="I85" s="4" t="inlineStr"/>
      <c r="J85" s="4" t="inlineStr"/>
      <c r="K85" s="4" t="inlineStr"/>
      <c r="L85" s="4">
        <f>ROUND((H85/F85)*1.1, 0)</f>
        <v/>
      </c>
      <c r="M85" s="4">
        <f>ROUND(G85*L85, 0)</f>
        <v/>
      </c>
      <c r="N85" s="4" t="inlineStr">
        <is>
          <t>Tra cứu nguyên giá mua mới trên Mua sắm công để tính đơn giá Ca</t>
        </is>
      </c>
    </row>
    <row r="86">
      <c r="A86" s="5" t="n">
        <v>82</v>
      </c>
      <c r="B86" s="5" t="inlineStr">
        <is>
          <t>DC_082</t>
        </is>
      </c>
      <c r="C86" s="5" t="inlineStr">
        <is>
          <t>Micropipet 5ml</t>
        </is>
      </c>
      <c r="D86" s="5" t="inlineStr">
        <is>
          <t>cái</t>
        </is>
      </c>
      <c r="E86" s="5" t="n">
        <v>6</v>
      </c>
      <c r="F86" s="5" t="n">
        <v>132</v>
      </c>
      <c r="G86" s="5" t="n">
        <v>1.6667</v>
      </c>
      <c r="H86" s="5" t="n">
        <v>350000</v>
      </c>
      <c r="I86" s="5" t="inlineStr"/>
      <c r="J86" s="5" t="inlineStr"/>
      <c r="K86" s="5" t="inlineStr"/>
      <c r="L86" s="5">
        <f>ROUND((H86/F86)*1.1, 0)</f>
        <v/>
      </c>
      <c r="M86" s="5">
        <f>ROUND(G86*L86, 0)</f>
        <v/>
      </c>
      <c r="N86" s="5" t="inlineStr">
        <is>
          <t>Tra cứu nguyên giá mua mới trên Mua sắm công để tính đơn giá Ca</t>
        </is>
      </c>
    </row>
    <row r="87">
      <c r="A87" s="4" t="n">
        <v>83</v>
      </c>
      <c r="B87" s="4" t="inlineStr">
        <is>
          <t>DC_083</t>
        </is>
      </c>
      <c r="C87" s="4" t="inlineStr">
        <is>
          <t>Micropipet 5ml</t>
        </is>
      </c>
      <c r="D87" s="4" t="inlineStr">
        <is>
          <t>Cái</t>
        </is>
      </c>
      <c r="E87" s="4" t="n">
        <v>6</v>
      </c>
      <c r="F87" s="4" t="n">
        <v>132</v>
      </c>
      <c r="G87" s="4" t="n">
        <v>0.2333</v>
      </c>
      <c r="H87" s="4" t="n">
        <v>350000</v>
      </c>
      <c r="I87" s="4" t="inlineStr"/>
      <c r="J87" s="4" t="inlineStr"/>
      <c r="K87" s="4" t="inlineStr"/>
      <c r="L87" s="4">
        <f>ROUND((H87/F87)*1.1, 0)</f>
        <v/>
      </c>
      <c r="M87" s="4">
        <f>ROUND(G87*L87, 0)</f>
        <v/>
      </c>
      <c r="N87" s="4" t="inlineStr">
        <is>
          <t>Tra cứu nguyên giá mua mới trên Mua sắm công để tính đơn giá Ca</t>
        </is>
      </c>
    </row>
    <row r="88">
      <c r="A88" s="5" t="n">
        <v>84</v>
      </c>
      <c r="B88" s="5" t="inlineStr">
        <is>
          <t>DC_084</t>
        </is>
      </c>
      <c r="C88" s="5" t="inlineStr">
        <is>
          <t>Màng lọc cho FIAS</t>
        </is>
      </c>
      <c r="D88" s="5" t="inlineStr">
        <is>
          <t>cái</t>
        </is>
      </c>
      <c r="E88" s="5" t="n">
        <v>2</v>
      </c>
      <c r="F88" s="5" t="n">
        <v>44</v>
      </c>
      <c r="G88" s="5" t="n">
        <v>1.8</v>
      </c>
      <c r="H88" s="5" t="n">
        <v>350000</v>
      </c>
      <c r="I88" s="5" t="inlineStr"/>
      <c r="J88" s="5" t="inlineStr"/>
      <c r="K88" s="5" t="inlineStr"/>
      <c r="L88" s="5">
        <f>ROUND((H88/F88)*1.1, 0)</f>
        <v/>
      </c>
      <c r="M88" s="5">
        <f>ROUND(G88*L88, 0)</f>
        <v/>
      </c>
      <c r="N88" s="5" t="inlineStr">
        <is>
          <t>Tra cứu nguyên giá mua mới trên Mua sắm công để tính đơn giá Ca</t>
        </is>
      </c>
    </row>
    <row r="89">
      <c r="A89" s="4" t="n">
        <v>85</v>
      </c>
      <c r="B89" s="4" t="inlineStr">
        <is>
          <t>DC_085</t>
        </is>
      </c>
      <c r="C89" s="4" t="inlineStr">
        <is>
          <t>Máy hút bụi 2kw</t>
        </is>
      </c>
      <c r="D89" s="4" t="inlineStr">
        <is>
          <t>cái</t>
        </is>
      </c>
      <c r="E89" s="4" t="n">
        <v>60</v>
      </c>
      <c r="F89" s="4" t="n">
        <v>1320</v>
      </c>
      <c r="G89" s="4" t="n">
        <v>0.6967</v>
      </c>
      <c r="H89" s="4" t="n">
        <v>350000</v>
      </c>
      <c r="I89" s="4" t="inlineStr"/>
      <c r="J89" s="4" t="inlineStr"/>
      <c r="K89" s="4" t="inlineStr"/>
      <c r="L89" s="4">
        <f>ROUND((H89/F89)*1.1, 0)</f>
        <v/>
      </c>
      <c r="M89" s="4">
        <f>ROUND(G89*L89, 0)</f>
        <v/>
      </c>
      <c r="N89" s="4" t="inlineStr">
        <is>
          <t>Tra cứu nguyên giá mua mới trên Mua sắm công để tính đơn giá Ca</t>
        </is>
      </c>
    </row>
    <row r="90">
      <c r="A90" s="5" t="n">
        <v>86</v>
      </c>
      <c r="B90" s="5" t="inlineStr">
        <is>
          <t>DC_086</t>
        </is>
      </c>
      <c r="C90" s="5" t="inlineStr">
        <is>
          <t>Máy hút bụi 2kw</t>
        </is>
      </c>
      <c r="D90" s="5" t="inlineStr">
        <is>
          <t>Cái</t>
        </is>
      </c>
      <c r="E90" s="5" t="n">
        <v>60</v>
      </c>
      <c r="F90" s="5" t="n">
        <v>1320</v>
      </c>
      <c r="G90" s="5" t="n">
        <v>0.03</v>
      </c>
      <c r="H90" s="5" t="n">
        <v>350000</v>
      </c>
      <c r="I90" s="5" t="inlineStr"/>
      <c r="J90" s="5" t="inlineStr"/>
      <c r="K90" s="5" t="inlineStr"/>
      <c r="L90" s="5">
        <f>ROUND((H90/F90)*1.1, 0)</f>
        <v/>
      </c>
      <c r="M90" s="5">
        <f>ROUND(G90*L90, 0)</f>
        <v/>
      </c>
      <c r="N90" s="5" t="inlineStr">
        <is>
          <t>Tra cứu nguyên giá mua mới trên Mua sắm công để tính đơn giá Ca</t>
        </is>
      </c>
    </row>
    <row r="91">
      <c r="A91" s="4" t="n">
        <v>87</v>
      </c>
      <c r="B91" s="4" t="inlineStr">
        <is>
          <t>DC_087</t>
        </is>
      </c>
      <c r="C91" s="4" t="inlineStr">
        <is>
          <t>Máy hút ẩm 1,5kw</t>
        </is>
      </c>
      <c r="D91" s="4" t="inlineStr">
        <is>
          <t>cái</t>
        </is>
      </c>
      <c r="E91" s="4" t="n">
        <v>36</v>
      </c>
      <c r="F91" s="4" t="n">
        <v>792</v>
      </c>
      <c r="G91" s="4" t="n">
        <v>1.1611</v>
      </c>
      <c r="H91" s="4" t="n">
        <v>350000</v>
      </c>
      <c r="I91" s="4" t="inlineStr"/>
      <c r="J91" s="4" t="inlineStr"/>
      <c r="K91" s="4" t="inlineStr"/>
      <c r="L91" s="4">
        <f>ROUND((H91/F91)*1.1, 0)</f>
        <v/>
      </c>
      <c r="M91" s="4">
        <f>ROUND(G91*L91, 0)</f>
        <v/>
      </c>
      <c r="N91" s="4" t="inlineStr">
        <is>
          <t>Tra cứu nguyên giá mua mới trên Mua sắm công để tính đơn giá Ca</t>
        </is>
      </c>
    </row>
    <row r="92">
      <c r="A92" s="5" t="n">
        <v>88</v>
      </c>
      <c r="B92" s="5" t="inlineStr">
        <is>
          <t>DC_088</t>
        </is>
      </c>
      <c r="C92" s="5" t="inlineStr">
        <is>
          <t>Máy hút ẩm 1,5kw</t>
        </is>
      </c>
      <c r="D92" s="5" t="inlineStr">
        <is>
          <t>Cái</t>
        </is>
      </c>
      <c r="E92" s="5" t="n">
        <v>36</v>
      </c>
      <c r="F92" s="5" t="n">
        <v>792</v>
      </c>
      <c r="G92" s="5" t="n">
        <v>0.05</v>
      </c>
      <c r="H92" s="5" t="n">
        <v>350000</v>
      </c>
      <c r="I92" s="5" t="inlineStr"/>
      <c r="J92" s="5" t="inlineStr"/>
      <c r="K92" s="5" t="inlineStr"/>
      <c r="L92" s="5">
        <f>ROUND((H92/F92)*1.1, 0)</f>
        <v/>
      </c>
      <c r="M92" s="5">
        <f>ROUND(G92*L92, 0)</f>
        <v/>
      </c>
      <c r="N92" s="5" t="inlineStr">
        <is>
          <t>Tra cứu nguyên giá mua mới trên Mua sắm công để tính đơn giá Ca</t>
        </is>
      </c>
    </row>
    <row r="93">
      <c r="A93" s="4" t="n">
        <v>89</v>
      </c>
      <c r="B93" s="4" t="inlineStr">
        <is>
          <t>DC_089</t>
        </is>
      </c>
      <c r="C93" s="4" t="inlineStr">
        <is>
          <t>Mũ cứng</t>
        </is>
      </c>
      <c r="D93" s="4" t="inlineStr">
        <is>
          <t>cái</t>
        </is>
      </c>
      <c r="E93" s="4" t="n">
        <v>3</v>
      </c>
      <c r="F93" s="4" t="n">
        <v>66</v>
      </c>
      <c r="G93" s="4" t="n">
        <v>31.2667</v>
      </c>
      <c r="H93" s="4" t="n">
        <v>250000</v>
      </c>
      <c r="I93" s="4" t="inlineStr"/>
      <c r="J93" s="4" t="inlineStr"/>
      <c r="K93" s="4" t="inlineStr"/>
      <c r="L93" s="4">
        <f>ROUND((H93/F93)*1.1, 0)</f>
        <v/>
      </c>
      <c r="M93" s="4">
        <f>ROUND(G93*L93, 0)</f>
        <v/>
      </c>
      <c r="N93" s="4" t="inlineStr">
        <is>
          <t>Tra cứu nguyên giá mua mới trên Mua sắm công để tính đơn giá Ca</t>
        </is>
      </c>
    </row>
    <row r="94">
      <c r="A94" s="5" t="n">
        <v>90</v>
      </c>
      <c r="B94" s="5" t="inlineStr">
        <is>
          <t>DC_090</t>
        </is>
      </c>
      <c r="C94" s="5" t="inlineStr">
        <is>
          <t>Mũ cứng</t>
        </is>
      </c>
      <c r="D94" s="5" t="inlineStr">
        <is>
          <t>Cái</t>
        </is>
      </c>
      <c r="E94" s="5" t="n">
        <v>3</v>
      </c>
      <c r="F94" s="5" t="n">
        <v>66</v>
      </c>
      <c r="G94" s="5" t="n">
        <v>1.6</v>
      </c>
      <c r="H94" s="5" t="n">
        <v>250000</v>
      </c>
      <c r="I94" s="5" t="inlineStr"/>
      <c r="J94" s="5" t="inlineStr"/>
      <c r="K94" s="5" t="inlineStr"/>
      <c r="L94" s="5">
        <f>ROUND((H94/F94)*1.1, 0)</f>
        <v/>
      </c>
      <c r="M94" s="5">
        <f>ROUND(G94*L94, 0)</f>
        <v/>
      </c>
      <c r="N94" s="5" t="inlineStr">
        <is>
          <t>Tra cứu nguyên giá mua mới trên Mua sắm công để tính đơn giá Ca</t>
        </is>
      </c>
    </row>
    <row r="95">
      <c r="A95" s="4" t="n">
        <v>91</v>
      </c>
      <c r="B95" s="4" t="inlineStr">
        <is>
          <t>DC_091</t>
        </is>
      </c>
      <c r="C95" s="4" t="inlineStr">
        <is>
          <t>Nhíp</t>
        </is>
      </c>
      <c r="D95" s="4" t="inlineStr">
        <is>
          <t>cái</t>
        </is>
      </c>
      <c r="E95" s="4" t="n">
        <v>36</v>
      </c>
      <c r="F95" s="4" t="n">
        <v>792</v>
      </c>
      <c r="G95" s="4" t="n">
        <v>0.1444</v>
      </c>
      <c r="H95" s="4" t="n">
        <v>350000</v>
      </c>
      <c r="I95" s="4" t="inlineStr"/>
      <c r="J95" s="4" t="inlineStr"/>
      <c r="K95" s="4" t="inlineStr"/>
      <c r="L95" s="4">
        <f>ROUND((H95/F95)*1.1, 0)</f>
        <v/>
      </c>
      <c r="M95" s="4">
        <f>ROUND(G95*L95, 0)</f>
        <v/>
      </c>
      <c r="N95" s="4" t="inlineStr">
        <is>
          <t>Tra cứu nguyên giá mua mới trên Mua sắm công để tính đơn giá Ca</t>
        </is>
      </c>
    </row>
    <row r="96">
      <c r="A96" s="5" t="n">
        <v>92</v>
      </c>
      <c r="B96" s="5" t="inlineStr">
        <is>
          <t>DC_092</t>
        </is>
      </c>
      <c r="C96" s="5" t="inlineStr">
        <is>
          <t>Phễu chiết 1000ml</t>
        </is>
      </c>
      <c r="D96" s="5" t="inlineStr">
        <is>
          <t>cái</t>
        </is>
      </c>
      <c r="E96" s="5" t="n">
        <v>6</v>
      </c>
      <c r="F96" s="5" t="n">
        <v>132</v>
      </c>
      <c r="G96" s="5" t="n">
        <v>0.9</v>
      </c>
      <c r="H96" s="5" t="n">
        <v>180000</v>
      </c>
      <c r="I96" s="5" t="inlineStr"/>
      <c r="J96" s="5" t="inlineStr"/>
      <c r="K96" s="5" t="inlineStr"/>
      <c r="L96" s="5">
        <f>ROUND((H96/F96)*1.1, 0)</f>
        <v/>
      </c>
      <c r="M96" s="5">
        <f>ROUND(G96*L96, 0)</f>
        <v/>
      </c>
      <c r="N96" s="5" t="inlineStr">
        <is>
          <t>Tra cứu nguyên giá mua mới trên Mua sắm công để tính đơn giá Ca</t>
        </is>
      </c>
    </row>
    <row r="97">
      <c r="A97" s="4" t="n">
        <v>93</v>
      </c>
      <c r="B97" s="4" t="inlineStr">
        <is>
          <t>DC_093</t>
        </is>
      </c>
      <c r="C97" s="4" t="inlineStr">
        <is>
          <t>Phễu chiết 1000ml</t>
        </is>
      </c>
      <c r="D97" s="4" t="inlineStr">
        <is>
          <t>Cái</t>
        </is>
      </c>
      <c r="E97" s="4" t="n">
        <v>6</v>
      </c>
      <c r="F97" s="4" t="n">
        <v>132</v>
      </c>
      <c r="G97" s="4" t="n">
        <v>0.0667</v>
      </c>
      <c r="H97" s="4" t="n">
        <v>180000</v>
      </c>
      <c r="I97" s="4" t="inlineStr"/>
      <c r="J97" s="4" t="inlineStr"/>
      <c r="K97" s="4" t="inlineStr"/>
      <c r="L97" s="4">
        <f>ROUND((H97/F97)*1.1, 0)</f>
        <v/>
      </c>
      <c r="M97" s="4">
        <f>ROUND(G97*L97, 0)</f>
        <v/>
      </c>
      <c r="N97" s="4" t="inlineStr">
        <is>
          <t>Tra cứu nguyên giá mua mới trên Mua sắm công để tính đơn giá Ca</t>
        </is>
      </c>
    </row>
    <row r="98">
      <c r="A98" s="5" t="n">
        <v>94</v>
      </c>
      <c r="B98" s="5" t="inlineStr">
        <is>
          <t>DC_094</t>
        </is>
      </c>
      <c r="C98" s="5" t="inlineStr">
        <is>
          <t>Phễu lọc thủy tinh</t>
        </is>
      </c>
      <c r="D98" s="5" t="inlineStr">
        <is>
          <t>cái</t>
        </is>
      </c>
      <c r="E98" s="5" t="n">
        <v>6</v>
      </c>
      <c r="F98" s="5" t="n">
        <v>132</v>
      </c>
      <c r="G98" s="5" t="n">
        <v>0.4333</v>
      </c>
      <c r="H98" s="5" t="n">
        <v>180000</v>
      </c>
      <c r="I98" s="5" t="inlineStr"/>
      <c r="J98" s="5" t="inlineStr"/>
      <c r="K98" s="5" t="inlineStr"/>
      <c r="L98" s="5">
        <f>ROUND((H98/F98)*1.1, 0)</f>
        <v/>
      </c>
      <c r="M98" s="5">
        <f>ROUND(G98*L98, 0)</f>
        <v/>
      </c>
      <c r="N98" s="5" t="inlineStr">
        <is>
          <t>Tra cứu nguyên giá mua mới trên Mua sắm công để tính đơn giá Ca</t>
        </is>
      </c>
    </row>
    <row r="99">
      <c r="A99" s="4" t="n">
        <v>95</v>
      </c>
      <c r="B99" s="4" t="inlineStr">
        <is>
          <t>DC_095</t>
        </is>
      </c>
      <c r="C99" s="4" t="inlineStr">
        <is>
          <t>Pipet 10ml</t>
        </is>
      </c>
      <c r="D99" s="4" t="inlineStr">
        <is>
          <t>cái</t>
        </is>
      </c>
      <c r="E99" s="4" t="n">
        <v>6</v>
      </c>
      <c r="F99" s="4" t="n">
        <v>132</v>
      </c>
      <c r="G99" s="4" t="n">
        <v>4.4333</v>
      </c>
      <c r="H99" s="4" t="n">
        <v>350000</v>
      </c>
      <c r="I99" s="4" t="inlineStr"/>
      <c r="J99" s="4" t="inlineStr"/>
      <c r="K99" s="4" t="inlineStr"/>
      <c r="L99" s="4">
        <f>ROUND((H99/F99)*1.1, 0)</f>
        <v/>
      </c>
      <c r="M99" s="4">
        <f>ROUND(G99*L99, 0)</f>
        <v/>
      </c>
      <c r="N99" s="4" t="inlineStr">
        <is>
          <t>Tra cứu nguyên giá mua mới trên Mua sắm công để tính đơn giá Ca</t>
        </is>
      </c>
    </row>
    <row r="100">
      <c r="A100" s="5" t="n">
        <v>96</v>
      </c>
      <c r="B100" s="5" t="inlineStr">
        <is>
          <t>DC_096</t>
        </is>
      </c>
      <c r="C100" s="5" t="inlineStr">
        <is>
          <t>Pipet 10ml</t>
        </is>
      </c>
      <c r="D100" s="5" t="inlineStr">
        <is>
          <t>Cái</t>
        </is>
      </c>
      <c r="E100" s="5" t="n">
        <v>6</v>
      </c>
      <c r="F100" s="5" t="n">
        <v>132</v>
      </c>
      <c r="G100" s="5" t="n">
        <v>0.3</v>
      </c>
      <c r="H100" s="5" t="n">
        <v>350000</v>
      </c>
      <c r="I100" s="5" t="inlineStr"/>
      <c r="J100" s="5" t="inlineStr"/>
      <c r="K100" s="5" t="inlineStr"/>
      <c r="L100" s="5">
        <f>ROUND((H100/F100)*1.1, 0)</f>
        <v/>
      </c>
      <c r="M100" s="5">
        <f>ROUND(G100*L100, 0)</f>
        <v/>
      </c>
      <c r="N100" s="5" t="inlineStr">
        <is>
          <t>Tra cứu nguyên giá mua mới trên Mua sắm công để tính đơn giá Ca</t>
        </is>
      </c>
    </row>
    <row r="101">
      <c r="A101" s="4" t="n">
        <v>97</v>
      </c>
      <c r="B101" s="4" t="inlineStr">
        <is>
          <t>DC_097</t>
        </is>
      </c>
      <c r="C101" s="4" t="inlineStr">
        <is>
          <t>Pipet 5ml</t>
        </is>
      </c>
      <c r="D101" s="4" t="inlineStr">
        <is>
          <t>cái</t>
        </is>
      </c>
      <c r="E101" s="4" t="n">
        <v>6</v>
      </c>
      <c r="F101" s="4" t="n">
        <v>132</v>
      </c>
      <c r="G101" s="4" t="n">
        <v>0.8667</v>
      </c>
      <c r="H101" s="4" t="n">
        <v>350000</v>
      </c>
      <c r="I101" s="4" t="inlineStr"/>
      <c r="J101" s="4" t="inlineStr"/>
      <c r="K101" s="4" t="inlineStr"/>
      <c r="L101" s="4">
        <f>ROUND((H101/F101)*1.1, 0)</f>
        <v/>
      </c>
      <c r="M101" s="4">
        <f>ROUND(G101*L101, 0)</f>
        <v/>
      </c>
      <c r="N101" s="4" t="inlineStr">
        <is>
          <t>Tra cứu nguyên giá mua mới trên Mua sắm công để tính đơn giá Ca</t>
        </is>
      </c>
    </row>
    <row r="102">
      <c r="A102" s="5" t="n">
        <v>98</v>
      </c>
      <c r="B102" s="5" t="inlineStr">
        <is>
          <t>DC_098</t>
        </is>
      </c>
      <c r="C102" s="5" t="inlineStr">
        <is>
          <t>Quạt thông gió 40w</t>
        </is>
      </c>
      <c r="D102" s="5" t="inlineStr">
        <is>
          <t>cái</t>
        </is>
      </c>
      <c r="E102" s="5" t="n">
        <v>36</v>
      </c>
      <c r="F102" s="5" t="n">
        <v>792</v>
      </c>
      <c r="G102" s="5" t="n">
        <v>1.1611</v>
      </c>
      <c r="H102" s="5" t="n">
        <v>350000</v>
      </c>
      <c r="I102" s="5" t="inlineStr"/>
      <c r="J102" s="5" t="inlineStr"/>
      <c r="K102" s="5" t="inlineStr"/>
      <c r="L102" s="5">
        <f>ROUND((H102/F102)*1.1, 0)</f>
        <v/>
      </c>
      <c r="M102" s="5">
        <f>ROUND(G102*L102, 0)</f>
        <v/>
      </c>
      <c r="N102" s="5" t="inlineStr">
        <is>
          <t>Tra cứu nguyên giá mua mới trên Mua sắm công để tính đơn giá Ca</t>
        </is>
      </c>
    </row>
    <row r="103">
      <c r="A103" s="4" t="n">
        <v>99</v>
      </c>
      <c r="B103" s="4" t="inlineStr">
        <is>
          <t>DC_099</t>
        </is>
      </c>
      <c r="C103" s="4" t="inlineStr">
        <is>
          <t>Quạt thông gió 40w</t>
        </is>
      </c>
      <c r="D103" s="4" t="inlineStr">
        <is>
          <t>Cái</t>
        </is>
      </c>
      <c r="E103" s="4" t="n">
        <v>36</v>
      </c>
      <c r="F103" s="4" t="n">
        <v>792</v>
      </c>
      <c r="G103" s="4" t="n">
        <v>0.05</v>
      </c>
      <c r="H103" s="4" t="n">
        <v>350000</v>
      </c>
      <c r="I103" s="4" t="inlineStr"/>
      <c r="J103" s="4" t="inlineStr"/>
      <c r="K103" s="4" t="inlineStr"/>
      <c r="L103" s="4">
        <f>ROUND((H103/F103)*1.1, 0)</f>
        <v/>
      </c>
      <c r="M103" s="4">
        <f>ROUND(G103*L103, 0)</f>
        <v/>
      </c>
      <c r="N103" s="4" t="inlineStr">
        <is>
          <t>Tra cứu nguyên giá mua mới trên Mua sắm công để tính đơn giá Ca</t>
        </is>
      </c>
    </row>
    <row r="104">
      <c r="A104" s="5" t="n">
        <v>100</v>
      </c>
      <c r="B104" s="5" t="inlineStr">
        <is>
          <t>DC_100</t>
        </is>
      </c>
      <c r="C104" s="5" t="inlineStr">
        <is>
          <t>Quạt trần 100w</t>
        </is>
      </c>
      <c r="D104" s="5" t="inlineStr">
        <is>
          <t>cái</t>
        </is>
      </c>
      <c r="E104" s="5" t="n">
        <v>36</v>
      </c>
      <c r="F104" s="5" t="n">
        <v>792</v>
      </c>
      <c r="G104" s="5" t="n">
        <v>1.1444</v>
      </c>
      <c r="H104" s="5" t="n">
        <v>350000</v>
      </c>
      <c r="I104" s="5" t="inlineStr"/>
      <c r="J104" s="5" t="inlineStr"/>
      <c r="K104" s="5" t="inlineStr"/>
      <c r="L104" s="5">
        <f>ROUND((H104/F104)*1.1, 0)</f>
        <v/>
      </c>
      <c r="M104" s="5">
        <f>ROUND(G104*L104, 0)</f>
        <v/>
      </c>
      <c r="N104" s="5" t="inlineStr">
        <is>
          <t>Tra cứu nguyên giá mua mới trên Mua sắm công để tính đơn giá Ca</t>
        </is>
      </c>
    </row>
    <row r="105">
      <c r="A105" s="4" t="n">
        <v>101</v>
      </c>
      <c r="B105" s="4" t="inlineStr">
        <is>
          <t>DC_101</t>
        </is>
      </c>
      <c r="C105" s="4" t="inlineStr">
        <is>
          <t>Quạt trần 100w</t>
        </is>
      </c>
      <c r="D105" s="4" t="inlineStr">
        <is>
          <t>Cái</t>
        </is>
      </c>
      <c r="E105" s="4" t="n">
        <v>36</v>
      </c>
      <c r="F105" s="4" t="n">
        <v>792</v>
      </c>
      <c r="G105" s="4" t="n">
        <v>0.05</v>
      </c>
      <c r="H105" s="4" t="n">
        <v>350000</v>
      </c>
      <c r="I105" s="4" t="inlineStr"/>
      <c r="J105" s="4" t="inlineStr"/>
      <c r="K105" s="4" t="inlineStr"/>
      <c r="L105" s="4">
        <f>ROUND((H105/F105)*1.1, 0)</f>
        <v/>
      </c>
      <c r="M105" s="4">
        <f>ROUND(G105*L105, 0)</f>
        <v/>
      </c>
      <c r="N105" s="4" t="inlineStr">
        <is>
          <t>Tra cứu nguyên giá mua mới trên Mua sắm công để tính đơn giá Ca</t>
        </is>
      </c>
    </row>
    <row r="106">
      <c r="A106" s="5" t="n">
        <v>102</v>
      </c>
      <c r="B106" s="5" t="inlineStr">
        <is>
          <t>DC_102</t>
        </is>
      </c>
      <c r="C106" s="5" t="inlineStr">
        <is>
          <t>Quạt trần 100w</t>
        </is>
      </c>
      <c r="D106" s="5" t="inlineStr">
        <is>
          <t>đôi</t>
        </is>
      </c>
      <c r="E106" s="5" t="n">
        <v>36</v>
      </c>
      <c r="F106" s="5" t="n">
        <v>792</v>
      </c>
      <c r="G106" s="5" t="n">
        <v>0.0167</v>
      </c>
      <c r="H106" s="5" t="n">
        <v>350000</v>
      </c>
      <c r="I106" s="5" t="inlineStr"/>
      <c r="J106" s="5" t="inlineStr"/>
      <c r="K106" s="5" t="inlineStr"/>
      <c r="L106" s="5">
        <f>ROUND((H106/F106)*1.1, 0)</f>
        <v/>
      </c>
      <c r="M106" s="5">
        <f>ROUND(G106*L106, 0)</f>
        <v/>
      </c>
      <c r="N106" s="5" t="inlineStr">
        <is>
          <t>Tra cứu nguyên giá mua mới trên Mua sắm công để tính đơn giá Ca</t>
        </is>
      </c>
    </row>
    <row r="107">
      <c r="A107" s="4" t="n">
        <v>103</v>
      </c>
      <c r="B107" s="4" t="inlineStr">
        <is>
          <t>DC_103</t>
        </is>
      </c>
      <c r="C107" s="4" t="inlineStr">
        <is>
          <t>Quần áo BHLĐ</t>
        </is>
      </c>
      <c r="D107" s="4" t="inlineStr">
        <is>
          <t>bộ</t>
        </is>
      </c>
      <c r="E107" s="4" t="n">
        <v>6</v>
      </c>
      <c r="F107" s="4" t="n">
        <v>132</v>
      </c>
      <c r="G107" s="4" t="n">
        <v>16.4333</v>
      </c>
      <c r="H107" s="4" t="n">
        <v>250000</v>
      </c>
      <c r="I107" s="4" t="inlineStr"/>
      <c r="J107" s="4" t="inlineStr"/>
      <c r="K107" s="4" t="inlineStr"/>
      <c r="L107" s="4">
        <f>ROUND((H107/F107)*1.1, 0)</f>
        <v/>
      </c>
      <c r="M107" s="4">
        <f>ROUND(G107*L107, 0)</f>
        <v/>
      </c>
      <c r="N107" s="4" t="inlineStr">
        <is>
          <t>Tra cứu nguyên giá mua mới trên Mua sắm công để tính đơn giá Ca</t>
        </is>
      </c>
    </row>
    <row r="108">
      <c r="A108" s="5" t="n">
        <v>104</v>
      </c>
      <c r="B108" s="5" t="inlineStr">
        <is>
          <t>DC_104</t>
        </is>
      </c>
      <c r="C108" s="5" t="inlineStr">
        <is>
          <t>Sensor CO</t>
        </is>
      </c>
      <c r="D108" s="5" t="inlineStr">
        <is>
          <t>cái</t>
        </is>
      </c>
      <c r="E108" s="5" t="n">
        <v>12</v>
      </c>
      <c r="F108" s="5" t="n">
        <v>264</v>
      </c>
      <c r="G108" s="5" t="n">
        <v>0.05</v>
      </c>
      <c r="H108" s="5" t="n">
        <v>350000</v>
      </c>
      <c r="I108" s="5" t="inlineStr"/>
      <c r="J108" s="5" t="inlineStr"/>
      <c r="K108" s="5" t="inlineStr"/>
      <c r="L108" s="5">
        <f>ROUND((H108/F108)*1.1, 0)</f>
        <v/>
      </c>
      <c r="M108" s="5">
        <f>ROUND(G108*L108, 0)</f>
        <v/>
      </c>
      <c r="N108" s="5" t="inlineStr">
        <is>
          <t>Tra cứu nguyên giá mua mới trên Mua sắm công để tính đơn giá Ca</t>
        </is>
      </c>
    </row>
    <row r="109">
      <c r="A109" s="4" t="n">
        <v>105</v>
      </c>
      <c r="B109" s="4" t="inlineStr">
        <is>
          <t>DC_105</t>
        </is>
      </c>
      <c r="C109" s="4" t="inlineStr">
        <is>
          <t>Sensor NO</t>
        </is>
      </c>
      <c r="D109" s="4" t="inlineStr">
        <is>
          <t>cái</t>
        </is>
      </c>
      <c r="E109" s="4" t="n">
        <v>12</v>
      </c>
      <c r="F109" s="4" t="n">
        <v>264</v>
      </c>
      <c r="G109" s="4" t="n">
        <v>0.0333</v>
      </c>
      <c r="H109" s="4" t="n">
        <v>350000</v>
      </c>
      <c r="I109" s="4" t="inlineStr"/>
      <c r="J109" s="4" t="inlineStr"/>
      <c r="K109" s="4" t="inlineStr"/>
      <c r="L109" s="4">
        <f>ROUND((H109/F109)*1.1, 0)</f>
        <v/>
      </c>
      <c r="M109" s="4">
        <f>ROUND(G109*L109, 0)</f>
        <v/>
      </c>
      <c r="N109" s="4" t="inlineStr">
        <is>
          <t>Tra cứu nguyên giá mua mới trên Mua sắm công để tính đơn giá Ca</t>
        </is>
      </c>
    </row>
    <row r="110">
      <c r="A110" s="5" t="n">
        <v>106</v>
      </c>
      <c r="B110" s="5" t="inlineStr">
        <is>
          <t>DC_106</t>
        </is>
      </c>
      <c r="C110" s="5" t="inlineStr">
        <is>
          <t>Sensor NOx</t>
        </is>
      </c>
      <c r="D110" s="5" t="inlineStr">
        <is>
          <t>cái</t>
        </is>
      </c>
      <c r="E110" s="5" t="n">
        <v>12</v>
      </c>
      <c r="F110" s="5" t="n">
        <v>264</v>
      </c>
      <c r="G110" s="5" t="n">
        <v>0.05</v>
      </c>
      <c r="H110" s="5" t="n">
        <v>350000</v>
      </c>
      <c r="I110" s="5" t="inlineStr"/>
      <c r="J110" s="5" t="inlineStr"/>
      <c r="K110" s="5" t="inlineStr"/>
      <c r="L110" s="5">
        <f>ROUND((H110/F110)*1.1, 0)</f>
        <v/>
      </c>
      <c r="M110" s="5">
        <f>ROUND(G110*L110, 0)</f>
        <v/>
      </c>
      <c r="N110" s="5" t="inlineStr">
        <is>
          <t>Tra cứu nguyên giá mua mới trên Mua sắm công để tính đơn giá Ca</t>
        </is>
      </c>
    </row>
    <row r="111">
      <c r="A111" s="4" t="n">
        <v>107</v>
      </c>
      <c r="B111" s="4" t="inlineStr">
        <is>
          <t>DC_107</t>
        </is>
      </c>
      <c r="C111" s="4" t="inlineStr">
        <is>
          <t>Sensor O2</t>
        </is>
      </c>
      <c r="D111" s="4" t="inlineStr">
        <is>
          <t>cái</t>
        </is>
      </c>
      <c r="E111" s="4" t="n">
        <v>12</v>
      </c>
      <c r="F111" s="4" t="n">
        <v>264</v>
      </c>
      <c r="G111" s="4" t="n">
        <v>0.05</v>
      </c>
      <c r="H111" s="4" t="n">
        <v>350000</v>
      </c>
      <c r="I111" s="4" t="inlineStr"/>
      <c r="J111" s="4" t="inlineStr"/>
      <c r="K111" s="4" t="inlineStr"/>
      <c r="L111" s="4">
        <f>ROUND((H111/F111)*1.1, 0)</f>
        <v/>
      </c>
      <c r="M111" s="4">
        <f>ROUND(G111*L111, 0)</f>
        <v/>
      </c>
      <c r="N111" s="4" t="inlineStr">
        <is>
          <t>Tra cứu nguyên giá mua mới trên Mua sắm công để tính đơn giá Ca</t>
        </is>
      </c>
    </row>
    <row r="112">
      <c r="A112" s="5" t="n">
        <v>108</v>
      </c>
      <c r="B112" s="5" t="inlineStr">
        <is>
          <t>DC_108</t>
        </is>
      </c>
      <c r="C112" s="5" t="inlineStr">
        <is>
          <t>Sensor SO2</t>
        </is>
      </c>
      <c r="D112" s="5" t="inlineStr">
        <is>
          <t>cái</t>
        </is>
      </c>
      <c r="E112" s="5" t="n">
        <v>12</v>
      </c>
      <c r="F112" s="5" t="n">
        <v>264</v>
      </c>
      <c r="G112" s="5" t="n">
        <v>0.05</v>
      </c>
      <c r="H112" s="5" t="n">
        <v>350000</v>
      </c>
      <c r="I112" s="5" t="inlineStr"/>
      <c r="J112" s="5" t="inlineStr"/>
      <c r="K112" s="5" t="inlineStr"/>
      <c r="L112" s="5">
        <f>ROUND((H112/F112)*1.1, 0)</f>
        <v/>
      </c>
      <c r="M112" s="5">
        <f>ROUND(G112*L112, 0)</f>
        <v/>
      </c>
      <c r="N112" s="5" t="inlineStr">
        <is>
          <t>Tra cứu nguyên giá mua mới trên Mua sắm công để tính đơn giá Ca</t>
        </is>
      </c>
    </row>
    <row r="113">
      <c r="A113" s="4" t="n">
        <v>109</v>
      </c>
      <c r="B113" s="4" t="inlineStr">
        <is>
          <t>DC_109</t>
        </is>
      </c>
      <c r="C113" s="4" t="inlineStr">
        <is>
          <t>Thiết bị lấy mẫu thể tích 2 lít</t>
        </is>
      </c>
      <c r="D113" s="4" t="inlineStr">
        <is>
          <t>cái</t>
        </is>
      </c>
      <c r="E113" s="4" t="n">
        <v>24</v>
      </c>
      <c r="F113" s="4" t="n">
        <v>528</v>
      </c>
      <c r="G113" s="4" t="n">
        <v>0.8104</v>
      </c>
      <c r="H113" s="4" t="n">
        <v>350000</v>
      </c>
      <c r="I113" s="4" t="inlineStr"/>
      <c r="J113" s="4" t="inlineStr"/>
      <c r="K113" s="4" t="inlineStr"/>
      <c r="L113" s="4">
        <f>ROUND((H113/F113)*1.1, 0)</f>
        <v/>
      </c>
      <c r="M113" s="4">
        <f>ROUND(G113*L113, 0)</f>
        <v/>
      </c>
      <c r="N113" s="4" t="inlineStr">
        <is>
          <t>Tra cứu nguyên giá mua mới trên Mua sắm công để tính đơn giá Ca</t>
        </is>
      </c>
    </row>
    <row r="114">
      <c r="A114" s="5" t="n">
        <v>110</v>
      </c>
      <c r="B114" s="5" t="inlineStr">
        <is>
          <t>DC_110</t>
        </is>
      </c>
      <c r="C114" s="5" t="inlineStr">
        <is>
          <t>Thiết bị lấy mẫu thể tích 5 lít</t>
        </is>
      </c>
      <c r="D114" s="5" t="inlineStr">
        <is>
          <t>cái</t>
        </is>
      </c>
      <c r="E114" s="5" t="n">
        <v>24</v>
      </c>
      <c r="F114" s="5" t="n">
        <v>528</v>
      </c>
      <c r="G114" s="5" t="n">
        <v>0.8104</v>
      </c>
      <c r="H114" s="5" t="n">
        <v>350000</v>
      </c>
      <c r="I114" s="5" t="inlineStr"/>
      <c r="J114" s="5" t="inlineStr"/>
      <c r="K114" s="5" t="inlineStr"/>
      <c r="L114" s="5">
        <f>ROUND((H114/F114)*1.1, 0)</f>
        <v/>
      </c>
      <c r="M114" s="5">
        <f>ROUND(G114*L114, 0)</f>
        <v/>
      </c>
      <c r="N114" s="5" t="inlineStr">
        <is>
          <t>Tra cứu nguyên giá mua mới trên Mua sắm công để tính đơn giá Ca</t>
        </is>
      </c>
    </row>
    <row r="115">
      <c r="A115" s="4" t="n">
        <v>111</v>
      </c>
      <c r="B115" s="4" t="inlineStr">
        <is>
          <t>DC_111</t>
        </is>
      </c>
      <c r="C115" s="4" t="inlineStr">
        <is>
          <t>Thùng đựng và bảo quản mẫu</t>
        </is>
      </c>
      <c r="D115" s="4" t="inlineStr">
        <is>
          <t>cái</t>
        </is>
      </c>
      <c r="E115" s="4" t="n">
        <v>5</v>
      </c>
      <c r="F115" s="4" t="n">
        <v>110</v>
      </c>
      <c r="G115" s="4" t="n">
        <v>16.2</v>
      </c>
      <c r="H115" s="4" t="n">
        <v>1500000</v>
      </c>
      <c r="I115" s="4" t="inlineStr"/>
      <c r="J115" s="4" t="inlineStr"/>
      <c r="K115" s="4" t="inlineStr"/>
      <c r="L115" s="4">
        <f>ROUND((H115/F115)*1.1, 0)</f>
        <v/>
      </c>
      <c r="M115" s="4">
        <f>ROUND(G115*L115, 0)</f>
        <v/>
      </c>
      <c r="N115" s="4" t="inlineStr">
        <is>
          <t>Tra cứu nguyên giá mua mới trên Mua sắm công để tính đơn giá Ca</t>
        </is>
      </c>
    </row>
    <row r="116">
      <c r="A116" s="5" t="n">
        <v>112</v>
      </c>
      <c r="B116" s="5" t="inlineStr">
        <is>
          <t>DC_112</t>
        </is>
      </c>
      <c r="C116" s="5" t="inlineStr">
        <is>
          <t>Thùng đựng và bảo quản mẫu</t>
        </is>
      </c>
      <c r="D116" s="5" t="inlineStr">
        <is>
          <t>Cái</t>
        </is>
      </c>
      <c r="E116" s="5" t="n">
        <v>5</v>
      </c>
      <c r="F116" s="5" t="n">
        <v>110</v>
      </c>
      <c r="G116" s="5" t="n">
        <v>0.96</v>
      </c>
      <c r="H116" s="5" t="n">
        <v>1500000</v>
      </c>
      <c r="I116" s="5" t="inlineStr"/>
      <c r="J116" s="5" t="inlineStr"/>
      <c r="K116" s="5" t="inlineStr"/>
      <c r="L116" s="5">
        <f>ROUND((H116/F116)*1.1, 0)</f>
        <v/>
      </c>
      <c r="M116" s="5">
        <f>ROUND(G116*L116, 0)</f>
        <v/>
      </c>
      <c r="N116" s="5" t="inlineStr">
        <is>
          <t>Tra cứu nguyên giá mua mới trên Mua sắm công để tính đơn giá Ca</t>
        </is>
      </c>
    </row>
    <row r="117">
      <c r="A117" s="4" t="n">
        <v>113</v>
      </c>
      <c r="B117" s="4" t="inlineStr">
        <is>
          <t>DC_113</t>
        </is>
      </c>
      <c r="C117" s="4" t="inlineStr">
        <is>
          <t>Tất sợi</t>
        </is>
      </c>
      <c r="D117" s="4" t="inlineStr">
        <is>
          <t>đôi</t>
        </is>
      </c>
      <c r="E117" s="4" t="n">
        <v>6</v>
      </c>
      <c r="F117" s="4" t="n">
        <v>132</v>
      </c>
      <c r="G117" s="4" t="n">
        <v>6.3667</v>
      </c>
      <c r="H117" s="4" t="n">
        <v>350000</v>
      </c>
      <c r="I117" s="4" t="inlineStr"/>
      <c r="J117" s="4" t="inlineStr"/>
      <c r="K117" s="4" t="inlineStr"/>
      <c r="L117" s="4">
        <f>ROUND((H117/F117)*1.1, 0)</f>
        <v/>
      </c>
      <c r="M117" s="4">
        <f>ROUND(G117*L117, 0)</f>
        <v/>
      </c>
      <c r="N117" s="4" t="inlineStr">
        <is>
          <t>Tra cứu nguyên giá mua mới trên Mua sắm công để tính đơn giá Ca</t>
        </is>
      </c>
    </row>
    <row r="118">
      <c r="A118" s="5" t="n">
        <v>114</v>
      </c>
      <c r="B118" s="5" t="inlineStr">
        <is>
          <t>DC_114</t>
        </is>
      </c>
      <c r="C118" s="5" t="inlineStr">
        <is>
          <t>Tất sợi</t>
        </is>
      </c>
      <c r="D118" s="5" t="inlineStr">
        <is>
          <t>Đôi</t>
        </is>
      </c>
      <c r="E118" s="5" t="n">
        <v>6</v>
      </c>
      <c r="F118" s="5" t="n">
        <v>132</v>
      </c>
      <c r="G118" s="5" t="n">
        <v>0.8</v>
      </c>
      <c r="H118" s="5" t="n">
        <v>350000</v>
      </c>
      <c r="I118" s="5" t="inlineStr"/>
      <c r="J118" s="5" t="inlineStr"/>
      <c r="K118" s="5" t="inlineStr"/>
      <c r="L118" s="5">
        <f>ROUND((H118/F118)*1.1, 0)</f>
        <v/>
      </c>
      <c r="M118" s="5">
        <f>ROUND(G118*L118, 0)</f>
        <v/>
      </c>
      <c r="N118" s="5" t="inlineStr">
        <is>
          <t>Tra cứu nguyên giá mua mới trên Mua sắm công để tính đơn giá Ca</t>
        </is>
      </c>
    </row>
    <row r="119">
      <c r="A119" s="4" t="n">
        <v>115</v>
      </c>
      <c r="B119" s="4" t="inlineStr">
        <is>
          <t>DC_115</t>
        </is>
      </c>
      <c r="C119" s="4" t="inlineStr">
        <is>
          <t>Tủ đựng tài liệu</t>
        </is>
      </c>
      <c r="D119" s="4" t="inlineStr">
        <is>
          <t>cái</t>
        </is>
      </c>
      <c r="E119" s="4" t="n">
        <v>72</v>
      </c>
      <c r="F119" s="4" t="n">
        <v>1584</v>
      </c>
      <c r="G119" s="4" t="n">
        <v>0.5722</v>
      </c>
      <c r="H119" s="4" t="n">
        <v>350000</v>
      </c>
      <c r="I119" s="4" t="inlineStr"/>
      <c r="J119" s="4" t="inlineStr"/>
      <c r="K119" s="4" t="inlineStr"/>
      <c r="L119" s="4">
        <f>ROUND((H119/F119)*1.1, 0)</f>
        <v/>
      </c>
      <c r="M119" s="4">
        <f>ROUND(G119*L119, 0)</f>
        <v/>
      </c>
      <c r="N119" s="4" t="inlineStr">
        <is>
          <t>Tra cứu nguyên giá mua mới trên Mua sắm công để tính đơn giá Ca</t>
        </is>
      </c>
    </row>
    <row r="120">
      <c r="A120" s="5" t="n">
        <v>116</v>
      </c>
      <c r="B120" s="5" t="inlineStr">
        <is>
          <t>DC_116</t>
        </is>
      </c>
      <c r="C120" s="5" t="inlineStr">
        <is>
          <t>Tủ đựng tài liệu</t>
        </is>
      </c>
      <c r="D120" s="5" t="inlineStr">
        <is>
          <t>Cái</t>
        </is>
      </c>
      <c r="E120" s="5" t="n">
        <v>72</v>
      </c>
      <c r="F120" s="5" t="n">
        <v>1584</v>
      </c>
      <c r="G120" s="5" t="n">
        <v>0.025</v>
      </c>
      <c r="H120" s="5" t="n">
        <v>350000</v>
      </c>
      <c r="I120" s="5" t="inlineStr"/>
      <c r="J120" s="5" t="inlineStr"/>
      <c r="K120" s="5" t="inlineStr"/>
      <c r="L120" s="5">
        <f>ROUND((H120/F120)*1.1, 0)</f>
        <v/>
      </c>
      <c r="M120" s="5">
        <f>ROUND(G120*L120, 0)</f>
        <v/>
      </c>
      <c r="N120" s="5" t="inlineStr">
        <is>
          <t>Tra cứu nguyên giá mua mới trên Mua sắm công để tính đơn giá Ca</t>
        </is>
      </c>
    </row>
    <row r="121">
      <c r="A121" s="4" t="n">
        <v>117</v>
      </c>
      <c r="B121" s="4" t="inlineStr">
        <is>
          <t>DC_117</t>
        </is>
      </c>
      <c r="C121" s="4" t="inlineStr">
        <is>
          <t>Tủ đựng tài liệu</t>
        </is>
      </c>
      <c r="D121" s="4" t="inlineStr">
        <is>
          <t>đôi</t>
        </is>
      </c>
      <c r="E121" s="4" t="n">
        <v>72</v>
      </c>
      <c r="F121" s="4" t="n">
        <v>1584</v>
      </c>
      <c r="G121" s="4" t="n">
        <v>0.0083</v>
      </c>
      <c r="H121" s="4" t="n">
        <v>350000</v>
      </c>
      <c r="I121" s="4" t="inlineStr"/>
      <c r="J121" s="4" t="inlineStr"/>
      <c r="K121" s="4" t="inlineStr"/>
      <c r="L121" s="4">
        <f>ROUND((H121/F121)*1.1, 0)</f>
        <v/>
      </c>
      <c r="M121" s="4">
        <f>ROUND(G121*L121, 0)</f>
        <v/>
      </c>
      <c r="N121" s="4" t="inlineStr">
        <is>
          <t>Tra cứu nguyên giá mua mới trên Mua sắm công để tính đơn giá Ca</t>
        </is>
      </c>
    </row>
    <row r="122">
      <c r="A122" s="5" t="n">
        <v>118</v>
      </c>
      <c r="B122" s="5" t="inlineStr">
        <is>
          <t>DC_118</t>
        </is>
      </c>
      <c r="C122" s="5" t="inlineStr">
        <is>
          <t>Van Dorn Sampler thể tích 2 lít</t>
        </is>
      </c>
      <c r="D122" s="5" t="inlineStr">
        <is>
          <t>cái</t>
        </is>
      </c>
      <c r="E122" s="5" t="n">
        <v>24</v>
      </c>
      <c r="F122" s="5" t="n">
        <v>528</v>
      </c>
      <c r="G122" s="5" t="n">
        <v>0.6938</v>
      </c>
      <c r="H122" s="5" t="n">
        <v>350000</v>
      </c>
      <c r="I122" s="5" t="inlineStr"/>
      <c r="J122" s="5" t="inlineStr"/>
      <c r="K122" s="5" t="inlineStr"/>
      <c r="L122" s="5">
        <f>ROUND((H122/F122)*1.1, 0)</f>
        <v/>
      </c>
      <c r="M122" s="5">
        <f>ROUND(G122*L122, 0)</f>
        <v/>
      </c>
      <c r="N122" s="5" t="inlineStr">
        <is>
          <t>Tra cứu nguyên giá mua mới trên Mua sắm công để tính đơn giá Ca</t>
        </is>
      </c>
    </row>
    <row r="123">
      <c r="A123" s="4" t="n">
        <v>119</v>
      </c>
      <c r="B123" s="4" t="inlineStr">
        <is>
          <t>DC_119</t>
        </is>
      </c>
      <c r="C123" s="4" t="inlineStr">
        <is>
          <t>Van Dorn Sampler thể tích 5 lít</t>
        </is>
      </c>
      <c r="D123" s="4" t="inlineStr">
        <is>
          <t>cái</t>
        </is>
      </c>
      <c r="E123" s="4" t="n">
        <v>24</v>
      </c>
      <c r="F123" s="4" t="n">
        <v>528</v>
      </c>
      <c r="G123" s="4" t="n">
        <v>0.6938</v>
      </c>
      <c r="H123" s="4" t="n">
        <v>350000</v>
      </c>
      <c r="I123" s="4" t="inlineStr"/>
      <c r="J123" s="4" t="inlineStr"/>
      <c r="K123" s="4" t="inlineStr"/>
      <c r="L123" s="4">
        <f>ROUND((H123/F123)*1.1, 0)</f>
        <v/>
      </c>
      <c r="M123" s="4">
        <f>ROUND(G123*L123, 0)</f>
        <v/>
      </c>
      <c r="N123" s="4" t="inlineStr">
        <is>
          <t>Tra cứu nguyên giá mua mới trên Mua sắm công để tính đơn giá Ca</t>
        </is>
      </c>
    </row>
    <row r="124">
      <c r="A124" s="5" t="n">
        <v>120</v>
      </c>
      <c r="B124" s="5" t="inlineStr">
        <is>
          <t>DC_120</t>
        </is>
      </c>
      <c r="C124" s="5" t="inlineStr">
        <is>
          <t>Xô chứa dung dịch sục khí</t>
        </is>
      </c>
      <c r="D124" s="5" t="inlineStr">
        <is>
          <t>cái</t>
        </is>
      </c>
      <c r="E124" s="5" t="n">
        <v>24</v>
      </c>
      <c r="F124" s="5" t="n">
        <v>528</v>
      </c>
      <c r="G124" s="5" t="n">
        <v>0.0583</v>
      </c>
      <c r="H124" s="5" t="n">
        <v>350000</v>
      </c>
      <c r="I124" s="5" t="inlineStr"/>
      <c r="J124" s="5" t="inlineStr"/>
      <c r="K124" s="5" t="inlineStr"/>
      <c r="L124" s="5">
        <f>ROUND((H124/F124)*1.1, 0)</f>
        <v/>
      </c>
      <c r="M124" s="5">
        <f>ROUND(G124*L124, 0)</f>
        <v/>
      </c>
      <c r="N124" s="5" t="inlineStr">
        <is>
          <t>Tra cứu nguyên giá mua mới trên Mua sắm công để tính đơn giá Ca</t>
        </is>
      </c>
    </row>
    <row r="125">
      <c r="A125" s="4" t="n">
        <v>121</v>
      </c>
      <c r="B125" s="4" t="inlineStr">
        <is>
          <t>DC_121</t>
        </is>
      </c>
      <c r="C125" s="4" t="inlineStr">
        <is>
          <t>Áo blue</t>
        </is>
      </c>
      <c r="D125" s="4" t="inlineStr">
        <is>
          <t>cái</t>
        </is>
      </c>
      <c r="E125" s="4" t="n">
        <v>12</v>
      </c>
      <c r="F125" s="4" t="n">
        <v>264</v>
      </c>
      <c r="G125" s="4" t="n">
        <v>3.4667</v>
      </c>
      <c r="H125" s="4" t="n">
        <v>250000</v>
      </c>
      <c r="I125" s="4" t="inlineStr"/>
      <c r="J125" s="4" t="inlineStr"/>
      <c r="K125" s="4" t="inlineStr"/>
      <c r="L125" s="4">
        <f>ROUND((H125/F125)*1.1, 0)</f>
        <v/>
      </c>
      <c r="M125" s="4">
        <f>ROUND(G125*L125, 0)</f>
        <v/>
      </c>
      <c r="N125" s="4" t="inlineStr">
        <is>
          <t>Tra cứu nguyên giá mua mới trên Mua sắm công để tính đơn giá Ca</t>
        </is>
      </c>
    </row>
    <row r="126">
      <c r="A126" s="5" t="n">
        <v>122</v>
      </c>
      <c r="B126" s="5" t="inlineStr">
        <is>
          <t>DC_122</t>
        </is>
      </c>
      <c r="C126" s="5" t="inlineStr">
        <is>
          <t>Áo blue</t>
        </is>
      </c>
      <c r="D126" s="5" t="inlineStr">
        <is>
          <t>Cái</t>
        </is>
      </c>
      <c r="E126" s="5" t="n">
        <v>12</v>
      </c>
      <c r="F126" s="5" t="n">
        <v>264</v>
      </c>
      <c r="G126" s="5" t="n">
        <v>0.1167</v>
      </c>
      <c r="H126" s="5" t="n">
        <v>250000</v>
      </c>
      <c r="I126" s="5" t="inlineStr"/>
      <c r="J126" s="5" t="inlineStr"/>
      <c r="K126" s="5" t="inlineStr"/>
      <c r="L126" s="5">
        <f>ROUND((H126/F126)*1.1, 0)</f>
        <v/>
      </c>
      <c r="M126" s="5">
        <f>ROUND(G126*L126, 0)</f>
        <v/>
      </c>
      <c r="N126" s="5" t="inlineStr">
        <is>
          <t>Tra cứu nguyên giá mua mới trên Mua sắm công để tính đơn giá Ca</t>
        </is>
      </c>
    </row>
    <row r="127">
      <c r="A127" s="4" t="n">
        <v>123</v>
      </c>
      <c r="B127" s="4" t="inlineStr">
        <is>
          <t>DC_123</t>
        </is>
      </c>
      <c r="C127" s="4" t="inlineStr">
        <is>
          <t>Áo blue</t>
        </is>
      </c>
      <c r="D127" s="4" t="inlineStr">
        <is>
          <t>Bộ</t>
        </is>
      </c>
      <c r="E127" s="4" t="n">
        <v>12</v>
      </c>
      <c r="F127" s="4" t="n">
        <v>264</v>
      </c>
      <c r="G127" s="4" t="n">
        <v>0.05</v>
      </c>
      <c r="H127" s="4" t="n">
        <v>250000</v>
      </c>
      <c r="I127" s="4" t="inlineStr"/>
      <c r="J127" s="4" t="inlineStr"/>
      <c r="K127" s="4" t="inlineStr"/>
      <c r="L127" s="4">
        <f>ROUND((H127/F127)*1.1, 0)</f>
        <v/>
      </c>
      <c r="M127" s="4">
        <f>ROUND(G127*L127, 0)</f>
        <v/>
      </c>
      <c r="N127" s="4" t="inlineStr">
        <is>
          <t>Tra cứu nguyên giá mua mới trên Mua sắm công để tính đơn giá Ca</t>
        </is>
      </c>
    </row>
    <row r="128">
      <c r="A128" s="5" t="n">
        <v>124</v>
      </c>
      <c r="B128" s="5" t="inlineStr">
        <is>
          <t>DC_124</t>
        </is>
      </c>
      <c r="C128" s="5" t="inlineStr">
        <is>
          <t>Áo phao</t>
        </is>
      </c>
      <c r="D128" s="5" t="inlineStr">
        <is>
          <t>cái</t>
        </is>
      </c>
      <c r="E128" s="5" t="n">
        <v>12</v>
      </c>
      <c r="F128" s="5" t="n">
        <v>264</v>
      </c>
      <c r="G128" s="5" t="n">
        <v>3.6667</v>
      </c>
      <c r="H128" s="5" t="n">
        <v>250000</v>
      </c>
      <c r="I128" s="5" t="inlineStr"/>
      <c r="J128" s="5" t="inlineStr"/>
      <c r="K128" s="5" t="inlineStr"/>
      <c r="L128" s="5">
        <f>ROUND((H128/F128)*1.1, 0)</f>
        <v/>
      </c>
      <c r="M128" s="5">
        <f>ROUND(G128*L128, 0)</f>
        <v/>
      </c>
      <c r="N128" s="5" t="inlineStr">
        <is>
          <t>Tra cứu nguyên giá mua mới trên Mua sắm công để tính đơn giá Ca</t>
        </is>
      </c>
    </row>
    <row r="129">
      <c r="A129" s="4" t="n">
        <v>125</v>
      </c>
      <c r="B129" s="4" t="inlineStr">
        <is>
          <t>DC_125</t>
        </is>
      </c>
      <c r="C129" s="4" t="inlineStr">
        <is>
          <t>Ô che mưa, che nắng</t>
        </is>
      </c>
      <c r="D129" s="4" t="inlineStr">
        <is>
          <t>cái</t>
        </is>
      </c>
      <c r="E129" s="4" t="n">
        <v>24</v>
      </c>
      <c r="F129" s="4" t="n">
        <v>528</v>
      </c>
      <c r="G129" s="4" t="n">
        <v>3.0729</v>
      </c>
      <c r="H129" s="4" t="n">
        <v>350000</v>
      </c>
      <c r="I129" s="4" t="inlineStr"/>
      <c r="J129" s="4" t="inlineStr"/>
      <c r="K129" s="4" t="inlineStr"/>
      <c r="L129" s="4">
        <f>ROUND((H129/F129)*1.1, 0)</f>
        <v/>
      </c>
      <c r="M129" s="4">
        <f>ROUND(G129*L129, 0)</f>
        <v/>
      </c>
      <c r="N129" s="4" t="inlineStr">
        <is>
          <t>Tra cứu nguyên giá mua mới trên Mua sắm công để tính đơn giá Ca</t>
        </is>
      </c>
    </row>
    <row r="130">
      <c r="A130" s="5" t="n">
        <v>126</v>
      </c>
      <c r="B130" s="5" t="inlineStr">
        <is>
          <t>DC_126</t>
        </is>
      </c>
      <c r="C130" s="5" t="inlineStr">
        <is>
          <t>Ô che mưa, che nắng</t>
        </is>
      </c>
      <c r="D130" s="5" t="inlineStr">
        <is>
          <t>Cái</t>
        </is>
      </c>
      <c r="E130" s="5" t="n">
        <v>24</v>
      </c>
      <c r="F130" s="5" t="n">
        <v>528</v>
      </c>
      <c r="G130" s="5" t="n">
        <v>0.2</v>
      </c>
      <c r="H130" s="5" t="n">
        <v>350000</v>
      </c>
      <c r="I130" s="5" t="inlineStr"/>
      <c r="J130" s="5" t="inlineStr"/>
      <c r="K130" s="5" t="inlineStr"/>
      <c r="L130" s="5">
        <f>ROUND((H130/F130)*1.1, 0)</f>
        <v/>
      </c>
      <c r="M130" s="5">
        <f>ROUND(G130*L130, 0)</f>
        <v/>
      </c>
      <c r="N130" s="5" t="inlineStr">
        <is>
          <t>Tra cứu nguyên giá mua mới trên Mua sắm công để tính đơn giá Ca</t>
        </is>
      </c>
    </row>
    <row r="131">
      <c r="A131" s="4" t="n">
        <v>127</v>
      </c>
      <c r="B131" s="4" t="inlineStr">
        <is>
          <t>DC_127</t>
        </is>
      </c>
      <c r="C131" s="4" t="inlineStr">
        <is>
          <t>Đai bảo hiểm</t>
        </is>
      </c>
      <c r="D131" s="4" t="inlineStr">
        <is>
          <t>cái</t>
        </is>
      </c>
      <c r="E131" s="4" t="n">
        <v>3</v>
      </c>
      <c r="F131" s="4" t="n">
        <v>66</v>
      </c>
      <c r="G131" s="4" t="n">
        <v>11.8</v>
      </c>
      <c r="H131" s="4" t="n">
        <v>350000</v>
      </c>
      <c r="I131" s="4" t="inlineStr"/>
      <c r="J131" s="4" t="inlineStr"/>
      <c r="K131" s="4" t="inlineStr"/>
      <c r="L131" s="4">
        <f>ROUND((H131/F131)*1.1, 0)</f>
        <v/>
      </c>
      <c r="M131" s="4">
        <f>ROUND(G131*L131, 0)</f>
        <v/>
      </c>
      <c r="N131" s="4" t="inlineStr">
        <is>
          <t>Tra cứu nguyên giá mua mới trên Mua sắm công để tính đơn giá Ca</t>
        </is>
      </c>
    </row>
    <row r="132">
      <c r="A132" s="5" t="n">
        <v>128</v>
      </c>
      <c r="B132" s="5" t="inlineStr">
        <is>
          <t>DC_128</t>
        </is>
      </c>
      <c r="C132" s="5" t="inlineStr">
        <is>
          <t>Điện cực</t>
        </is>
      </c>
      <c r="D132" s="5" t="inlineStr">
        <is>
          <t>cái</t>
        </is>
      </c>
      <c r="E132" s="5" t="n">
        <v>6</v>
      </c>
      <c r="F132" s="5" t="n">
        <v>132</v>
      </c>
      <c r="G132" s="5" t="n">
        <v>0.1667</v>
      </c>
      <c r="H132" s="5" t="n">
        <v>350000</v>
      </c>
      <c r="I132" s="5" t="inlineStr"/>
      <c r="J132" s="5" t="inlineStr"/>
      <c r="K132" s="5" t="inlineStr"/>
      <c r="L132" s="5">
        <f>ROUND((H132/F132)*1.1, 0)</f>
        <v/>
      </c>
      <c r="M132" s="5">
        <f>ROUND(G132*L132, 0)</f>
        <v/>
      </c>
      <c r="N132" s="5" t="inlineStr">
        <is>
          <t>Tra cứu nguyên giá mua mới trên Mua sắm công để tính đơn giá Ca</t>
        </is>
      </c>
    </row>
    <row r="133">
      <c r="A133" s="4" t="n">
        <v>129</v>
      </c>
      <c r="B133" s="4" t="inlineStr">
        <is>
          <t>DC_129</t>
        </is>
      </c>
      <c r="C133" s="4" t="inlineStr">
        <is>
          <t>Điện cực pH</t>
        </is>
      </c>
      <c r="D133" s="4" t="inlineStr">
        <is>
          <t>cái</t>
        </is>
      </c>
      <c r="E133" s="4" t="n">
        <v>6</v>
      </c>
      <c r="F133" s="4" t="n">
        <v>132</v>
      </c>
      <c r="G133" s="4" t="n">
        <v>0.8167</v>
      </c>
      <c r="H133" s="4" t="n">
        <v>350000</v>
      </c>
      <c r="I133" s="4" t="inlineStr"/>
      <c r="J133" s="4" t="inlineStr"/>
      <c r="K133" s="4" t="inlineStr"/>
      <c r="L133" s="4">
        <f>ROUND((H133/F133)*1.1, 0)</f>
        <v/>
      </c>
      <c r="M133" s="4">
        <f>ROUND(G133*L133, 0)</f>
        <v/>
      </c>
      <c r="N133" s="4" t="inlineStr">
        <is>
          <t>Tra cứu nguyên giá mua mới trên Mua sắm công để tính đơn giá Ca</t>
        </is>
      </c>
    </row>
    <row r="134">
      <c r="A134" s="5" t="n">
        <v>130</v>
      </c>
      <c r="B134" s="5" t="inlineStr">
        <is>
          <t>DC_130</t>
        </is>
      </c>
      <c r="C134" s="5" t="inlineStr">
        <is>
          <t>Điện cực pH</t>
        </is>
      </c>
      <c r="D134" s="5" t="inlineStr">
        <is>
          <t>Cái</t>
        </is>
      </c>
      <c r="E134" s="5" t="n">
        <v>6</v>
      </c>
      <c r="F134" s="5" t="n">
        <v>132</v>
      </c>
      <c r="G134" s="5" t="n">
        <v>0.1333</v>
      </c>
      <c r="H134" s="5" t="n">
        <v>350000</v>
      </c>
      <c r="I134" s="5" t="inlineStr"/>
      <c r="J134" s="5" t="inlineStr"/>
      <c r="K134" s="5" t="inlineStr"/>
      <c r="L134" s="5">
        <f>ROUND((H134/F134)*1.1, 0)</f>
        <v/>
      </c>
      <c r="M134" s="5">
        <f>ROUND(G134*L134, 0)</f>
        <v/>
      </c>
      <c r="N134" s="5" t="inlineStr">
        <is>
          <t>Tra cứu nguyên giá mua mới trên Mua sắm công để tính đơn giá Ca</t>
        </is>
      </c>
    </row>
    <row r="135">
      <c r="A135" s="4" t="n">
        <v>131</v>
      </c>
      <c r="B135" s="4" t="inlineStr">
        <is>
          <t>DC_131</t>
        </is>
      </c>
      <c r="C135" s="4" t="inlineStr">
        <is>
          <t>Điện năng</t>
        </is>
      </c>
      <c r="D135" s="4" t="inlineStr">
        <is>
          <t>kw</t>
        </is>
      </c>
      <c r="E135" s="4" t="n">
        <v>12</v>
      </c>
      <c r="F135" s="4" t="n">
        <v>264</v>
      </c>
      <c r="G135" s="4" t="n">
        <v>3.4333</v>
      </c>
      <c r="H135" s="4" t="n">
        <v>350000</v>
      </c>
      <c r="I135" s="4" t="inlineStr"/>
      <c r="J135" s="4" t="inlineStr"/>
      <c r="K135" s="4" t="inlineStr"/>
      <c r="L135" s="4">
        <f>ROUND((H135/F135)*1.1, 0)</f>
        <v/>
      </c>
      <c r="M135" s="4">
        <f>ROUND(G135*L135, 0)</f>
        <v/>
      </c>
      <c r="N135" s="4" t="inlineStr">
        <is>
          <t>Tra cứu nguyên giá mua mới trên Mua sắm công để tính đơn giá Ca</t>
        </is>
      </c>
    </row>
    <row r="136">
      <c r="A136" s="5" t="n">
        <v>132</v>
      </c>
      <c r="B136" s="5" t="inlineStr">
        <is>
          <t>DC_132</t>
        </is>
      </c>
      <c r="C136" s="5" t="inlineStr">
        <is>
          <t>Điện năng</t>
        </is>
      </c>
      <c r="D136" s="5" t="inlineStr">
        <is>
          <t>Kw</t>
        </is>
      </c>
      <c r="E136" s="5" t="n">
        <v>12</v>
      </c>
      <c r="F136" s="5" t="n">
        <v>264</v>
      </c>
      <c r="G136" s="5" t="n">
        <v>0.15</v>
      </c>
      <c r="H136" s="5" t="n">
        <v>350000</v>
      </c>
      <c r="I136" s="5" t="inlineStr"/>
      <c r="J136" s="5" t="inlineStr"/>
      <c r="K136" s="5" t="inlineStr"/>
      <c r="L136" s="5">
        <f>ROUND((H136/F136)*1.1, 0)</f>
        <v/>
      </c>
      <c r="M136" s="5">
        <f>ROUND(G136*L136, 0)</f>
        <v/>
      </c>
      <c r="N136" s="5" t="inlineStr">
        <is>
          <t>Tra cứu nguyên giá mua mới trên Mua sắm công để tính đơn giá Ca</t>
        </is>
      </c>
    </row>
    <row r="137">
      <c r="A137" s="4" t="n">
        <v>133</v>
      </c>
      <c r="B137" s="4" t="inlineStr">
        <is>
          <t>DC_133</t>
        </is>
      </c>
      <c r="C137" s="4" t="inlineStr">
        <is>
          <t>Điện năng</t>
        </is>
      </c>
      <c r="D137" s="4" t="inlineStr">
        <is>
          <t>cái</t>
        </is>
      </c>
      <c r="E137" s="4" t="n">
        <v>12</v>
      </c>
      <c r="F137" s="4" t="n">
        <v>264</v>
      </c>
      <c r="G137" s="4" t="n">
        <v>0.05</v>
      </c>
      <c r="H137" s="4" t="n">
        <v>350000</v>
      </c>
      <c r="I137" s="4" t="inlineStr"/>
      <c r="J137" s="4" t="inlineStr"/>
      <c r="K137" s="4" t="inlineStr"/>
      <c r="L137" s="4">
        <f>ROUND((H137/F137)*1.1, 0)</f>
        <v/>
      </c>
      <c r="M137" s="4">
        <f>ROUND(G137*L137, 0)</f>
        <v/>
      </c>
      <c r="N137" s="4" t="inlineStr">
        <is>
          <t>Tra cứu nguyên giá mua mới trên Mua sắm công để tính đơn giá Ca</t>
        </is>
      </c>
    </row>
    <row r="138">
      <c r="A138" s="5" t="n">
        <v>134</v>
      </c>
      <c r="B138" s="5" t="inlineStr">
        <is>
          <t>DC_134</t>
        </is>
      </c>
      <c r="C138" s="5" t="inlineStr">
        <is>
          <t>Đèn D2</t>
        </is>
      </c>
      <c r="D138" s="5" t="inlineStr">
        <is>
          <t>cái</t>
        </is>
      </c>
      <c r="E138" s="5" t="n">
        <v>24</v>
      </c>
      <c r="F138" s="5" t="n">
        <v>528</v>
      </c>
      <c r="G138" s="5" t="n">
        <v>1.1167</v>
      </c>
      <c r="H138" s="5" t="n">
        <v>350000</v>
      </c>
      <c r="I138" s="5" t="inlineStr"/>
      <c r="J138" s="5" t="inlineStr"/>
      <c r="K138" s="5" t="inlineStr"/>
      <c r="L138" s="5">
        <f>ROUND((H138/F138)*1.1, 0)</f>
        <v/>
      </c>
      <c r="M138" s="5">
        <f>ROUND(G138*L138, 0)</f>
        <v/>
      </c>
      <c r="N138" s="5" t="inlineStr">
        <is>
          <t>Tra cứu nguyên giá mua mới trên Mua sắm công để tính đơn giá Ca</t>
        </is>
      </c>
    </row>
    <row r="139">
      <c r="A139" s="4" t="n">
        <v>135</v>
      </c>
      <c r="B139" s="4" t="inlineStr">
        <is>
          <t>DC_135</t>
        </is>
      </c>
      <c r="C139" s="4" t="inlineStr">
        <is>
          <t>Đèn EDL</t>
        </is>
      </c>
      <c r="D139" s="4" t="inlineStr">
        <is>
          <t>cái</t>
        </is>
      </c>
      <c r="E139" s="4" t="n">
        <v>24</v>
      </c>
      <c r="F139" s="4" t="n">
        <v>528</v>
      </c>
      <c r="G139" s="4" t="n">
        <v>0.2667</v>
      </c>
      <c r="H139" s="4" t="n">
        <v>350000</v>
      </c>
      <c r="I139" s="4" t="inlineStr"/>
      <c r="J139" s="4" t="inlineStr"/>
      <c r="K139" s="4" t="inlineStr"/>
      <c r="L139" s="4">
        <f>ROUND((H139/F139)*1.1, 0)</f>
        <v/>
      </c>
      <c r="M139" s="4">
        <f>ROUND(G139*L139, 0)</f>
        <v/>
      </c>
      <c r="N139" s="4" t="inlineStr">
        <is>
          <t>Tra cứu nguyên giá mua mới trên Mua sắm công để tính đơn giá Ca</t>
        </is>
      </c>
    </row>
    <row r="140">
      <c r="A140" s="5" t="n">
        <v>136</v>
      </c>
      <c r="B140" s="5" t="inlineStr">
        <is>
          <t>DC_136</t>
        </is>
      </c>
      <c r="C140" s="5" t="inlineStr">
        <is>
          <t>Đèn HCL</t>
        </is>
      </c>
      <c r="D140" s="5" t="inlineStr">
        <is>
          <t>cái</t>
        </is>
      </c>
      <c r="E140" s="5" t="n">
        <v>24</v>
      </c>
      <c r="F140" s="5" t="n">
        <v>528</v>
      </c>
      <c r="G140" s="5" t="n">
        <v>0.425</v>
      </c>
      <c r="H140" s="5" t="n">
        <v>350000</v>
      </c>
      <c r="I140" s="5" t="inlineStr"/>
      <c r="J140" s="5" t="inlineStr"/>
      <c r="K140" s="5" t="inlineStr"/>
      <c r="L140" s="5">
        <f>ROUND((H140/F140)*1.1, 0)</f>
        <v/>
      </c>
      <c r="M140" s="5">
        <f>ROUND(G140*L140, 0)</f>
        <v/>
      </c>
      <c r="N140" s="5" t="inlineStr">
        <is>
          <t>Tra cứu nguyên giá mua mới trên Mua sắm công để tính đơn giá Ca</t>
        </is>
      </c>
    </row>
    <row r="141">
      <c r="A141" s="4" t="n">
        <v>137</v>
      </c>
      <c r="B141" s="4" t="inlineStr">
        <is>
          <t>DC_137</t>
        </is>
      </c>
      <c r="C141" s="4" t="inlineStr">
        <is>
          <t>Đèn Tungsten</t>
        </is>
      </c>
      <c r="D141" s="4" t="inlineStr">
        <is>
          <t>cái</t>
        </is>
      </c>
      <c r="E141" s="4" t="n">
        <v>24</v>
      </c>
      <c r="F141" s="4" t="n">
        <v>528</v>
      </c>
      <c r="G141" s="4" t="n">
        <v>1.1167</v>
      </c>
      <c r="H141" s="4" t="n">
        <v>350000</v>
      </c>
      <c r="I141" s="4" t="inlineStr"/>
      <c r="J141" s="4" t="inlineStr"/>
      <c r="K141" s="4" t="inlineStr"/>
      <c r="L141" s="4">
        <f>ROUND((H141/F141)*1.1, 0)</f>
        <v/>
      </c>
      <c r="M141" s="4">
        <f>ROUND(G141*L141, 0)</f>
        <v/>
      </c>
      <c r="N141" s="4" t="inlineStr">
        <is>
          <t>Tra cứu nguyên giá mua mới trên Mua sắm công để tính đơn giá Ca</t>
        </is>
      </c>
    </row>
    <row r="142">
      <c r="A142" s="5" t="n">
        <v>138</v>
      </c>
      <c r="B142" s="5" t="inlineStr">
        <is>
          <t>DC_138</t>
        </is>
      </c>
      <c r="C142" s="5" t="inlineStr">
        <is>
          <t>Đèn neon 40w</t>
        </is>
      </c>
      <c r="D142" s="5" t="inlineStr">
        <is>
          <t>bộ</t>
        </is>
      </c>
      <c r="E142" s="5" t="n">
        <v>24</v>
      </c>
      <c r="F142" s="5" t="n">
        <v>528</v>
      </c>
      <c r="G142" s="5" t="n">
        <v>1.8167</v>
      </c>
      <c r="H142" s="5" t="n">
        <v>350000</v>
      </c>
      <c r="I142" s="5" t="inlineStr"/>
      <c r="J142" s="5" t="inlineStr"/>
      <c r="K142" s="5" t="inlineStr"/>
      <c r="L142" s="5">
        <f>ROUND((H142/F142)*1.1, 0)</f>
        <v/>
      </c>
      <c r="M142" s="5">
        <f>ROUND(G142*L142, 0)</f>
        <v/>
      </c>
      <c r="N142" s="5" t="inlineStr">
        <is>
          <t>Tra cứu nguyên giá mua mới trên Mua sắm công để tính đơn giá Ca</t>
        </is>
      </c>
    </row>
    <row r="143">
      <c r="A143" s="4" t="n">
        <v>139</v>
      </c>
      <c r="B143" s="4" t="inlineStr">
        <is>
          <t>DC_139</t>
        </is>
      </c>
      <c r="C143" s="4" t="inlineStr">
        <is>
          <t>Đĩa cân</t>
        </is>
      </c>
      <c r="D143" s="4" t="inlineStr">
        <is>
          <t>cái</t>
        </is>
      </c>
      <c r="E143" s="4" t="n">
        <v>60</v>
      </c>
      <c r="F143" s="4" t="n">
        <v>1320</v>
      </c>
      <c r="G143" s="4" t="n">
        <v>0.0867</v>
      </c>
      <c r="H143" s="4" t="n">
        <v>350000</v>
      </c>
      <c r="I143" s="4" t="inlineStr"/>
      <c r="J143" s="4" t="inlineStr"/>
      <c r="K143" s="4" t="inlineStr"/>
      <c r="L143" s="4">
        <f>ROUND((H143/F143)*1.1, 0)</f>
        <v/>
      </c>
      <c r="M143" s="4">
        <f>ROUND(G143*L143, 0)</f>
        <v/>
      </c>
      <c r="N143" s="4" t="inlineStr">
        <is>
          <t>Tra cứu nguyên giá mua mới trên Mua sắm công để tính đơn giá Ca</t>
        </is>
      </c>
    </row>
    <row r="144">
      <c r="A144" s="5" t="n">
        <v>140</v>
      </c>
      <c r="B144" s="5" t="inlineStr">
        <is>
          <t>DC_140</t>
        </is>
      </c>
      <c r="C144" s="5" t="inlineStr">
        <is>
          <t>Đĩa thủy tinh</t>
        </is>
      </c>
      <c r="D144" s="5" t="inlineStr">
        <is>
          <t>cái</t>
        </is>
      </c>
      <c r="E144" s="5" t="n">
        <v>6</v>
      </c>
      <c r="F144" s="5" t="n">
        <v>132</v>
      </c>
      <c r="G144" s="5" t="n">
        <v>0.3333</v>
      </c>
      <c r="H144" s="5" t="n">
        <v>350000</v>
      </c>
      <c r="I144" s="5" t="inlineStr"/>
      <c r="J144" s="5" t="inlineStr"/>
      <c r="K144" s="5" t="inlineStr"/>
      <c r="L144" s="5">
        <f>ROUND((H144/F144)*1.1, 0)</f>
        <v/>
      </c>
      <c r="M144" s="5">
        <f>ROUND(G144*L144, 0)</f>
        <v/>
      </c>
      <c r="N144" s="5" t="inlineStr">
        <is>
          <t>Tra cứu nguyên giá mua mới trên Mua sắm công để tính đơn giá Ca</t>
        </is>
      </c>
    </row>
    <row r="145">
      <c r="A145" s="4" t="n">
        <v>141</v>
      </c>
      <c r="B145" s="4" t="inlineStr">
        <is>
          <t>DC_141</t>
        </is>
      </c>
      <c r="C145" s="4" t="inlineStr">
        <is>
          <t>Đũa thủy tinh</t>
        </is>
      </c>
      <c r="D145" s="4" t="inlineStr">
        <is>
          <t>cái</t>
        </is>
      </c>
      <c r="E145" s="4" t="n">
        <v>6</v>
      </c>
      <c r="F145" s="4" t="n">
        <v>132</v>
      </c>
      <c r="G145" s="4" t="n">
        <v>5.2667</v>
      </c>
      <c r="H145" s="4" t="n">
        <v>350000</v>
      </c>
      <c r="I145" s="4" t="inlineStr"/>
      <c r="J145" s="4" t="inlineStr"/>
      <c r="K145" s="4" t="inlineStr"/>
      <c r="L145" s="4">
        <f>ROUND((H145/F145)*1.1, 0)</f>
        <v/>
      </c>
      <c r="M145" s="4">
        <f>ROUND(G145*L145, 0)</f>
        <v/>
      </c>
      <c r="N145" s="4" t="inlineStr">
        <is>
          <t>Tra cứu nguyên giá mua mới trên Mua sắm công để tính đơn giá Ca</t>
        </is>
      </c>
    </row>
    <row r="146">
      <c r="A146" s="5" t="n">
        <v>142</v>
      </c>
      <c r="B146" s="5" t="inlineStr">
        <is>
          <t>DC_142</t>
        </is>
      </c>
      <c r="C146" s="5" t="inlineStr">
        <is>
          <t>Đũa thủy tinh</t>
        </is>
      </c>
      <c r="D146" s="5" t="inlineStr">
        <is>
          <t>cây</t>
        </is>
      </c>
      <c r="E146" s="5" t="n">
        <v>6</v>
      </c>
      <c r="F146" s="5" t="n">
        <v>132</v>
      </c>
      <c r="G146" s="5" t="n">
        <v>0.2333</v>
      </c>
      <c r="H146" s="5" t="n">
        <v>350000</v>
      </c>
      <c r="I146" s="5" t="inlineStr"/>
      <c r="J146" s="5" t="inlineStr"/>
      <c r="K146" s="5" t="inlineStr"/>
      <c r="L146" s="5">
        <f>ROUND((H146/F146)*1.1, 0)</f>
        <v/>
      </c>
      <c r="M146" s="5">
        <f>ROUND(G146*L146, 0)</f>
        <v/>
      </c>
      <c r="N146" s="5" t="inlineStr">
        <is>
          <t>Tra cứu nguyên giá mua mới trên Mua sắm công để tính đơn giá Ca</t>
        </is>
      </c>
    </row>
    <row r="147">
      <c r="A147" s="4" t="n">
        <v>143</v>
      </c>
      <c r="B147" s="4" t="inlineStr">
        <is>
          <t>DC_143</t>
        </is>
      </c>
      <c r="C147" s="4" t="inlineStr">
        <is>
          <t>Đầu cone 1ml</t>
        </is>
      </c>
      <c r="D147" s="4" t="inlineStr">
        <is>
          <t>cái</t>
        </is>
      </c>
      <c r="E147" s="4" t="n">
        <v>1</v>
      </c>
      <c r="F147" s="4" t="n">
        <v>22</v>
      </c>
      <c r="G147" s="4" t="n">
        <v>21.6</v>
      </c>
      <c r="H147" s="4" t="n">
        <v>350000</v>
      </c>
      <c r="I147" s="4" t="inlineStr"/>
      <c r="J147" s="4" t="inlineStr"/>
      <c r="K147" s="4" t="inlineStr"/>
      <c r="L147" s="4">
        <f>ROUND((H147/F147)*1.1, 0)</f>
        <v/>
      </c>
      <c r="M147" s="4">
        <f>ROUND(G147*L147, 0)</f>
        <v/>
      </c>
      <c r="N147" s="4" t="inlineStr">
        <is>
          <t>Tra cứu nguyên giá mua mới trên Mua sắm công để tính đơn giá Ca</t>
        </is>
      </c>
    </row>
    <row r="148">
      <c r="A148" s="5" t="n">
        <v>144</v>
      </c>
      <c r="B148" s="5" t="inlineStr">
        <is>
          <t>DC_144</t>
        </is>
      </c>
      <c r="C148" s="5" t="inlineStr">
        <is>
          <t>Đầu cone 5ml</t>
        </is>
      </c>
      <c r="D148" s="5" t="inlineStr">
        <is>
          <t>cái</t>
        </is>
      </c>
      <c r="E148" s="5" t="n">
        <v>1</v>
      </c>
      <c r="F148" s="5" t="n">
        <v>22</v>
      </c>
      <c r="G148" s="5" t="n">
        <v>9</v>
      </c>
      <c r="H148" s="5" t="n">
        <v>350000</v>
      </c>
      <c r="I148" s="5" t="inlineStr"/>
      <c r="J148" s="5" t="inlineStr"/>
      <c r="K148" s="5" t="inlineStr"/>
      <c r="L148" s="5">
        <f>ROUND((H148/F148)*1.1, 0)</f>
        <v/>
      </c>
      <c r="M148" s="5">
        <f>ROUND(G148*L148, 0)</f>
        <v/>
      </c>
      <c r="N148" s="5" t="inlineStr">
        <is>
          <t>Tra cứu nguyên giá mua mới trên Mua sắm công để tính đơn giá Ca</t>
        </is>
      </c>
    </row>
    <row r="149">
      <c r="A149" s="4" t="n">
        <v>145</v>
      </c>
      <c r="B149" s="4" t="inlineStr">
        <is>
          <t>DC_145</t>
        </is>
      </c>
      <c r="C149" s="4" t="inlineStr">
        <is>
          <t>Đầu cone 5ml</t>
        </is>
      </c>
      <c r="D149" s="4" t="inlineStr">
        <is>
          <t>Cái</t>
        </is>
      </c>
      <c r="E149" s="4" t="n">
        <v>1</v>
      </c>
      <c r="F149" s="4" t="n">
        <v>22</v>
      </c>
      <c r="G149" s="4" t="n">
        <v>1.8</v>
      </c>
      <c r="H149" s="4" t="n">
        <v>350000</v>
      </c>
      <c r="I149" s="4" t="inlineStr"/>
      <c r="J149" s="4" t="inlineStr"/>
      <c r="K149" s="4" t="inlineStr"/>
      <c r="L149" s="4">
        <f>ROUND((H149/F149)*1.1, 0)</f>
        <v/>
      </c>
      <c r="M149" s="4">
        <f>ROUND(G149*L149, 0)</f>
        <v/>
      </c>
      <c r="N149" s="4" t="inlineStr">
        <is>
          <t>Tra cứu nguyên giá mua mới trên Mua sắm công để tính đơn giá Ca</t>
        </is>
      </c>
    </row>
    <row r="150">
      <c r="A150" s="5" t="n">
        <v>146</v>
      </c>
      <c r="B150" s="5" t="inlineStr">
        <is>
          <t>DC_146</t>
        </is>
      </c>
      <c r="C150" s="5" t="inlineStr">
        <is>
          <t>Đầu lấy mẫu</t>
        </is>
      </c>
      <c r="D150" s="5" t="inlineStr">
        <is>
          <t>cái</t>
        </is>
      </c>
      <c r="E150" s="5" t="n">
        <v>5</v>
      </c>
      <c r="F150" s="5" t="n">
        <v>110</v>
      </c>
      <c r="G150" s="5" t="n">
        <v>0.52</v>
      </c>
      <c r="H150" s="5" t="n">
        <v>350000</v>
      </c>
      <c r="I150" s="5" t="inlineStr"/>
      <c r="J150" s="5" t="inlineStr"/>
      <c r="K150" s="5" t="inlineStr"/>
      <c r="L150" s="5">
        <f>ROUND((H150/F150)*1.1, 0)</f>
        <v/>
      </c>
      <c r="M150" s="5">
        <f>ROUND(G150*L150, 0)</f>
        <v/>
      </c>
      <c r="N150" s="5" t="inlineStr">
        <is>
          <t>Tra cứu nguyên giá mua mới trên Mua sắm công để tính đơn giá Ca</t>
        </is>
      </c>
    </row>
    <row r="151">
      <c r="A151" s="4" t="n">
        <v>147</v>
      </c>
      <c r="B151" s="4" t="inlineStr">
        <is>
          <t>DC_147</t>
        </is>
      </c>
      <c r="C151" s="4" t="inlineStr">
        <is>
          <t>Đầu điện cực</t>
        </is>
      </c>
      <c r="D151" s="4" t="inlineStr">
        <is>
          <t>cái</t>
        </is>
      </c>
      <c r="E151" s="4" t="n">
        <v>6</v>
      </c>
      <c r="F151" s="4" t="n">
        <v>132</v>
      </c>
      <c r="G151" s="4" t="n">
        <v>0.2333</v>
      </c>
      <c r="H151" s="4" t="n">
        <v>350000</v>
      </c>
      <c r="I151" s="4" t="inlineStr"/>
      <c r="J151" s="4" t="inlineStr"/>
      <c r="K151" s="4" t="inlineStr"/>
      <c r="L151" s="4">
        <f>ROUND((H151/F151)*1.1, 0)</f>
        <v/>
      </c>
      <c r="M151" s="4">
        <f>ROUND(G151*L151, 0)</f>
        <v/>
      </c>
      <c r="N151" s="4" t="inlineStr">
        <is>
          <t>Tra cứu nguyên giá mua mới trên Mua sắm công để tính đơn giá Ca</t>
        </is>
      </c>
    </row>
    <row r="152">
      <c r="A152" s="5" t="n">
        <v>148</v>
      </c>
      <c r="B152" s="5" t="inlineStr">
        <is>
          <t>DC_148</t>
        </is>
      </c>
      <c r="C152" s="5" t="inlineStr">
        <is>
          <t>Đầu đo</t>
        </is>
      </c>
      <c r="D152" s="5" t="inlineStr">
        <is>
          <t>cái</t>
        </is>
      </c>
      <c r="E152" s="5" t="n">
        <v>6</v>
      </c>
      <c r="F152" s="5" t="n">
        <v>132</v>
      </c>
      <c r="G152" s="5" t="n">
        <v>1.2</v>
      </c>
      <c r="H152" s="5" t="n">
        <v>350000</v>
      </c>
      <c r="I152" s="5" t="inlineStr"/>
      <c r="J152" s="5" t="inlineStr"/>
      <c r="K152" s="5" t="inlineStr"/>
      <c r="L152" s="5">
        <f>ROUND((H152/F152)*1.1, 0)</f>
        <v/>
      </c>
      <c r="M152" s="5">
        <f>ROUND(G152*L152, 0)</f>
        <v/>
      </c>
      <c r="N152" s="5" t="inlineStr">
        <is>
          <t>Tra cứu nguyên giá mua mới trên Mua sắm công để tính đơn giá Ca</t>
        </is>
      </c>
    </row>
    <row r="153">
      <c r="A153" s="4" t="n">
        <v>149</v>
      </c>
      <c r="B153" s="4" t="inlineStr">
        <is>
          <t>DC_149</t>
        </is>
      </c>
      <c r="C153" s="4" t="inlineStr">
        <is>
          <t>Ống chứa mẫu 15ml (có nắp)</t>
        </is>
      </c>
      <c r="D153" s="4" t="inlineStr">
        <is>
          <t>cái</t>
        </is>
      </c>
      <c r="E153" s="4" t="n">
        <v>6</v>
      </c>
      <c r="F153" s="4" t="n">
        <v>132</v>
      </c>
      <c r="G153" s="4" t="n">
        <v>1.1667</v>
      </c>
      <c r="H153" s="4" t="n">
        <v>180000</v>
      </c>
      <c r="I153" s="4" t="inlineStr"/>
      <c r="J153" s="4" t="inlineStr"/>
      <c r="K153" s="4" t="inlineStr"/>
      <c r="L153" s="4">
        <f>ROUND((H153/F153)*1.1, 0)</f>
        <v/>
      </c>
      <c r="M153" s="4">
        <f>ROUND(G153*L153, 0)</f>
        <v/>
      </c>
      <c r="N153" s="4" t="inlineStr">
        <is>
          <t>Tra cứu nguyên giá mua mới trên Mua sắm công để tính đơn giá Ca</t>
        </is>
      </c>
    </row>
    <row r="154">
      <c r="A154" s="5" t="n">
        <v>150</v>
      </c>
      <c r="B154" s="5" t="inlineStr">
        <is>
          <t>DC_150</t>
        </is>
      </c>
      <c r="C154" s="5" t="inlineStr">
        <is>
          <t>Ống hút</t>
        </is>
      </c>
      <c r="D154" s="5" t="inlineStr">
        <is>
          <t>cái</t>
        </is>
      </c>
      <c r="E154" s="5" t="n">
        <v>3</v>
      </c>
      <c r="F154" s="5" t="n">
        <v>66</v>
      </c>
      <c r="G154" s="5" t="n">
        <v>2.3333</v>
      </c>
      <c r="H154" s="5" t="n">
        <v>180000</v>
      </c>
      <c r="I154" s="5" t="inlineStr"/>
      <c r="J154" s="5" t="inlineStr"/>
      <c r="K154" s="5" t="inlineStr"/>
      <c r="L154" s="5">
        <f>ROUND((H154/F154)*1.1, 0)</f>
        <v/>
      </c>
      <c r="M154" s="5">
        <f>ROUND(G154*L154, 0)</f>
        <v/>
      </c>
      <c r="N154" s="5" t="inlineStr">
        <is>
          <t>Tra cứu nguyên giá mua mới trên Mua sắm công để tính đơn giá Ca</t>
        </is>
      </c>
    </row>
    <row r="155">
      <c r="A155" s="4" t="n">
        <v>151</v>
      </c>
      <c r="B155" s="4" t="inlineStr">
        <is>
          <t>DC_151</t>
        </is>
      </c>
      <c r="C155" s="4" t="inlineStr">
        <is>
          <t>Ống hấp thụ</t>
        </is>
      </c>
      <c r="D155" s="4" t="inlineStr">
        <is>
          <t>cái</t>
        </is>
      </c>
      <c r="E155" s="4" t="n">
        <v>6</v>
      </c>
      <c r="F155" s="4" t="n">
        <v>132</v>
      </c>
      <c r="G155" s="4" t="n">
        <v>0.3333</v>
      </c>
      <c r="H155" s="4" t="n">
        <v>180000</v>
      </c>
      <c r="I155" s="4" t="inlineStr"/>
      <c r="J155" s="4" t="inlineStr"/>
      <c r="K155" s="4" t="inlineStr"/>
      <c r="L155" s="4">
        <f>ROUND((H155/F155)*1.1, 0)</f>
        <v/>
      </c>
      <c r="M155" s="4">
        <f>ROUND(G155*L155, 0)</f>
        <v/>
      </c>
      <c r="N155" s="4" t="inlineStr">
        <is>
          <t>Tra cứu nguyên giá mua mới trên Mua sắm công để tính đơn giá Ca</t>
        </is>
      </c>
    </row>
    <row r="156">
      <c r="A156" s="5" t="n">
        <v>152</v>
      </c>
      <c r="B156" s="5" t="inlineStr">
        <is>
          <t>DC_152</t>
        </is>
      </c>
      <c r="C156" s="5" t="inlineStr">
        <is>
          <t>Ống lấy mẫu</t>
        </is>
      </c>
      <c r="D156" s="5" t="inlineStr">
        <is>
          <t>cái</t>
        </is>
      </c>
      <c r="E156" s="5" t="n">
        <v>18</v>
      </c>
      <c r="F156" s="5" t="n">
        <v>396</v>
      </c>
      <c r="G156" s="5" t="n">
        <v>0.0333</v>
      </c>
      <c r="H156" s="5" t="n">
        <v>180000</v>
      </c>
      <c r="I156" s="5" t="inlineStr"/>
      <c r="J156" s="5" t="inlineStr"/>
      <c r="K156" s="5" t="inlineStr"/>
      <c r="L156" s="5">
        <f>ROUND((H156/F156)*1.1, 0)</f>
        <v/>
      </c>
      <c r="M156" s="5">
        <f>ROUND(G156*L156, 0)</f>
        <v/>
      </c>
      <c r="N156" s="5" t="inlineStr">
        <is>
          <t>Tra cứu nguyên giá mua mới trên Mua sắm công để tính đơn giá Ca</t>
        </is>
      </c>
    </row>
    <row r="157">
      <c r="A157" s="4" t="n">
        <v>153</v>
      </c>
      <c r="B157" s="4" t="inlineStr">
        <is>
          <t>DC_153</t>
        </is>
      </c>
      <c r="C157" s="4" t="inlineStr">
        <is>
          <t>Ống nghiệm</t>
        </is>
      </c>
      <c r="D157" s="4" t="inlineStr">
        <is>
          <t>cái</t>
        </is>
      </c>
      <c r="E157" s="4" t="n">
        <v>6</v>
      </c>
      <c r="F157" s="4" t="n">
        <v>132</v>
      </c>
      <c r="G157" s="4" t="n">
        <v>0.3333</v>
      </c>
      <c r="H157" s="4" t="n">
        <v>180000</v>
      </c>
      <c r="I157" s="4" t="inlineStr"/>
      <c r="J157" s="4" t="inlineStr"/>
      <c r="K157" s="4" t="inlineStr"/>
      <c r="L157" s="4">
        <f>ROUND((H157/F157)*1.1, 0)</f>
        <v/>
      </c>
      <c r="M157" s="4">
        <f>ROUND(G157*L157, 0)</f>
        <v/>
      </c>
      <c r="N157" s="4" t="inlineStr">
        <is>
          <t>Tra cứu nguyên giá mua mới trên Mua sắm công để tính đơn giá Ca</t>
        </is>
      </c>
    </row>
    <row r="158">
      <c r="A158" s="5" t="n">
        <v>154</v>
      </c>
      <c r="B158" s="5" t="inlineStr">
        <is>
          <t>DC_154</t>
        </is>
      </c>
      <c r="C158" s="5" t="inlineStr">
        <is>
          <t>Ống phá mẫu có nắp kín</t>
        </is>
      </c>
      <c r="D158" s="5" t="inlineStr">
        <is>
          <t>cái</t>
        </is>
      </c>
      <c r="E158" s="5" t="n">
        <v>6</v>
      </c>
      <c r="F158" s="5" t="n">
        <v>132</v>
      </c>
      <c r="G158" s="5" t="n">
        <v>0.3</v>
      </c>
      <c r="H158" s="5" t="n">
        <v>180000</v>
      </c>
      <c r="I158" s="5" t="inlineStr"/>
      <c r="J158" s="5" t="inlineStr"/>
      <c r="K158" s="5" t="inlineStr"/>
      <c r="L158" s="5">
        <f>ROUND((H158/F158)*1.1, 0)</f>
        <v/>
      </c>
      <c r="M158" s="5">
        <f>ROUND(G158*L158, 0)</f>
        <v/>
      </c>
      <c r="N158" s="5" t="inlineStr">
        <is>
          <t>Tra cứu nguyên giá mua mới trên Mua sắm công để tính đơn giá Ca</t>
        </is>
      </c>
    </row>
    <row r="159">
      <c r="A159" s="4" t="n">
        <v>155</v>
      </c>
      <c r="B159" s="4" t="inlineStr">
        <is>
          <t>DC_155</t>
        </is>
      </c>
      <c r="C159" s="4" t="inlineStr">
        <is>
          <t>Ống thép không rỉ</t>
        </is>
      </c>
      <c r="D159" s="4" t="inlineStr">
        <is>
          <t>cái</t>
        </is>
      </c>
      <c r="E159" s="4" t="n">
        <v>12</v>
      </c>
      <c r="F159" s="4" t="n">
        <v>264</v>
      </c>
      <c r="G159" s="4" t="n">
        <v>0.0833</v>
      </c>
      <c r="H159" s="4" t="n">
        <v>180000</v>
      </c>
      <c r="I159" s="4" t="inlineStr"/>
      <c r="J159" s="4" t="inlineStr"/>
      <c r="K159" s="4" t="inlineStr"/>
      <c r="L159" s="4">
        <f>ROUND((H159/F159)*1.1, 0)</f>
        <v/>
      </c>
      <c r="M159" s="4">
        <f>ROUND(G159*L159, 0)</f>
        <v/>
      </c>
      <c r="N159" s="4" t="inlineStr">
        <is>
          <t>Tra cứu nguyên giá mua mới trên Mua sắm công để tính đơn giá Ca</t>
        </is>
      </c>
    </row>
    <row r="160">
      <c r="A160" s="5" t="n">
        <v>156</v>
      </c>
      <c r="B160" s="5" t="inlineStr">
        <is>
          <t>DC_156</t>
        </is>
      </c>
      <c r="C160" s="5" t="inlineStr">
        <is>
          <t>Ống đong 100ml</t>
        </is>
      </c>
      <c r="D160" s="5" t="inlineStr">
        <is>
          <t>cái</t>
        </is>
      </c>
      <c r="E160" s="5" t="n">
        <v>6</v>
      </c>
      <c r="F160" s="5" t="n">
        <v>132</v>
      </c>
      <c r="G160" s="5" t="n">
        <v>0.2333</v>
      </c>
      <c r="H160" s="5" t="n">
        <v>180000</v>
      </c>
      <c r="I160" s="5" t="inlineStr"/>
      <c r="J160" s="5" t="inlineStr"/>
      <c r="K160" s="5" t="inlineStr"/>
      <c r="L160" s="5">
        <f>ROUND((H160/F160)*1.1, 0)</f>
        <v/>
      </c>
      <c r="M160" s="5">
        <f>ROUND(G160*L160, 0)</f>
        <v/>
      </c>
      <c r="N160" s="5" t="inlineStr">
        <is>
          <t>Tra cứu nguyên giá mua mới trên Mua sắm công để tính đơn giá Ca</t>
        </is>
      </c>
    </row>
    <row r="161">
      <c r="A161" s="4" t="n">
        <v>157</v>
      </c>
      <c r="B161" s="4" t="inlineStr">
        <is>
          <t>DC_157</t>
        </is>
      </c>
      <c r="C161" s="4" t="inlineStr">
        <is>
          <t>Ống đong 250ml</t>
        </is>
      </c>
      <c r="D161" s="4" t="inlineStr">
        <is>
          <t>cái</t>
        </is>
      </c>
      <c r="E161" s="4" t="n">
        <v>6</v>
      </c>
      <c r="F161" s="4" t="n">
        <v>132</v>
      </c>
      <c r="G161" s="4" t="n">
        <v>0.5667</v>
      </c>
      <c r="H161" s="4" t="n">
        <v>180000</v>
      </c>
      <c r="I161" s="4" t="inlineStr"/>
      <c r="J161" s="4" t="inlineStr"/>
      <c r="K161" s="4" t="inlineStr"/>
      <c r="L161" s="4">
        <f>ROUND((H161/F161)*1.1, 0)</f>
        <v/>
      </c>
      <c r="M161" s="4">
        <f>ROUND(G161*L161, 0)</f>
        <v/>
      </c>
      <c r="N161" s="4" t="inlineStr">
        <is>
          <t>Tra cứu nguyên giá mua mới trên Mua sắm công để tính đơn giá Ca</t>
        </is>
      </c>
    </row>
    <row r="162">
      <c r="A162" s="5" t="n">
        <v>158</v>
      </c>
      <c r="B162" s="5" t="inlineStr">
        <is>
          <t>DC_158</t>
        </is>
      </c>
      <c r="C162" s="5" t="inlineStr">
        <is>
          <t>Ổ cắm điện có cầu chì</t>
        </is>
      </c>
      <c r="D162" s="5" t="inlineStr">
        <is>
          <t>cái</t>
        </is>
      </c>
      <c r="E162" s="5" t="n">
        <v>36</v>
      </c>
      <c r="F162" s="5" t="n">
        <v>792</v>
      </c>
      <c r="G162" s="5" t="n">
        <v>0.1389</v>
      </c>
      <c r="H162" s="5" t="n">
        <v>350000</v>
      </c>
      <c r="I162" s="5" t="inlineStr"/>
      <c r="J162" s="5" t="inlineStr"/>
      <c r="K162" s="5" t="inlineStr"/>
      <c r="L162" s="5">
        <f>ROUND((H162/F162)*1.1, 0)</f>
        <v/>
      </c>
      <c r="M162" s="5">
        <f>ROUND(G162*L162, 0)</f>
        <v/>
      </c>
      <c r="N162" s="5" t="inlineStr">
        <is>
          <t>Tra cứu nguyên giá mua mới trên Mua sắm công để tính đơn giá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16" customWidth="1" min="4" max="4"/>
    <col width="28" customWidth="1" min="5" max="5"/>
    <col width="15" customWidth="1" min="6" max="6"/>
    <col width="15" customWidth="1" min="7" max="7"/>
    <col width="12" customWidth="1" min="8" max="8"/>
    <col width="13" customWidth="1" min="9" max="9"/>
    <col width="18" customWidth="1" min="10" max="10"/>
    <col width="31" customWidth="1" min="11" max="11"/>
    <col width="19" customWidth="1" min="12" max="12"/>
    <col width="24" customWidth="1" min="13" max="13"/>
    <col width="20" customWidth="1" min="14" max="14"/>
    <col width="27" customWidth="1" min="15" max="15"/>
    <col width="28" customWidth="1" min="16" max="16"/>
    <col width="24" customWidth="1" min="17" max="17"/>
    <col width="24" customWidth="1" min="18" max="18"/>
    <col width="24" customWidth="1" min="19" max="19"/>
    <col width="45" customWidth="1" min="20" max="20"/>
  </cols>
  <sheetData>
    <row r="1">
      <c r="A1" s="1" t="inlineStr">
        <is>
          <t>BẢNG DANH MỤC MÁY MÓC THIẾT BỊ CHUẨN BỊ TRA CỨU MUA SẮM CÔNG TÌM NGUYÊN GIÁ</t>
        </is>
      </c>
    </row>
    <row r="2">
      <c r="A2" s="2" t="inlineStr">
        <is>
          <t>(Căn cứ: Khoản 4.3 TT 20/2017/TT-BTNMT chia 250/200/500 ca; Khấu hao TT 45/2013/TT-BTC; Điện EVN 2.100 đ/kWh)</t>
        </is>
      </c>
    </row>
    <row r="3"/>
    <row r="4">
      <c r="A4" s="7" t="inlineStr">
        <is>
          <t>STT</t>
        </is>
      </c>
      <c r="B4" s="7" t="inlineStr">
        <is>
          <t>Mã Thiết Bị</t>
        </is>
      </c>
      <c r="C4" s="7" t="inlineStr">
        <is>
          <t>Tên Máy Móc / Thiết Bị Đo</t>
        </is>
      </c>
      <c r="D4" s="7" t="inlineStr">
        <is>
          <t>ĐVT</t>
        </is>
      </c>
      <c r="E4" s="7" t="inlineStr">
        <is>
          <t>Quy Cách / Công Suất (kW)</t>
        </is>
      </c>
      <c r="F4" s="7" t="inlineStr">
        <is>
          <t>Công Đoạn</t>
        </is>
      </c>
      <c r="G4" s="7" t="inlineStr">
        <is>
          <t>Ca Chuẩn/Năm</t>
        </is>
      </c>
      <c r="H4" s="7" t="inlineStr">
        <is>
          <t>Số Năm KH</t>
        </is>
      </c>
      <c r="I4" s="7" t="inlineStr">
        <is>
          <t>Tổng Ca ĐM</t>
        </is>
      </c>
      <c r="J4" s="7" t="inlineStr">
        <is>
          <t>Tổng Điện (kWh)</t>
        </is>
      </c>
      <c r="K4" s="7" t="inlineStr">
        <is>
          <t>Nguyên Giá Tra Cứu MSC (VNĐ)</t>
        </is>
      </c>
      <c r="L4" s="7" t="inlineStr">
        <is>
          <t>Mã TBMT / KQLCNT</t>
        </is>
      </c>
      <c r="M4" s="7" t="inlineStr">
        <is>
          <t>Ngày Phê Duyệt KQLCNT</t>
        </is>
      </c>
      <c r="N4" s="7" t="inlineStr">
        <is>
          <t>Đơn Vị Trúng Thầu</t>
        </is>
      </c>
      <c r="O4" s="7" t="inlineStr">
        <is>
          <t>Khấu Hao 1 Ca (VNĐ)</t>
        </is>
      </c>
      <c r="P4" s="7" t="inlineStr">
        <is>
          <t>Sửa Chữa 1 Ca (VNĐ)</t>
        </is>
      </c>
      <c r="Q4" s="7" t="inlineStr">
        <is>
          <t>Điện Năng 1 Ca (VNĐ)</t>
        </is>
      </c>
      <c r="R4" s="7" t="inlineStr">
        <is>
          <t>Đơn Giá 1 Ca (VNĐ/ca)</t>
        </is>
      </c>
      <c r="S4" s="7" t="inlineStr">
        <is>
          <t>Tổng Thành Tiền (VNĐ)</t>
        </is>
      </c>
      <c r="T4" s="7" t="inlineStr">
        <is>
          <t>Ghi Chú</t>
        </is>
      </c>
    </row>
    <row r="5">
      <c r="A5" s="4" t="n">
        <v>1</v>
      </c>
      <c r="B5" s="4" t="inlineStr">
        <is>
          <t>TB_001</t>
        </is>
      </c>
      <c r="C5" s="4" t="inlineStr">
        <is>
          <t>Bơm chân không</t>
        </is>
      </c>
      <c r="D5" s="4" t="inlineStr">
        <is>
          <t>cái</t>
        </is>
      </c>
      <c r="E5" s="4" t="inlineStr">
        <is>
          <t>1</t>
        </is>
      </c>
      <c r="F5" s="4" t="inlineStr">
        <is>
          <t>Nội nghiệp</t>
        </is>
      </c>
      <c r="G5" s="4" t="n">
        <v>500</v>
      </c>
      <c r="H5" s="4" t="n">
        <v>5</v>
      </c>
      <c r="I5" s="4" t="n">
        <v>4.8</v>
      </c>
      <c r="J5" s="4" t="n">
        <v>38.4</v>
      </c>
      <c r="K5" s="4" t="n">
        <v>150000000</v>
      </c>
      <c r="L5" s="4" t="inlineStr"/>
      <c r="M5" s="4" t="inlineStr"/>
      <c r="N5" s="4" t="inlineStr"/>
      <c r="O5" s="4">
        <f>ROUND(K5/(H5*G5), 0)</f>
        <v/>
      </c>
      <c r="P5" s="4">
        <f>ROUND((0.04*K5)/G5, 0)</f>
        <v/>
      </c>
      <c r="Q5" s="4">
        <f>ROUND(E5*8*2100, 0)</f>
        <v/>
      </c>
      <c r="R5" s="4">
        <f>O5+P5+Q5</f>
        <v/>
      </c>
      <c r="S5" s="4">
        <f>ROUND(I5*R5, 0)</f>
        <v/>
      </c>
      <c r="T5" s="4" t="inlineStr">
        <is>
          <t>Tra cứu nguyên giá trên Mua sắm công để tính khấu hao ca máy theo TT 45/2013 và TT 20/2017</t>
        </is>
      </c>
    </row>
    <row r="6">
      <c r="A6" s="5" t="n">
        <v>2</v>
      </c>
      <c r="B6" s="5" t="inlineStr">
        <is>
          <t>TB_002</t>
        </is>
      </c>
      <c r="C6" s="5" t="inlineStr">
        <is>
          <t>Bộ chuẩn lưu lượng</t>
        </is>
      </c>
      <c r="D6" s="5" t="inlineStr">
        <is>
          <t>bộ</t>
        </is>
      </c>
      <c r="E6" s="5" t="inlineStr">
        <is>
          <t>0,5</t>
        </is>
      </c>
      <c r="F6" s="5" t="inlineStr">
        <is>
          <t>Ngoại nghiệp</t>
        </is>
      </c>
      <c r="G6" s="5" t="n">
        <v>250</v>
      </c>
      <c r="H6" s="5" t="n">
        <v>5</v>
      </c>
      <c r="I6" s="5" t="n">
        <v>2.4</v>
      </c>
      <c r="J6" s="5" t="n">
        <v>9.6</v>
      </c>
      <c r="K6" s="5" t="n">
        <v>150000000</v>
      </c>
      <c r="L6" s="5" t="inlineStr"/>
      <c r="M6" s="5" t="inlineStr"/>
      <c r="N6" s="5" t="inlineStr"/>
      <c r="O6" s="5">
        <f>ROUND(K6/(H6*G6), 0)</f>
        <v/>
      </c>
      <c r="P6" s="5">
        <f>ROUND((0.04*K6)/G6, 0)</f>
        <v/>
      </c>
      <c r="Q6" s="5">
        <f>ROUND(E6*8*2100, 0)</f>
        <v/>
      </c>
      <c r="R6" s="5">
        <f>O6+P6+Q6</f>
        <v/>
      </c>
      <c r="S6" s="5">
        <f>ROUND(I6*R6, 0)</f>
        <v/>
      </c>
      <c r="T6" s="5" t="inlineStr">
        <is>
          <t>Tra cứu nguyên giá trên Mua sắm công để tính khấu hao ca máy theo TT 45/2013 và TT 20/2017</t>
        </is>
      </c>
    </row>
    <row r="7">
      <c r="A7" s="4" t="n">
        <v>3</v>
      </c>
      <c r="B7" s="4" t="inlineStr">
        <is>
          <t>TB_003</t>
        </is>
      </c>
      <c r="C7" s="4" t="inlineStr">
        <is>
          <t>Bộ lưu giữ số liệu (Data logger)</t>
        </is>
      </c>
      <c r="D7" s="4" t="inlineStr">
        <is>
          <t>bộ</t>
        </is>
      </c>
      <c r="E7" s="4" t="inlineStr">
        <is>
          <t>1</t>
        </is>
      </c>
      <c r="F7" s="4" t="inlineStr">
        <is>
          <t>Ngoại nghiệp</t>
        </is>
      </c>
      <c r="G7" s="4" t="n">
        <v>250</v>
      </c>
      <c r="H7" s="4" t="n">
        <v>5</v>
      </c>
      <c r="I7" s="4" t="n">
        <v>5</v>
      </c>
      <c r="J7" s="4" t="n">
        <v>40</v>
      </c>
      <c r="K7" s="4" t="n">
        <v>150000000</v>
      </c>
      <c r="L7" s="4" t="inlineStr"/>
      <c r="M7" s="4" t="inlineStr"/>
      <c r="N7" s="4" t="inlineStr"/>
      <c r="O7" s="4">
        <f>ROUND(K7/(H7*G7), 0)</f>
        <v/>
      </c>
      <c r="P7" s="4">
        <f>ROUND((0.04*K7)/G7, 0)</f>
        <v/>
      </c>
      <c r="Q7" s="4">
        <f>ROUND(E7*8*2100, 0)</f>
        <v/>
      </c>
      <c r="R7" s="4">
        <f>O7+P7+Q7</f>
        <v/>
      </c>
      <c r="S7" s="4">
        <f>ROUND(I7*R7, 0)</f>
        <v/>
      </c>
      <c r="T7" s="4" t="inlineStr">
        <is>
          <t>Tra cứu nguyên giá trên Mua sắm công để tính khấu hao ca máy theo TT 45/2013 và TT 20/2017</t>
        </is>
      </c>
    </row>
    <row r="8">
      <c r="A8" s="5" t="n">
        <v>4</v>
      </c>
      <c r="B8" s="5" t="inlineStr">
        <is>
          <t>TB_004</t>
        </is>
      </c>
      <c r="C8" s="5" t="inlineStr">
        <is>
          <t>Bộ lấy mẫu khí</t>
        </is>
      </c>
      <c r="D8" s="5" t="inlineStr">
        <is>
          <t>bộ</t>
        </is>
      </c>
      <c r="E8" s="5" t="inlineStr">
        <is>
          <t>1</t>
        </is>
      </c>
      <c r="F8" s="5" t="inlineStr">
        <is>
          <t>Ngoại nghiệp</t>
        </is>
      </c>
      <c r="G8" s="5" t="n">
        <v>250</v>
      </c>
      <c r="H8" s="5" t="n">
        <v>5</v>
      </c>
      <c r="I8" s="5" t="n">
        <v>4</v>
      </c>
      <c r="J8" s="5" t="n">
        <v>32</v>
      </c>
      <c r="K8" s="5" t="n">
        <v>450000000</v>
      </c>
      <c r="L8" s="5" t="inlineStr"/>
      <c r="M8" s="5" t="inlineStr"/>
      <c r="N8" s="5" t="inlineStr"/>
      <c r="O8" s="5">
        <f>ROUND(K8/(H8*G8), 0)</f>
        <v/>
      </c>
      <c r="P8" s="5">
        <f>ROUND((0.04*K8)/G8, 0)</f>
        <v/>
      </c>
      <c r="Q8" s="5">
        <f>ROUND(E8*8*2100, 0)</f>
        <v/>
      </c>
      <c r="R8" s="5">
        <f>O8+P8+Q8</f>
        <v/>
      </c>
      <c r="S8" s="5">
        <f>ROUND(I8*R8, 0)</f>
        <v/>
      </c>
      <c r="T8" s="5" t="inlineStr">
        <is>
          <t>Tra cứu nguyên giá trên Mua sắm công để tính khấu hao ca máy theo TT 45/2013 và TT 20/2017</t>
        </is>
      </c>
    </row>
    <row r="9">
      <c r="A9" s="4" t="n">
        <v>5</v>
      </c>
      <c r="B9" s="4" t="inlineStr">
        <is>
          <t>TB_005</t>
        </is>
      </c>
      <c r="C9" s="4" t="inlineStr">
        <is>
          <t>Bộ lọc hút chân không</t>
        </is>
      </c>
      <c r="D9" s="4" t="inlineStr">
        <is>
          <t>bộ</t>
        </is>
      </c>
      <c r="E9" s="4" t="inlineStr">
        <is>
          <t>0,45</t>
        </is>
      </c>
      <c r="F9" s="4" t="inlineStr">
        <is>
          <t>Nội nghiệp</t>
        </is>
      </c>
      <c r="G9" s="4" t="n">
        <v>500</v>
      </c>
      <c r="H9" s="4" t="n">
        <v>5</v>
      </c>
      <c r="I9" s="4" t="n">
        <v>1.6</v>
      </c>
      <c r="J9" s="4" t="n">
        <v>5.76</v>
      </c>
      <c r="K9" s="4" t="n">
        <v>150000000</v>
      </c>
      <c r="L9" s="4" t="inlineStr"/>
      <c r="M9" s="4" t="inlineStr"/>
      <c r="N9" s="4" t="inlineStr"/>
      <c r="O9" s="4">
        <f>ROUND(K9/(H9*G9), 0)</f>
        <v/>
      </c>
      <c r="P9" s="4">
        <f>ROUND((0.04*K9)/G9, 0)</f>
        <v/>
      </c>
      <c r="Q9" s="4">
        <f>ROUND(E9*8*2100, 0)</f>
        <v/>
      </c>
      <c r="R9" s="4">
        <f>O9+P9+Q9</f>
        <v/>
      </c>
      <c r="S9" s="4">
        <f>ROUND(I9*R9, 0)</f>
        <v/>
      </c>
      <c r="T9" s="4" t="inlineStr">
        <is>
          <t>Tra cứu nguyên giá trên Mua sắm công để tính khấu hao ca máy theo TT 45/2013 và TT 20/2017</t>
        </is>
      </c>
    </row>
    <row r="10">
      <c r="A10" s="5" t="n">
        <v>6</v>
      </c>
      <c r="B10" s="5" t="inlineStr">
        <is>
          <t>TB_006</t>
        </is>
      </c>
      <c r="C10" s="5" t="inlineStr">
        <is>
          <t>Bộ phân tích thủy ngân và asen MHS hoặc FIAS</t>
        </is>
      </c>
      <c r="D10" s="5" t="inlineStr">
        <is>
          <t>bộ</t>
        </is>
      </c>
      <c r="E10" s="5" t="inlineStr">
        <is>
          <t>0,6</t>
        </is>
      </c>
      <c r="F10" s="5" t="inlineStr">
        <is>
          <t>Nội nghiệp</t>
        </is>
      </c>
      <c r="G10" s="5" t="n">
        <v>500</v>
      </c>
      <c r="H10" s="5" t="n">
        <v>5</v>
      </c>
      <c r="I10" s="5" t="n">
        <v>36.8</v>
      </c>
      <c r="J10" s="5" t="n">
        <v>176.64</v>
      </c>
      <c r="K10" s="5" t="n">
        <v>150000000</v>
      </c>
      <c r="L10" s="5" t="inlineStr"/>
      <c r="M10" s="5" t="inlineStr"/>
      <c r="N10" s="5" t="inlineStr"/>
      <c r="O10" s="5">
        <f>ROUND(K10/(H10*G10), 0)</f>
        <v/>
      </c>
      <c r="P10" s="5">
        <f>ROUND((0.04*K10)/G10, 0)</f>
        <v/>
      </c>
      <c r="Q10" s="5">
        <f>ROUND(E10*8*2100, 0)</f>
        <v/>
      </c>
      <c r="R10" s="5">
        <f>O10+P10+Q10</f>
        <v/>
      </c>
      <c r="S10" s="5">
        <f>ROUND(I10*R10, 0)</f>
        <v/>
      </c>
      <c r="T10" s="5" t="inlineStr">
        <is>
          <t>Tra cứu nguyên giá trên Mua sắm công để tính khấu hao ca máy theo TT 45/2013 và TT 20/2017</t>
        </is>
      </c>
    </row>
    <row r="11">
      <c r="A11" s="4" t="n">
        <v>7</v>
      </c>
      <c r="B11" s="4" t="inlineStr">
        <is>
          <t>TB_007</t>
        </is>
      </c>
      <c r="C11" s="4" t="inlineStr">
        <is>
          <t>Bộ tạo khí 0 (zezo)</t>
        </is>
      </c>
      <c r="D11" s="4" t="inlineStr">
        <is>
          <t>bộ</t>
        </is>
      </c>
      <c r="E11" s="4" t="inlineStr"/>
      <c r="F11" s="4" t="inlineStr">
        <is>
          <t>Ngoại nghiệp</t>
        </is>
      </c>
      <c r="G11" s="4" t="n">
        <v>250</v>
      </c>
      <c r="H11" s="4" t="n">
        <v>5</v>
      </c>
      <c r="I11" s="4" t="n">
        <v>5</v>
      </c>
      <c r="J11" s="4" t="n">
        <v>0</v>
      </c>
      <c r="K11" s="4" t="n">
        <v>150000000</v>
      </c>
      <c r="L11" s="4" t="inlineStr"/>
      <c r="M11" s="4" t="inlineStr"/>
      <c r="N11" s="4" t="inlineStr"/>
      <c r="O11" s="4">
        <f>ROUND(K11/(H11*G11), 0)</f>
        <v/>
      </c>
      <c r="P11" s="4">
        <f>ROUND((0.04*K11)/G11, 0)</f>
        <v/>
      </c>
      <c r="Q11" s="4">
        <f>ROUND(E11*8*2100, 0)</f>
        <v/>
      </c>
      <c r="R11" s="4">
        <f>O11+P11+Q11</f>
        <v/>
      </c>
      <c r="S11" s="4">
        <f>ROUND(I11*R11, 0)</f>
        <v/>
      </c>
      <c r="T11" s="4" t="inlineStr">
        <is>
          <t>Tra cứu nguyên giá trên Mua sắm công để tính khấu hao ca máy theo TT 45/2013 và TT 20/2017</t>
        </is>
      </c>
    </row>
    <row r="12">
      <c r="A12" s="5" t="n">
        <v>8</v>
      </c>
      <c r="B12" s="5" t="inlineStr">
        <is>
          <t>TB_008</t>
        </is>
      </c>
      <c r="C12" s="5" t="inlineStr">
        <is>
          <t>Cân phân tích</t>
        </is>
      </c>
      <c r="D12" s="5" t="inlineStr">
        <is>
          <t>cái</t>
        </is>
      </c>
      <c r="E12" s="5" t="inlineStr">
        <is>
          <t>0,06</t>
        </is>
      </c>
      <c r="F12" s="5" t="inlineStr">
        <is>
          <t>Nội nghiệp</t>
        </is>
      </c>
      <c r="G12" s="5" t="n">
        <v>500</v>
      </c>
      <c r="H12" s="5" t="n">
        <v>5</v>
      </c>
      <c r="I12" s="5" t="n">
        <v>152</v>
      </c>
      <c r="J12" s="5" t="n">
        <v>100.61</v>
      </c>
      <c r="K12" s="5" t="n">
        <v>85000000</v>
      </c>
      <c r="L12" s="5" t="inlineStr"/>
      <c r="M12" s="5" t="inlineStr"/>
      <c r="N12" s="5" t="inlineStr"/>
      <c r="O12" s="5">
        <f>ROUND(K12/(H12*G12), 0)</f>
        <v/>
      </c>
      <c r="P12" s="5">
        <f>ROUND((0.04*K12)/G12, 0)</f>
        <v/>
      </c>
      <c r="Q12" s="5">
        <f>ROUND(E12*8*2100, 0)</f>
        <v/>
      </c>
      <c r="R12" s="5">
        <f>O12+P12+Q12</f>
        <v/>
      </c>
      <c r="S12" s="5">
        <f>ROUND(I12*R12, 0)</f>
        <v/>
      </c>
      <c r="T12" s="5" t="inlineStr">
        <is>
          <t>Tra cứu nguyên giá trên Mua sắm công để tính khấu hao ca máy theo TT 45/2013 và TT 20/2017</t>
        </is>
      </c>
    </row>
    <row r="13">
      <c r="A13" s="4" t="n">
        <v>9</v>
      </c>
      <c r="B13" s="4" t="inlineStr">
        <is>
          <t>TB_009</t>
        </is>
      </c>
      <c r="C13" s="4" t="inlineStr">
        <is>
          <t>Hệ thống nạp mẫu khí</t>
        </is>
      </c>
      <c r="D13" s="4" t="inlineStr">
        <is>
          <t>bộ</t>
        </is>
      </c>
      <c r="E13" s="4" t="inlineStr">
        <is>
          <t>0,15</t>
        </is>
      </c>
      <c r="F13" s="4" t="inlineStr">
        <is>
          <t>Nội nghiệp</t>
        </is>
      </c>
      <c r="G13" s="4" t="n">
        <v>500</v>
      </c>
      <c r="H13" s="4" t="n">
        <v>5</v>
      </c>
      <c r="I13" s="4" t="n">
        <v>7.2</v>
      </c>
      <c r="J13" s="4" t="n">
        <v>8.640000000000001</v>
      </c>
      <c r="K13" s="4" t="n">
        <v>150000000</v>
      </c>
      <c r="L13" s="4" t="inlineStr"/>
      <c r="M13" s="4" t="inlineStr"/>
      <c r="N13" s="4" t="inlineStr"/>
      <c r="O13" s="4">
        <f>ROUND(K13/(H13*G13), 0)</f>
        <v/>
      </c>
      <c r="P13" s="4">
        <f>ROUND((0.04*K13)/G13, 0)</f>
        <v/>
      </c>
      <c r="Q13" s="4">
        <f>ROUND(E13*8*2100, 0)</f>
        <v/>
      </c>
      <c r="R13" s="4">
        <f>O13+P13+Q13</f>
        <v/>
      </c>
      <c r="S13" s="4">
        <f>ROUND(I13*R13, 0)</f>
        <v/>
      </c>
      <c r="T13" s="4" t="inlineStr">
        <is>
          <t>Tra cứu nguyên giá trên Mua sắm công để tính khấu hao ca máy theo TT 45/2013 và TT 20/2017</t>
        </is>
      </c>
    </row>
    <row r="14">
      <c r="A14" s="5" t="n">
        <v>10</v>
      </c>
      <c r="B14" s="5" t="inlineStr">
        <is>
          <t>TB_010</t>
        </is>
      </c>
      <c r="C14" s="5" t="inlineStr">
        <is>
          <t>LAmax</t>
        </is>
      </c>
      <c r="D14" s="5" t="inlineStr">
        <is>
          <t>Như mục 2TO2a</t>
        </is>
      </c>
      <c r="E14" s="5" t="inlineStr"/>
      <c r="F14" s="5" t="inlineStr">
        <is>
          <t>Nội nghiệp</t>
        </is>
      </c>
      <c r="G14" s="5" t="n">
        <v>500</v>
      </c>
      <c r="H14" s="5" t="n">
        <v>5</v>
      </c>
      <c r="I14" s="5" t="n">
        <v>0</v>
      </c>
      <c r="J14" s="5" t="n">
        <v>0</v>
      </c>
      <c r="K14" s="5" t="n">
        <v>150000000</v>
      </c>
      <c r="L14" s="5" t="inlineStr"/>
      <c r="M14" s="5" t="inlineStr"/>
      <c r="N14" s="5" t="inlineStr"/>
      <c r="O14" s="5">
        <f>ROUND(K14/(H14*G14), 0)</f>
        <v/>
      </c>
      <c r="P14" s="5">
        <f>ROUND((0.04*K14)/G14, 0)</f>
        <v/>
      </c>
      <c r="Q14" s="5">
        <f>ROUND(E14*8*2100, 0)</f>
        <v/>
      </c>
      <c r="R14" s="5">
        <f>O14+P14+Q14</f>
        <v/>
      </c>
      <c r="S14" s="5">
        <f>ROUND(I14*R14, 0)</f>
        <v/>
      </c>
      <c r="T14" s="5" t="inlineStr">
        <is>
          <t>Tra cứu nguyên giá trên Mua sắm công để tính khấu hao ca máy theo TT 45/2013 và TT 20/2017</t>
        </is>
      </c>
    </row>
    <row r="15">
      <c r="A15" s="4" t="n">
        <v>11</v>
      </c>
      <c r="B15" s="4" t="inlineStr">
        <is>
          <t>TB_011</t>
        </is>
      </c>
      <c r="C15" s="4" t="inlineStr">
        <is>
          <t>Lò chuyển hóa</t>
        </is>
      </c>
      <c r="D15" s="4" t="inlineStr">
        <is>
          <t>bộ</t>
        </is>
      </c>
      <c r="E15" s="4" t="inlineStr">
        <is>
          <t>0,3</t>
        </is>
      </c>
      <c r="F15" s="4" t="inlineStr">
        <is>
          <t>Nội nghiệp</t>
        </is>
      </c>
      <c r="G15" s="4" t="n">
        <v>500</v>
      </c>
      <c r="H15" s="4" t="n">
        <v>5</v>
      </c>
      <c r="I15" s="4" t="n">
        <v>7.2</v>
      </c>
      <c r="J15" s="4" t="n">
        <v>17.28</v>
      </c>
      <c r="K15" s="4" t="n">
        <v>150000000</v>
      </c>
      <c r="L15" s="4" t="inlineStr"/>
      <c r="M15" s="4" t="inlineStr"/>
      <c r="N15" s="4" t="inlineStr"/>
      <c r="O15" s="4">
        <f>ROUND(K15/(H15*G15), 0)</f>
        <v/>
      </c>
      <c r="P15" s="4">
        <f>ROUND((0.04*K15)/G15, 0)</f>
        <v/>
      </c>
      <c r="Q15" s="4">
        <f>ROUND(E15*8*2100, 0)</f>
        <v/>
      </c>
      <c r="R15" s="4">
        <f>O15+P15+Q15</f>
        <v/>
      </c>
      <c r="S15" s="4">
        <f>ROUND(I15*R15, 0)</f>
        <v/>
      </c>
      <c r="T15" s="4" t="inlineStr">
        <is>
          <t>Tra cứu nguyên giá trên Mua sắm công để tính khấu hao ca máy theo TT 45/2013 và TT 20/2017</t>
        </is>
      </c>
    </row>
    <row r="16">
      <c r="A16" s="5" t="n">
        <v>12</v>
      </c>
      <c r="B16" s="5" t="inlineStr">
        <is>
          <t>TB_012</t>
        </is>
      </c>
      <c r="C16" s="5" t="inlineStr">
        <is>
          <t>Lò vi sóng</t>
        </is>
      </c>
      <c r="D16" s="5" t="inlineStr">
        <is>
          <t>cái</t>
        </is>
      </c>
      <c r="E16" s="5" t="inlineStr">
        <is>
          <t>0,1</t>
        </is>
      </c>
      <c r="F16" s="5" t="inlineStr">
        <is>
          <t>Nội nghiệp</t>
        </is>
      </c>
      <c r="G16" s="5" t="n">
        <v>500</v>
      </c>
      <c r="H16" s="5" t="n">
        <v>5</v>
      </c>
      <c r="I16" s="5" t="n">
        <v>7.44</v>
      </c>
      <c r="J16" s="5" t="n">
        <v>5.95</v>
      </c>
      <c r="K16" s="5" t="n">
        <v>150000000</v>
      </c>
      <c r="L16" s="5" t="inlineStr"/>
      <c r="M16" s="5" t="inlineStr"/>
      <c r="N16" s="5" t="inlineStr"/>
      <c r="O16" s="5">
        <f>ROUND(K16/(H16*G16), 0)</f>
        <v/>
      </c>
      <c r="P16" s="5">
        <f>ROUND((0.04*K16)/G16, 0)</f>
        <v/>
      </c>
      <c r="Q16" s="5">
        <f>ROUND(E16*8*2100, 0)</f>
        <v/>
      </c>
      <c r="R16" s="5">
        <f>O16+P16+Q16</f>
        <v/>
      </c>
      <c r="S16" s="5">
        <f>ROUND(I16*R16, 0)</f>
        <v/>
      </c>
      <c r="T16" s="5" t="inlineStr">
        <is>
          <t>Tra cứu nguyên giá trên Mua sắm công để tính khấu hao ca máy theo TT 45/2013 và TT 20/2017</t>
        </is>
      </c>
    </row>
    <row r="17">
      <c r="A17" s="4" t="n">
        <v>13</v>
      </c>
      <c r="B17" s="4" t="inlineStr">
        <is>
          <t>TB_013</t>
        </is>
      </c>
      <c r="C17" s="4" t="inlineStr">
        <is>
          <t>Modul phân tích khí CO</t>
        </is>
      </c>
      <c r="D17" s="4" t="inlineStr">
        <is>
          <t>cái</t>
        </is>
      </c>
      <c r="E17" s="4" t="inlineStr"/>
      <c r="F17" s="4" t="inlineStr">
        <is>
          <t>Ngoại nghiệp</t>
        </is>
      </c>
      <c r="G17" s="4" t="n">
        <v>250</v>
      </c>
      <c r="H17" s="4" t="n">
        <v>5</v>
      </c>
      <c r="I17" s="4" t="n">
        <v>5</v>
      </c>
      <c r="J17" s="4" t="n">
        <v>0</v>
      </c>
      <c r="K17" s="4" t="n">
        <v>150000000</v>
      </c>
      <c r="L17" s="4" t="inlineStr"/>
      <c r="M17" s="4" t="inlineStr"/>
      <c r="N17" s="4" t="inlineStr"/>
      <c r="O17" s="4">
        <f>ROUND(K17/(H17*G17), 0)</f>
        <v/>
      </c>
      <c r="P17" s="4">
        <f>ROUND((0.04*K17)/G17, 0)</f>
        <v/>
      </c>
      <c r="Q17" s="4">
        <f>ROUND(E17*8*2100, 0)</f>
        <v/>
      </c>
      <c r="R17" s="4">
        <f>O17+P17+Q17</f>
        <v/>
      </c>
      <c r="S17" s="4">
        <f>ROUND(I17*R17, 0)</f>
        <v/>
      </c>
      <c r="T17" s="4" t="inlineStr">
        <is>
          <t>Tra cứu nguyên giá trên Mua sắm công để tính khấu hao ca máy theo TT 45/2013 và TT 20/2017</t>
        </is>
      </c>
    </row>
    <row r="18">
      <c r="A18" s="5" t="n">
        <v>14</v>
      </c>
      <c r="B18" s="5" t="inlineStr">
        <is>
          <t>TB_014</t>
        </is>
      </c>
      <c r="C18" s="5" t="inlineStr">
        <is>
          <t>Máy chưng cất đạm tự động</t>
        </is>
      </c>
      <c r="D18" s="5" t="inlineStr">
        <is>
          <t>bộ</t>
        </is>
      </c>
      <c r="E18" s="5" t="inlineStr">
        <is>
          <t>0,55</t>
        </is>
      </c>
      <c r="F18" s="5" t="inlineStr">
        <is>
          <t>Nội nghiệp</t>
        </is>
      </c>
      <c r="G18" s="5" t="n">
        <v>500</v>
      </c>
      <c r="H18" s="5" t="n">
        <v>5</v>
      </c>
      <c r="I18" s="5" t="n">
        <v>2.4</v>
      </c>
      <c r="J18" s="5" t="n">
        <v>10.56</v>
      </c>
      <c r="K18" s="5" t="n">
        <v>150000000</v>
      </c>
      <c r="L18" s="5" t="inlineStr"/>
      <c r="M18" s="5" t="inlineStr"/>
      <c r="N18" s="5" t="inlineStr"/>
      <c r="O18" s="5">
        <f>ROUND(K18/(H18*G18), 0)</f>
        <v/>
      </c>
      <c r="P18" s="5">
        <f>ROUND((0.04*K18)/G18, 0)</f>
        <v/>
      </c>
      <c r="Q18" s="5">
        <f>ROUND(E18*8*2100, 0)</f>
        <v/>
      </c>
      <c r="R18" s="5">
        <f>O18+P18+Q18</f>
        <v/>
      </c>
      <c r="S18" s="5">
        <f>ROUND(I18*R18, 0)</f>
        <v/>
      </c>
      <c r="T18" s="5" t="inlineStr">
        <is>
          <t>Tra cứu nguyên giá trên Mua sắm công để tính khấu hao ca máy theo TT 45/2013 và TT 20/2017</t>
        </is>
      </c>
    </row>
    <row r="19">
      <c r="A19" s="4" t="n">
        <v>15</v>
      </c>
      <c r="B19" s="4" t="inlineStr">
        <is>
          <t>TB_015</t>
        </is>
      </c>
      <c r="C19" s="4" t="inlineStr">
        <is>
          <t>Máy cất quay chân không</t>
        </is>
      </c>
      <c r="D19" s="4" t="inlineStr">
        <is>
          <t>bộ</t>
        </is>
      </c>
      <c r="E19" s="4" t="inlineStr">
        <is>
          <t>0,65</t>
        </is>
      </c>
      <c r="F19" s="4" t="inlineStr">
        <is>
          <t>Nội nghiệp</t>
        </is>
      </c>
      <c r="G19" s="4" t="n">
        <v>500</v>
      </c>
      <c r="H19" s="4" t="n">
        <v>5</v>
      </c>
      <c r="I19" s="4" t="n">
        <v>2.8</v>
      </c>
      <c r="J19" s="4" t="n">
        <v>14.56</v>
      </c>
      <c r="K19" s="4" t="n">
        <v>150000000</v>
      </c>
      <c r="L19" s="4" t="inlineStr"/>
      <c r="M19" s="4" t="inlineStr"/>
      <c r="N19" s="4" t="inlineStr"/>
      <c r="O19" s="4">
        <f>ROUND(K19/(H19*G19), 0)</f>
        <v/>
      </c>
      <c r="P19" s="4">
        <f>ROUND((0.04*K19)/G19, 0)</f>
        <v/>
      </c>
      <c r="Q19" s="4">
        <f>ROUND(E19*8*2100, 0)</f>
        <v/>
      </c>
      <c r="R19" s="4">
        <f>O19+P19+Q19</f>
        <v/>
      </c>
      <c r="S19" s="4">
        <f>ROUND(I19*R19, 0)</f>
        <v/>
      </c>
      <c r="T19" s="4" t="inlineStr">
        <is>
          <t>Tra cứu nguyên giá trên Mua sắm công để tính khấu hao ca máy theo TT 45/2013 và TT 20/2017</t>
        </is>
      </c>
    </row>
    <row r="20">
      <c r="A20" s="5" t="n">
        <v>16</v>
      </c>
      <c r="B20" s="5" t="inlineStr">
        <is>
          <t>TB_016</t>
        </is>
      </c>
      <c r="C20" s="5" t="inlineStr">
        <is>
          <t>Máy khuấy từ</t>
        </is>
      </c>
      <c r="D20" s="5" t="inlineStr">
        <is>
          <t>cái</t>
        </is>
      </c>
      <c r="E20" s="5" t="inlineStr"/>
      <c r="F20" s="5" t="inlineStr">
        <is>
          <t>Ngoại nghiệp</t>
        </is>
      </c>
      <c r="G20" s="5" t="n">
        <v>250</v>
      </c>
      <c r="H20" s="5" t="n">
        <v>5</v>
      </c>
      <c r="I20" s="5" t="n">
        <v>4.72</v>
      </c>
      <c r="J20" s="5" t="n">
        <v>0</v>
      </c>
      <c r="K20" s="5" t="n">
        <v>150000000</v>
      </c>
      <c r="L20" s="5" t="inlineStr"/>
      <c r="M20" s="5" t="inlineStr"/>
      <c r="N20" s="5" t="inlineStr"/>
      <c r="O20" s="5">
        <f>ROUND(K20/(H20*G20), 0)</f>
        <v/>
      </c>
      <c r="P20" s="5">
        <f>ROUND((0.04*K20)/G20, 0)</f>
        <v/>
      </c>
      <c r="Q20" s="5">
        <f>ROUND(E20*8*2100, 0)</f>
        <v/>
      </c>
      <c r="R20" s="5">
        <f>O20+P20+Q20</f>
        <v/>
      </c>
      <c r="S20" s="5">
        <f>ROUND(I20*R20, 0)</f>
        <v/>
      </c>
      <c r="T20" s="5" t="inlineStr">
        <is>
          <t>Tra cứu nguyên giá trên Mua sắm công để tính khấu hao ca máy theo TT 45/2013 và TT 20/2017</t>
        </is>
      </c>
    </row>
    <row r="21">
      <c r="A21" s="4" t="n">
        <v>17</v>
      </c>
      <c r="B21" s="4" t="inlineStr">
        <is>
          <t>TB_017</t>
        </is>
      </c>
      <c r="C21" s="4" t="inlineStr">
        <is>
          <t>Máy lắc xoay tròn</t>
        </is>
      </c>
      <c r="D21" s="4" t="inlineStr">
        <is>
          <t>bộ</t>
        </is>
      </c>
      <c r="E21" s="4" t="inlineStr">
        <is>
          <t>0,3</t>
        </is>
      </c>
      <c r="F21" s="4" t="inlineStr">
        <is>
          <t>Nội nghiệp</t>
        </is>
      </c>
      <c r="G21" s="4" t="n">
        <v>500</v>
      </c>
      <c r="H21" s="4" t="n">
        <v>5</v>
      </c>
      <c r="I21" s="4" t="n">
        <v>20</v>
      </c>
      <c r="J21" s="4" t="n">
        <v>48</v>
      </c>
      <c r="K21" s="4" t="n">
        <v>150000000</v>
      </c>
      <c r="L21" s="4" t="inlineStr"/>
      <c r="M21" s="4" t="inlineStr"/>
      <c r="N21" s="4" t="inlineStr"/>
      <c r="O21" s="4">
        <f>ROUND(K21/(H21*G21), 0)</f>
        <v/>
      </c>
      <c r="P21" s="4">
        <f>ROUND((0.04*K21)/G21, 0)</f>
        <v/>
      </c>
      <c r="Q21" s="4">
        <f>ROUND(E21*8*2100, 0)</f>
        <v/>
      </c>
      <c r="R21" s="4">
        <f>O21+P21+Q21</f>
        <v/>
      </c>
      <c r="S21" s="4">
        <f>ROUND(I21*R21, 0)</f>
        <v/>
      </c>
      <c r="T21" s="4" t="inlineStr">
        <is>
          <t>Tra cứu nguyên giá trên Mua sắm công để tính khấu hao ca máy theo TT 45/2013 và TT 20/2017</t>
        </is>
      </c>
    </row>
    <row r="22">
      <c r="A22" s="5" t="n">
        <v>18</v>
      </c>
      <c r="B22" s="5" t="inlineStr">
        <is>
          <t>TB_018</t>
        </is>
      </c>
      <c r="C22" s="5" t="inlineStr">
        <is>
          <t>Máy lọc chân không</t>
        </is>
      </c>
      <c r="D22" s="5" t="inlineStr">
        <is>
          <t>bộ</t>
        </is>
      </c>
      <c r="E22" s="5" t="inlineStr">
        <is>
          <t>0,45</t>
        </is>
      </c>
      <c r="F22" s="5" t="inlineStr">
        <is>
          <t>Nội nghiệp</t>
        </is>
      </c>
      <c r="G22" s="5" t="n">
        <v>500</v>
      </c>
      <c r="H22" s="5" t="n">
        <v>5</v>
      </c>
      <c r="I22" s="5" t="n">
        <v>1.8</v>
      </c>
      <c r="J22" s="5" t="n">
        <v>6.48</v>
      </c>
      <c r="K22" s="5" t="n">
        <v>150000000</v>
      </c>
      <c r="L22" s="5" t="inlineStr"/>
      <c r="M22" s="5" t="inlineStr"/>
      <c r="N22" s="5" t="inlineStr"/>
      <c r="O22" s="5">
        <f>ROUND(K22/(H22*G22), 0)</f>
        <v/>
      </c>
      <c r="P22" s="5">
        <f>ROUND((0.04*K22)/G22, 0)</f>
        <v/>
      </c>
      <c r="Q22" s="5">
        <f>ROUND(E22*8*2100, 0)</f>
        <v/>
      </c>
      <c r="R22" s="5">
        <f>O22+P22+Q22</f>
        <v/>
      </c>
      <c r="S22" s="5">
        <f>ROUND(I22*R22, 0)</f>
        <v/>
      </c>
      <c r="T22" s="5" t="inlineStr">
        <is>
          <t>Tra cứu nguyên giá trên Mua sắm công để tính khấu hao ca máy theo TT 45/2013 và TT 20/2017</t>
        </is>
      </c>
    </row>
    <row r="23">
      <c r="A23" s="4" t="n">
        <v>19</v>
      </c>
      <c r="B23" s="4" t="inlineStr">
        <is>
          <t>TB_019</t>
        </is>
      </c>
      <c r="C23" s="4" t="inlineStr">
        <is>
          <t>Máy phát điện 15 KVA 220V</t>
        </is>
      </c>
      <c r="D23" s="4" t="inlineStr">
        <is>
          <t>cái</t>
        </is>
      </c>
      <c r="E23" s="4" t="inlineStr"/>
      <c r="F23" s="4" t="inlineStr">
        <is>
          <t>Ngoại nghiệp</t>
        </is>
      </c>
      <c r="G23" s="4" t="n">
        <v>250</v>
      </c>
      <c r="H23" s="4" t="n">
        <v>5</v>
      </c>
      <c r="I23" s="4" t="n">
        <v>6.2</v>
      </c>
      <c r="J23" s="4" t="n">
        <v>0</v>
      </c>
      <c r="K23" s="4" t="n">
        <v>150000000</v>
      </c>
      <c r="L23" s="4" t="inlineStr"/>
      <c r="M23" s="4" t="inlineStr"/>
      <c r="N23" s="4" t="inlineStr"/>
      <c r="O23" s="4">
        <f>ROUND(K23/(H23*G23), 0)</f>
        <v/>
      </c>
      <c r="P23" s="4">
        <f>ROUND((0.04*K23)/G23, 0)</f>
        <v/>
      </c>
      <c r="Q23" s="4">
        <f>ROUND(E23*8*2100, 0)</f>
        <v/>
      </c>
      <c r="R23" s="4">
        <f>O23+P23+Q23</f>
        <v/>
      </c>
      <c r="S23" s="4">
        <f>ROUND(I23*R23, 0)</f>
        <v/>
      </c>
      <c r="T23" s="4" t="inlineStr">
        <is>
          <t>Tra cứu nguyên giá trên Mua sắm công để tính khấu hao ca máy theo TT 45/2013 và TT 20/2017</t>
        </is>
      </c>
    </row>
    <row r="24">
      <c r="A24" s="5" t="n">
        <v>20</v>
      </c>
      <c r="B24" s="5" t="inlineStr">
        <is>
          <t>TB_020</t>
        </is>
      </c>
      <c r="C24" s="5" t="inlineStr">
        <is>
          <t>Máy phân tích quang phổ AAS</t>
        </is>
      </c>
      <c r="D24" s="5" t="inlineStr">
        <is>
          <t>cái</t>
        </is>
      </c>
      <c r="E24" s="5" t="inlineStr">
        <is>
          <t>3</t>
        </is>
      </c>
      <c r="F24" s="5" t="inlineStr">
        <is>
          <t>Nội nghiệp</t>
        </is>
      </c>
      <c r="G24" s="5" t="n">
        <v>500</v>
      </c>
      <c r="H24" s="5" t="n">
        <v>5</v>
      </c>
      <c r="I24" s="5" t="n">
        <v>7.2</v>
      </c>
      <c r="J24" s="5" t="n">
        <v>172.8</v>
      </c>
      <c r="K24" s="5" t="n">
        <v>650000000</v>
      </c>
      <c r="L24" s="5" t="inlineStr"/>
      <c r="M24" s="5" t="inlineStr"/>
      <c r="N24" s="5" t="inlineStr"/>
      <c r="O24" s="5">
        <f>ROUND(K24/(H24*G24), 0)</f>
        <v/>
      </c>
      <c r="P24" s="5">
        <f>ROUND((0.04*K24)/G24, 0)</f>
        <v/>
      </c>
      <c r="Q24" s="5">
        <f>ROUND(E24*8*2100, 0)</f>
        <v/>
      </c>
      <c r="R24" s="5">
        <f>O24+P24+Q24</f>
        <v/>
      </c>
      <c r="S24" s="5">
        <f>ROUND(I24*R24, 0)</f>
        <v/>
      </c>
      <c r="T24" s="5" t="inlineStr">
        <is>
          <t>Tra cứu nguyên giá trên Mua sắm công để tính khấu hao ca máy theo TT 45/2013 và TT 20/2017</t>
        </is>
      </c>
    </row>
    <row r="25">
      <c r="A25" s="4" t="n">
        <v>21</v>
      </c>
      <c r="B25" s="4" t="inlineStr">
        <is>
          <t>TB_021</t>
        </is>
      </c>
      <c r="C25" s="4" t="inlineStr">
        <is>
          <t>Máy phân tích quang phổ AAS</t>
        </is>
      </c>
      <c r="D25" s="4" t="inlineStr">
        <is>
          <t>bộ</t>
        </is>
      </c>
      <c r="E25" s="4" t="inlineStr">
        <is>
          <t>3</t>
        </is>
      </c>
      <c r="F25" s="4" t="inlineStr">
        <is>
          <t>Nội nghiệp</t>
        </is>
      </c>
      <c r="G25" s="4" t="n">
        <v>500</v>
      </c>
      <c r="H25" s="4" t="n">
        <v>5</v>
      </c>
      <c r="I25" s="4" t="n">
        <v>22</v>
      </c>
      <c r="J25" s="4" t="n">
        <v>528</v>
      </c>
      <c r="K25" s="4" t="n">
        <v>650000000</v>
      </c>
      <c r="L25" s="4" t="inlineStr"/>
      <c r="M25" s="4" t="inlineStr"/>
      <c r="N25" s="4" t="inlineStr"/>
      <c r="O25" s="4">
        <f>ROUND(K25/(H25*G25), 0)</f>
        <v/>
      </c>
      <c r="P25" s="4">
        <f>ROUND((0.04*K25)/G25, 0)</f>
        <v/>
      </c>
      <c r="Q25" s="4">
        <f>ROUND(E25*8*2100, 0)</f>
        <v/>
      </c>
      <c r="R25" s="4">
        <f>O25+P25+Q25</f>
        <v/>
      </c>
      <c r="S25" s="4">
        <f>ROUND(I25*R25, 0)</f>
        <v/>
      </c>
      <c r="T25" s="4" t="inlineStr">
        <is>
          <t>Tra cứu nguyên giá trên Mua sắm công để tính khấu hao ca máy theo TT 45/2013 và TT 20/2017</t>
        </is>
      </c>
    </row>
    <row r="26">
      <c r="A26" s="5" t="n">
        <v>22</v>
      </c>
      <c r="B26" s="5" t="inlineStr">
        <is>
          <t>TB_022</t>
        </is>
      </c>
      <c r="C26" s="5" t="inlineStr">
        <is>
          <t>Máy phân tích quang phổ AAS hoặc cực phổ</t>
        </is>
      </c>
      <c r="D26" s="5" t="inlineStr">
        <is>
          <t>bộ</t>
        </is>
      </c>
      <c r="E26" s="5" t="inlineStr">
        <is>
          <t>3</t>
        </is>
      </c>
      <c r="F26" s="5" t="inlineStr">
        <is>
          <t>Nội nghiệp</t>
        </is>
      </c>
      <c r="G26" s="5" t="n">
        <v>500</v>
      </c>
      <c r="H26" s="5" t="n">
        <v>5</v>
      </c>
      <c r="I26" s="5" t="n">
        <v>22</v>
      </c>
      <c r="J26" s="5" t="n">
        <v>528</v>
      </c>
      <c r="K26" s="5" t="n">
        <v>650000000</v>
      </c>
      <c r="L26" s="5" t="inlineStr"/>
      <c r="M26" s="5" t="inlineStr"/>
      <c r="N26" s="5" t="inlineStr"/>
      <c r="O26" s="5">
        <f>ROUND(K26/(H26*G26), 0)</f>
        <v/>
      </c>
      <c r="P26" s="5">
        <f>ROUND((0.04*K26)/G26, 0)</f>
        <v/>
      </c>
      <c r="Q26" s="5">
        <f>ROUND(E26*8*2100, 0)</f>
        <v/>
      </c>
      <c r="R26" s="5">
        <f>O26+P26+Q26</f>
        <v/>
      </c>
      <c r="S26" s="5">
        <f>ROUND(I26*R26, 0)</f>
        <v/>
      </c>
      <c r="T26" s="5" t="inlineStr">
        <is>
          <t>Tra cứu nguyên giá trên Mua sắm công để tính khấu hao ca máy theo TT 45/2013 và TT 20/2017</t>
        </is>
      </c>
    </row>
    <row r="27">
      <c r="A27" s="4" t="n">
        <v>23</v>
      </c>
      <c r="B27" s="4" t="inlineStr">
        <is>
          <t>TB_023</t>
        </is>
      </c>
      <c r="C27" s="4" t="inlineStr">
        <is>
          <t>Máy phân tích sắc ký GC</t>
        </is>
      </c>
      <c r="D27" s="4" t="inlineStr">
        <is>
          <t>bộ</t>
        </is>
      </c>
      <c r="E27" s="4" t="inlineStr">
        <is>
          <t>0,15</t>
        </is>
      </c>
      <c r="F27" s="4" t="inlineStr">
        <is>
          <t>Nội nghiệp</t>
        </is>
      </c>
      <c r="G27" s="4" t="n">
        <v>500</v>
      </c>
      <c r="H27" s="4" t="n">
        <v>5</v>
      </c>
      <c r="I27" s="4" t="n">
        <v>5</v>
      </c>
      <c r="J27" s="4" t="n">
        <v>6</v>
      </c>
      <c r="K27" s="4" t="n">
        <v>1800000000</v>
      </c>
      <c r="L27" s="4" t="inlineStr"/>
      <c r="M27" s="4" t="inlineStr"/>
      <c r="N27" s="4" t="inlineStr"/>
      <c r="O27" s="4">
        <f>ROUND(K27/(H27*G27), 0)</f>
        <v/>
      </c>
      <c r="P27" s="4">
        <f>ROUND((0.04*K27)/G27, 0)</f>
        <v/>
      </c>
      <c r="Q27" s="4">
        <f>ROUND(E27*8*2100, 0)</f>
        <v/>
      </c>
      <c r="R27" s="4">
        <f>O27+P27+Q27</f>
        <v/>
      </c>
      <c r="S27" s="4">
        <f>ROUND(I27*R27, 0)</f>
        <v/>
      </c>
      <c r="T27" s="4" t="inlineStr">
        <is>
          <t>Tra cứu nguyên giá trên Mua sắm công để tính khấu hao ca máy theo TT 45/2013 và TT 20/2017</t>
        </is>
      </c>
    </row>
    <row r="28">
      <c r="A28" s="5" t="n">
        <v>24</v>
      </c>
      <c r="B28" s="5" t="inlineStr">
        <is>
          <t>TB_024</t>
        </is>
      </c>
      <c r="C28" s="5" t="inlineStr">
        <is>
          <t>Máy quang phổ UV-VIS</t>
        </is>
      </c>
      <c r="D28" s="5" t="inlineStr">
        <is>
          <t>cái</t>
        </is>
      </c>
      <c r="E28" s="5" t="inlineStr">
        <is>
          <t>0,55</t>
        </is>
      </c>
      <c r="F28" s="5" t="inlineStr">
        <is>
          <t>Nội nghiệp</t>
        </is>
      </c>
      <c r="G28" s="5" t="n">
        <v>500</v>
      </c>
      <c r="H28" s="5" t="n">
        <v>5</v>
      </c>
      <c r="I28" s="5" t="n">
        <v>12.8</v>
      </c>
      <c r="J28" s="5" t="n">
        <v>56.32</v>
      </c>
      <c r="K28" s="5" t="n">
        <v>650000000</v>
      </c>
      <c r="L28" s="5" t="inlineStr"/>
      <c r="M28" s="5" t="inlineStr"/>
      <c r="N28" s="5" t="inlineStr"/>
      <c r="O28" s="5">
        <f>ROUND(K28/(H28*G28), 0)</f>
        <v/>
      </c>
      <c r="P28" s="5">
        <f>ROUND((0.04*K28)/G28, 0)</f>
        <v/>
      </c>
      <c r="Q28" s="5">
        <f>ROUND(E28*8*2100, 0)</f>
        <v/>
      </c>
      <c r="R28" s="5">
        <f>O28+P28+Q28</f>
        <v/>
      </c>
      <c r="S28" s="5">
        <f>ROUND(I28*R28, 0)</f>
        <v/>
      </c>
      <c r="T28" s="5" t="inlineStr">
        <is>
          <t>Tra cứu nguyên giá trên Mua sắm công để tính khấu hao ca máy theo TT 45/2013 và TT 20/2017</t>
        </is>
      </c>
    </row>
    <row r="29">
      <c r="A29" s="4" t="n">
        <v>25</v>
      </c>
      <c r="B29" s="4" t="inlineStr">
        <is>
          <t>TB_025</t>
        </is>
      </c>
      <c r="C29" s="4" t="inlineStr">
        <is>
          <t>Máy quang phổ UV-VIS</t>
        </is>
      </c>
      <c r="D29" s="4" t="inlineStr">
        <is>
          <t>bộ</t>
        </is>
      </c>
      <c r="E29" s="4" t="inlineStr">
        <is>
          <t>0,55</t>
        </is>
      </c>
      <c r="F29" s="4" t="inlineStr">
        <is>
          <t>Nội nghiệp</t>
        </is>
      </c>
      <c r="G29" s="4" t="n">
        <v>500</v>
      </c>
      <c r="H29" s="4" t="n">
        <v>5</v>
      </c>
      <c r="I29" s="4" t="n">
        <v>20</v>
      </c>
      <c r="J29" s="4" t="n">
        <v>142.88</v>
      </c>
      <c r="K29" s="4" t="n">
        <v>650000000</v>
      </c>
      <c r="L29" s="4" t="inlineStr"/>
      <c r="M29" s="4" t="inlineStr"/>
      <c r="N29" s="4" t="inlineStr"/>
      <c r="O29" s="4">
        <f>ROUND(K29/(H29*G29), 0)</f>
        <v/>
      </c>
      <c r="P29" s="4">
        <f>ROUND((0.04*K29)/G29, 0)</f>
        <v/>
      </c>
      <c r="Q29" s="4">
        <f>ROUND(E29*8*2100, 0)</f>
        <v/>
      </c>
      <c r="R29" s="4">
        <f>O29+P29+Q29</f>
        <v/>
      </c>
      <c r="S29" s="4">
        <f>ROUND(I29*R29, 0)</f>
        <v/>
      </c>
      <c r="T29" s="4" t="inlineStr">
        <is>
          <t>Tra cứu nguyên giá trên Mua sắm công để tính khấu hao ca máy theo TT 45/2013 và TT 20/2017</t>
        </is>
      </c>
    </row>
    <row r="30">
      <c r="A30" s="5" t="n">
        <v>26</v>
      </c>
      <c r="B30" s="5" t="inlineStr">
        <is>
          <t>TB_026</t>
        </is>
      </c>
      <c r="C30" s="5" t="inlineStr">
        <is>
          <t>Máy tính xử lý số liệu</t>
        </is>
      </c>
      <c r="D30" s="5" t="inlineStr">
        <is>
          <t>bộ</t>
        </is>
      </c>
      <c r="E30" s="5" t="inlineStr">
        <is>
          <t>0,4</t>
        </is>
      </c>
      <c r="F30" s="5" t="inlineStr">
        <is>
          <t>Nội nghiệp</t>
        </is>
      </c>
      <c r="G30" s="5" t="n">
        <v>500</v>
      </c>
      <c r="H30" s="5" t="n">
        <v>5</v>
      </c>
      <c r="I30" s="5" t="n">
        <v>1.696</v>
      </c>
      <c r="J30" s="5" t="n">
        <v>6.46</v>
      </c>
      <c r="K30" s="5" t="n">
        <v>150000000</v>
      </c>
      <c r="L30" s="5" t="inlineStr"/>
      <c r="M30" s="5" t="inlineStr"/>
      <c r="N30" s="5" t="inlineStr"/>
      <c r="O30" s="5">
        <f>ROUND(K30/(H30*G30), 0)</f>
        <v/>
      </c>
      <c r="P30" s="5">
        <f>ROUND((0.04*K30)/G30, 0)</f>
        <v/>
      </c>
      <c r="Q30" s="5">
        <f>ROUND(E30*8*2100, 0)</f>
        <v/>
      </c>
      <c r="R30" s="5">
        <f>O30+P30+Q30</f>
        <v/>
      </c>
      <c r="S30" s="5">
        <f>ROUND(I30*R30, 0)</f>
        <v/>
      </c>
      <c r="T30" s="5" t="inlineStr">
        <is>
          <t>Tra cứu nguyên giá trên Mua sắm công để tính khấu hao ca máy theo TT 45/2013 và TT 20/2017</t>
        </is>
      </c>
    </row>
    <row r="31">
      <c r="A31" s="4" t="n">
        <v>27</v>
      </c>
      <c r="B31" s="4" t="inlineStr">
        <is>
          <t>TB_027</t>
        </is>
      </c>
      <c r="C31" s="4" t="inlineStr">
        <is>
          <t>Máy tạo đa khí chuẩn</t>
        </is>
      </c>
      <c r="D31" s="4" t="inlineStr">
        <is>
          <t>cái</t>
        </is>
      </c>
      <c r="E31" s="4" t="inlineStr"/>
      <c r="F31" s="4" t="inlineStr">
        <is>
          <t>Ngoại nghiệp</t>
        </is>
      </c>
      <c r="G31" s="4" t="n">
        <v>250</v>
      </c>
      <c r="H31" s="4" t="n">
        <v>5</v>
      </c>
      <c r="I31" s="4" t="n">
        <v>5</v>
      </c>
      <c r="J31" s="4" t="n">
        <v>0</v>
      </c>
      <c r="K31" s="4" t="n">
        <v>150000000</v>
      </c>
      <c r="L31" s="4" t="inlineStr"/>
      <c r="M31" s="4" t="inlineStr"/>
      <c r="N31" s="4" t="inlineStr"/>
      <c r="O31" s="4">
        <f>ROUND(K31/(H31*G31), 0)</f>
        <v/>
      </c>
      <c r="P31" s="4">
        <f>ROUND((0.04*K31)/G31, 0)</f>
        <v/>
      </c>
      <c r="Q31" s="4">
        <f>ROUND(E31*8*2100, 0)</f>
        <v/>
      </c>
      <c r="R31" s="4">
        <f>O31+P31+Q31</f>
        <v/>
      </c>
      <c r="S31" s="4">
        <f>ROUND(I31*R31, 0)</f>
        <v/>
      </c>
      <c r="T31" s="4" t="inlineStr">
        <is>
          <t>Tra cứu nguyên giá trên Mua sắm công để tính khấu hao ca máy theo TT 45/2013 và TT 20/2017</t>
        </is>
      </c>
    </row>
    <row r="32">
      <c r="A32" s="5" t="n">
        <v>28</v>
      </c>
      <c r="B32" s="5" t="inlineStr">
        <is>
          <t>TB_028</t>
        </is>
      </c>
      <c r="C32" s="5" t="inlineStr">
        <is>
          <t>Máy điều hòa nhiệt độ</t>
        </is>
      </c>
      <c r="D32" s="5" t="inlineStr">
        <is>
          <t>cái</t>
        </is>
      </c>
      <c r="E32" s="5" t="inlineStr">
        <is>
          <t>2,2</t>
        </is>
      </c>
      <c r="F32" s="5" t="inlineStr">
        <is>
          <t>Nội nghiệp</t>
        </is>
      </c>
      <c r="G32" s="5" t="n">
        <v>500</v>
      </c>
      <c r="H32" s="5" t="n">
        <v>5</v>
      </c>
      <c r="I32" s="5" t="n">
        <v>58.16</v>
      </c>
      <c r="J32" s="5" t="n">
        <v>982.1799999999999</v>
      </c>
      <c r="K32" s="5" t="n">
        <v>150000000</v>
      </c>
      <c r="L32" s="5" t="inlineStr"/>
      <c r="M32" s="5" t="inlineStr"/>
      <c r="N32" s="5" t="inlineStr"/>
      <c r="O32" s="5">
        <f>ROUND(K32/(H32*G32), 0)</f>
        <v/>
      </c>
      <c r="P32" s="5">
        <f>ROUND((0.04*K32)/G32, 0)</f>
        <v/>
      </c>
      <c r="Q32" s="5">
        <f>ROUND(E32*8*2100, 0)</f>
        <v/>
      </c>
      <c r="R32" s="5">
        <f>O32+P32+Q32</f>
        <v/>
      </c>
      <c r="S32" s="5">
        <f>ROUND(I32*R32, 0)</f>
        <v/>
      </c>
      <c r="T32" s="5" t="inlineStr">
        <is>
          <t>Tra cứu nguyên giá trên Mua sắm công để tính khấu hao ca máy theo TT 45/2013 và TT 20/2017</t>
        </is>
      </c>
    </row>
    <row r="33">
      <c r="A33" s="4" t="n">
        <v>29</v>
      </c>
      <c r="B33" s="4" t="inlineStr">
        <is>
          <t>TB_029</t>
        </is>
      </c>
      <c r="C33" s="4" t="inlineStr">
        <is>
          <t>Máy điều hòa nhiệt độ</t>
        </is>
      </c>
      <c r="D33" s="4" t="inlineStr">
        <is>
          <t>Cái</t>
        </is>
      </c>
      <c r="E33" s="4" t="inlineStr">
        <is>
          <t>2,2</t>
        </is>
      </c>
      <c r="F33" s="4" t="inlineStr">
        <is>
          <t>Nội nghiệp</t>
        </is>
      </c>
      <c r="G33" s="4" t="n">
        <v>500</v>
      </c>
      <c r="H33" s="4" t="n">
        <v>5</v>
      </c>
      <c r="I33" s="4" t="n">
        <v>2.412</v>
      </c>
      <c r="J33" s="4" t="n">
        <v>42.45</v>
      </c>
      <c r="K33" s="4" t="n">
        <v>150000000</v>
      </c>
      <c r="L33" s="4" t="inlineStr"/>
      <c r="M33" s="4" t="inlineStr"/>
      <c r="N33" s="4" t="inlineStr"/>
      <c r="O33" s="4">
        <f>ROUND(K33/(H33*G33), 0)</f>
        <v/>
      </c>
      <c r="P33" s="4">
        <f>ROUND((0.04*K33)/G33, 0)</f>
        <v/>
      </c>
      <c r="Q33" s="4">
        <f>ROUND(E33*8*2100, 0)</f>
        <v/>
      </c>
      <c r="R33" s="4">
        <f>O33+P33+Q33</f>
        <v/>
      </c>
      <c r="S33" s="4">
        <f>ROUND(I33*R33, 0)</f>
        <v/>
      </c>
      <c r="T33" s="4" t="inlineStr">
        <is>
          <t>Tra cứu nguyên giá trên Mua sắm công để tính khấu hao ca máy theo TT 45/2013 và TT 20/2017</t>
        </is>
      </c>
    </row>
    <row r="34">
      <c r="A34" s="5" t="n">
        <v>30</v>
      </c>
      <c r="B34" s="5" t="inlineStr">
        <is>
          <t>TB_030</t>
        </is>
      </c>
      <c r="C34" s="5" t="inlineStr">
        <is>
          <t>Máy định vị GPS cầm tay</t>
        </is>
      </c>
      <c r="D34" s="5" t="inlineStr">
        <is>
          <t>bộ</t>
        </is>
      </c>
      <c r="E34" s="5" t="inlineStr">
        <is>
          <t>Pin khô</t>
        </is>
      </c>
      <c r="F34" s="5" t="inlineStr">
        <is>
          <t>Ngoại nghiệp</t>
        </is>
      </c>
      <c r="G34" s="5" t="n">
        <v>250</v>
      </c>
      <c r="H34" s="5" t="n">
        <v>5</v>
      </c>
      <c r="I34" s="5" t="n">
        <v>41.792</v>
      </c>
      <c r="J34" s="5" t="n">
        <v>0</v>
      </c>
      <c r="K34" s="5" t="n">
        <v>150000000</v>
      </c>
      <c r="L34" s="5" t="inlineStr"/>
      <c r="M34" s="5" t="inlineStr"/>
      <c r="N34" s="5" t="inlineStr"/>
      <c r="O34" s="5">
        <f>ROUND(K34/(H34*G34), 0)</f>
        <v/>
      </c>
      <c r="P34" s="5">
        <f>ROUND((0.04*K34)/G34, 0)</f>
        <v/>
      </c>
      <c r="Q34" s="5">
        <f>ROUND(E34*8*2100, 0)</f>
        <v/>
      </c>
      <c r="R34" s="5">
        <f>O34+P34+Q34</f>
        <v/>
      </c>
      <c r="S34" s="5">
        <f>ROUND(I34*R34, 0)</f>
        <v/>
      </c>
      <c r="T34" s="5" t="inlineStr">
        <is>
          <t>Tra cứu nguyên giá trên Mua sắm công để tính khấu hao ca máy theo TT 45/2013 và TT 20/2017</t>
        </is>
      </c>
    </row>
    <row r="35">
      <c r="A35" s="4" t="n">
        <v>31</v>
      </c>
      <c r="B35" s="4" t="inlineStr">
        <is>
          <t>TB_031</t>
        </is>
      </c>
      <c r="C35" s="4" t="inlineStr">
        <is>
          <t>Máy định vị GPS cầm tay</t>
        </is>
      </c>
      <c r="D35" s="4" t="inlineStr">
        <is>
          <t>cái</t>
        </is>
      </c>
      <c r="E35" s="4" t="inlineStr">
        <is>
          <t>Pin khô</t>
        </is>
      </c>
      <c r="F35" s="4" t="inlineStr">
        <is>
          <t>Ngoại nghiệp</t>
        </is>
      </c>
      <c r="G35" s="4" t="n">
        <v>200</v>
      </c>
      <c r="H35" s="4" t="n">
        <v>5</v>
      </c>
      <c r="I35" s="4" t="n">
        <v>74.92</v>
      </c>
      <c r="J35" s="4" t="n">
        <v>0</v>
      </c>
      <c r="K35" s="4" t="n">
        <v>150000000</v>
      </c>
      <c r="L35" s="4" t="inlineStr"/>
      <c r="M35" s="4" t="inlineStr"/>
      <c r="N35" s="4" t="inlineStr"/>
      <c r="O35" s="4">
        <f>ROUND(K35/(H35*G35), 0)</f>
        <v/>
      </c>
      <c r="P35" s="4">
        <f>ROUND((0.04*K35)/G35, 0)</f>
        <v/>
      </c>
      <c r="Q35" s="4">
        <f>ROUND(E35*8*2100, 0)</f>
        <v/>
      </c>
      <c r="R35" s="4">
        <f>O35+P35+Q35</f>
        <v/>
      </c>
      <c r="S35" s="4">
        <f>ROUND(I35*R35, 0)</f>
        <v/>
      </c>
      <c r="T35" s="4" t="inlineStr">
        <is>
          <t>Tra cứu nguyên giá trên Mua sắm công để tính khấu hao ca máy theo TT 45/2013 và TT 20/2017</t>
        </is>
      </c>
    </row>
    <row r="36">
      <c r="A36" s="5" t="n">
        <v>32</v>
      </c>
      <c r="B36" s="5" t="inlineStr">
        <is>
          <t>TB_032</t>
        </is>
      </c>
      <c r="C36" s="5" t="inlineStr">
        <is>
          <t>Máy ảnh kỹ thuật số</t>
        </is>
      </c>
      <c r="D36" s="5" t="inlineStr">
        <is>
          <t>cái</t>
        </is>
      </c>
      <c r="E36" s="5" t="inlineStr">
        <is>
          <t>1</t>
        </is>
      </c>
      <c r="F36" s="5" t="inlineStr">
        <is>
          <t>Ngoại nghiệp</t>
        </is>
      </c>
      <c r="G36" s="5" t="n">
        <v>250</v>
      </c>
      <c r="H36" s="5" t="n">
        <v>5</v>
      </c>
      <c r="I36" s="5" t="n">
        <v>17.76</v>
      </c>
      <c r="J36" s="5" t="n">
        <v>16</v>
      </c>
      <c r="K36" s="5" t="n">
        <v>150000000</v>
      </c>
      <c r="L36" s="5" t="inlineStr"/>
      <c r="M36" s="5" t="inlineStr"/>
      <c r="N36" s="5" t="inlineStr"/>
      <c r="O36" s="5">
        <f>ROUND(K36/(H36*G36), 0)</f>
        <v/>
      </c>
      <c r="P36" s="5">
        <f>ROUND((0.04*K36)/G36, 0)</f>
        <v/>
      </c>
      <c r="Q36" s="5">
        <f>ROUND(E36*8*2100, 0)</f>
        <v/>
      </c>
      <c r="R36" s="5">
        <f>O36+P36+Q36</f>
        <v/>
      </c>
      <c r="S36" s="5">
        <f>ROUND(I36*R36, 0)</f>
        <v/>
      </c>
      <c r="T36" s="5" t="inlineStr">
        <is>
          <t>Tra cứu nguyên giá trên Mua sắm công để tính khấu hao ca máy theo TT 45/2013 và TT 20/2017</t>
        </is>
      </c>
    </row>
    <row r="37">
      <c r="A37" s="4" t="n">
        <v>33</v>
      </c>
      <c r="B37" s="4" t="inlineStr">
        <is>
          <t>TB_033</t>
        </is>
      </c>
      <c r="C37" s="4" t="inlineStr">
        <is>
          <t>Nhiệt ẩm kế Asman</t>
        </is>
      </c>
      <c r="D37" s="4" t="inlineStr">
        <is>
          <t>cái</t>
        </is>
      </c>
      <c r="E37" s="4" t="inlineStr">
        <is>
          <t>-</t>
        </is>
      </c>
      <c r="F37" s="4" t="inlineStr">
        <is>
          <t>Ngoại nghiệp</t>
        </is>
      </c>
      <c r="G37" s="4" t="n">
        <v>250</v>
      </c>
      <c r="H37" s="4" t="n">
        <v>5</v>
      </c>
      <c r="I37" s="4" t="n">
        <v>3.2</v>
      </c>
      <c r="J37" s="4" t="n">
        <v>0</v>
      </c>
      <c r="K37" s="4" t="n">
        <v>150000000</v>
      </c>
      <c r="L37" s="4" t="inlineStr"/>
      <c r="M37" s="4" t="inlineStr"/>
      <c r="N37" s="4" t="inlineStr"/>
      <c r="O37" s="4">
        <f>ROUND(K37/(H37*G37), 0)</f>
        <v/>
      </c>
      <c r="P37" s="4">
        <f>ROUND((0.04*K37)/G37, 0)</f>
        <v/>
      </c>
      <c r="Q37" s="4">
        <f>ROUND(E37*8*2100, 0)</f>
        <v/>
      </c>
      <c r="R37" s="4">
        <f>O37+P37+Q37</f>
        <v/>
      </c>
      <c r="S37" s="4">
        <f>ROUND(I37*R37, 0)</f>
        <v/>
      </c>
      <c r="T37" s="4" t="inlineStr">
        <is>
          <t>Tra cứu nguyên giá trên Mua sắm công để tính khấu hao ca máy theo TT 45/2013 và TT 20/2017</t>
        </is>
      </c>
    </row>
    <row r="38">
      <c r="A38" s="5" t="n">
        <v>34</v>
      </c>
      <c r="B38" s="5" t="inlineStr">
        <is>
          <t>TB_034</t>
        </is>
      </c>
      <c r="C38" s="5" t="inlineStr">
        <is>
          <t>Thiết bị chuyên dụng</t>
        </is>
      </c>
      <c r="D38" s="5" t="inlineStr">
        <is>
          <t>bộ</t>
        </is>
      </c>
      <c r="E38" s="5" t="inlineStr">
        <is>
          <t>Pin khô</t>
        </is>
      </c>
      <c r="F38" s="5" t="inlineStr">
        <is>
          <t>Ngoại nghiệp</t>
        </is>
      </c>
      <c r="G38" s="5" t="n">
        <v>200</v>
      </c>
      <c r="H38" s="5" t="n">
        <v>5</v>
      </c>
      <c r="I38" s="5" t="n">
        <v>77.66</v>
      </c>
      <c r="J38" s="5" t="n">
        <v>0</v>
      </c>
      <c r="K38" s="5" t="n">
        <v>150000000</v>
      </c>
      <c r="L38" s="5" t="inlineStr"/>
      <c r="M38" s="5" t="inlineStr"/>
      <c r="N38" s="5" t="inlineStr"/>
      <c r="O38" s="5">
        <f>ROUND(K38/(H38*G38), 0)</f>
        <v/>
      </c>
      <c r="P38" s="5">
        <f>ROUND((0.04*K38)/G38, 0)</f>
        <v/>
      </c>
      <c r="Q38" s="5">
        <f>ROUND(E38*8*2100, 0)</f>
        <v/>
      </c>
      <c r="R38" s="5">
        <f>O38+P38+Q38</f>
        <v/>
      </c>
      <c r="S38" s="5">
        <f>ROUND(I38*R38, 0)</f>
        <v/>
      </c>
      <c r="T38" s="5" t="inlineStr">
        <is>
          <t>Tra cứu nguyên giá trên Mua sắm công để tính khấu hao ca máy theo TT 45/2013 và TT 20/2017</t>
        </is>
      </c>
    </row>
    <row r="39">
      <c r="A39" s="4" t="n">
        <v>35</v>
      </c>
      <c r="B39" s="4" t="inlineStr">
        <is>
          <t>TB_035</t>
        </is>
      </c>
      <c r="C39" s="4" t="inlineStr">
        <is>
          <t>Thiết bị chuyên dụng</t>
        </is>
      </c>
      <c r="D39" s="4" t="inlineStr">
        <is>
          <t>cái</t>
        </is>
      </c>
      <c r="E39" s="4" t="inlineStr">
        <is>
          <t>Pin khô</t>
        </is>
      </c>
      <c r="F39" s="4" t="inlineStr">
        <is>
          <t>Ngoại nghiệp</t>
        </is>
      </c>
      <c r="G39" s="4" t="n">
        <v>200</v>
      </c>
      <c r="H39" s="4" t="n">
        <v>5</v>
      </c>
      <c r="I39" s="4" t="n">
        <v>29.4</v>
      </c>
      <c r="J39" s="4" t="n">
        <v>0</v>
      </c>
      <c r="K39" s="4" t="n">
        <v>150000000</v>
      </c>
      <c r="L39" s="4" t="inlineStr"/>
      <c r="M39" s="4" t="inlineStr"/>
      <c r="N39" s="4" t="inlineStr"/>
      <c r="O39" s="4">
        <f>ROUND(K39/(H39*G39), 0)</f>
        <v/>
      </c>
      <c r="P39" s="4">
        <f>ROUND((0.04*K39)/G39, 0)</f>
        <v/>
      </c>
      <c r="Q39" s="4">
        <f>ROUND(E39*8*2100, 0)</f>
        <v/>
      </c>
      <c r="R39" s="4">
        <f>O39+P39+Q39</f>
        <v/>
      </c>
      <c r="S39" s="4">
        <f>ROUND(I39*R39, 0)</f>
        <v/>
      </c>
      <c r="T39" s="4" t="inlineStr">
        <is>
          <t>Tra cứu nguyên giá trên Mua sắm công để tính khấu hao ca máy theo TT 45/2013 và TT 20/2017</t>
        </is>
      </c>
    </row>
    <row r="40">
      <c r="A40" s="5" t="n">
        <v>36</v>
      </c>
      <c r="B40" s="5" t="inlineStr">
        <is>
          <t>TB_036</t>
        </is>
      </c>
      <c r="C40" s="5" t="inlineStr">
        <is>
          <t>Thiết bị cất nước 2 lần</t>
        </is>
      </c>
      <c r="D40" s="5" t="inlineStr">
        <is>
          <t>bộ</t>
        </is>
      </c>
      <c r="E40" s="5" t="inlineStr">
        <is>
          <t>0,18</t>
        </is>
      </c>
      <c r="F40" s="5" t="inlineStr">
        <is>
          <t>Nội nghiệp</t>
        </is>
      </c>
      <c r="G40" s="5" t="n">
        <v>500</v>
      </c>
      <c r="H40" s="5" t="n">
        <v>5</v>
      </c>
      <c r="I40" s="5" t="n">
        <v>152.48</v>
      </c>
      <c r="J40" s="5" t="n">
        <v>219.57</v>
      </c>
      <c r="K40" s="5" t="n">
        <v>150000000</v>
      </c>
      <c r="L40" s="5" t="inlineStr"/>
      <c r="M40" s="5" t="inlineStr"/>
      <c r="N40" s="5" t="inlineStr"/>
      <c r="O40" s="5">
        <f>ROUND(K40/(H40*G40), 0)</f>
        <v/>
      </c>
      <c r="P40" s="5">
        <f>ROUND((0.04*K40)/G40, 0)</f>
        <v/>
      </c>
      <c r="Q40" s="5">
        <f>ROUND(E40*8*2100, 0)</f>
        <v/>
      </c>
      <c r="R40" s="5">
        <f>O40+P40+Q40</f>
        <v/>
      </c>
      <c r="S40" s="5">
        <f>ROUND(I40*R40, 0)</f>
        <v/>
      </c>
      <c r="T40" s="5" t="inlineStr">
        <is>
          <t>Tra cứu nguyên giá trên Mua sắm công để tính khấu hao ca máy theo TT 45/2013 và TT 20/2017</t>
        </is>
      </c>
    </row>
    <row r="41">
      <c r="A41" s="4" t="n">
        <v>37</v>
      </c>
      <c r="B41" s="4" t="inlineStr">
        <is>
          <t>TB_037</t>
        </is>
      </c>
      <c r="C41" s="4" t="inlineStr">
        <is>
          <t>Thiết bị hiệu chuẩn lưu lượng</t>
        </is>
      </c>
      <c r="D41" s="4" t="inlineStr">
        <is>
          <t>bộ</t>
        </is>
      </c>
      <c r="E41" s="4" t="inlineStr"/>
      <c r="F41" s="4" t="inlineStr">
        <is>
          <t>Ngoại nghiệp</t>
        </is>
      </c>
      <c r="G41" s="4" t="n">
        <v>250</v>
      </c>
      <c r="H41" s="4" t="n">
        <v>5</v>
      </c>
      <c r="I41" s="4" t="n">
        <v>22.4</v>
      </c>
      <c r="J41" s="4" t="n">
        <v>0</v>
      </c>
      <c r="K41" s="4" t="n">
        <v>150000000</v>
      </c>
      <c r="L41" s="4" t="inlineStr"/>
      <c r="M41" s="4" t="inlineStr"/>
      <c r="N41" s="4" t="inlineStr"/>
      <c r="O41" s="4">
        <f>ROUND(K41/(H41*G41), 0)</f>
        <v/>
      </c>
      <c r="P41" s="4">
        <f>ROUND((0.04*K41)/G41, 0)</f>
        <v/>
      </c>
      <c r="Q41" s="4">
        <f>ROUND(E41*8*2100, 0)</f>
        <v/>
      </c>
      <c r="R41" s="4">
        <f>O41+P41+Q41</f>
        <v/>
      </c>
      <c r="S41" s="4">
        <f>ROUND(I41*R41, 0)</f>
        <v/>
      </c>
      <c r="T41" s="4" t="inlineStr">
        <is>
          <t>Tra cứu nguyên giá trên Mua sắm công để tính khấu hao ca máy theo TT 45/2013 và TT 20/2017</t>
        </is>
      </c>
    </row>
    <row r="42">
      <c r="A42" s="5" t="n">
        <v>38</v>
      </c>
      <c r="B42" s="5" t="inlineStr">
        <is>
          <t>TB_038</t>
        </is>
      </c>
      <c r="C42" s="5" t="inlineStr">
        <is>
          <t>Thiết bị hiệu chuẩn lưu lượng</t>
        </is>
      </c>
      <c r="D42" s="5" t="inlineStr">
        <is>
          <t>Bộ</t>
        </is>
      </c>
      <c r="E42" s="5" t="inlineStr"/>
      <c r="F42" s="5" t="inlineStr">
        <is>
          <t>Ngoại nghiệp</t>
        </is>
      </c>
      <c r="G42" s="5" t="n">
        <v>250</v>
      </c>
      <c r="H42" s="5" t="n">
        <v>5</v>
      </c>
      <c r="I42" s="5" t="n">
        <v>4.8</v>
      </c>
      <c r="J42" s="5" t="n">
        <v>0</v>
      </c>
      <c r="K42" s="5" t="n">
        <v>150000000</v>
      </c>
      <c r="L42" s="5" t="inlineStr"/>
      <c r="M42" s="5" t="inlineStr"/>
      <c r="N42" s="5" t="inlineStr"/>
      <c r="O42" s="5">
        <f>ROUND(K42/(H42*G42), 0)</f>
        <v/>
      </c>
      <c r="P42" s="5">
        <f>ROUND((0.04*K42)/G42, 0)</f>
        <v/>
      </c>
      <c r="Q42" s="5">
        <f>ROUND(E42*8*2100, 0)</f>
        <v/>
      </c>
      <c r="R42" s="5">
        <f>O42+P42+Q42</f>
        <v/>
      </c>
      <c r="S42" s="5">
        <f>ROUND(I42*R42, 0)</f>
        <v/>
      </c>
      <c r="T42" s="5" t="inlineStr">
        <is>
          <t>Tra cứu nguyên giá trên Mua sắm công để tính khấu hao ca máy theo TT 45/2013 và TT 20/2017</t>
        </is>
      </c>
    </row>
    <row r="43">
      <c r="A43" s="4" t="n">
        <v>39</v>
      </c>
      <c r="B43" s="4" t="inlineStr">
        <is>
          <t>TB_039</t>
        </is>
      </c>
      <c r="C43" s="4" t="inlineStr">
        <is>
          <t>Thiết bị lấy mẫu</t>
        </is>
      </c>
      <c r="D43" s="4" t="inlineStr">
        <is>
          <t>bộ</t>
        </is>
      </c>
      <c r="E43" s="4" t="inlineStr">
        <is>
          <t>-</t>
        </is>
      </c>
      <c r="F43" s="4" t="inlineStr">
        <is>
          <t>Ngoại nghiệp</t>
        </is>
      </c>
      <c r="G43" s="4" t="n">
        <v>250</v>
      </c>
      <c r="H43" s="4" t="n">
        <v>5</v>
      </c>
      <c r="I43" s="4" t="n">
        <v>10.56</v>
      </c>
      <c r="J43" s="4" t="n">
        <v>0</v>
      </c>
      <c r="K43" s="4" t="n">
        <v>150000000</v>
      </c>
      <c r="L43" s="4" t="inlineStr"/>
      <c r="M43" s="4" t="inlineStr"/>
      <c r="N43" s="4" t="inlineStr"/>
      <c r="O43" s="4">
        <f>ROUND(K43/(H43*G43), 0)</f>
        <v/>
      </c>
      <c r="P43" s="4">
        <f>ROUND((0.04*K43)/G43, 0)</f>
        <v/>
      </c>
      <c r="Q43" s="4">
        <f>ROUND(E43*8*2100, 0)</f>
        <v/>
      </c>
      <c r="R43" s="4">
        <f>O43+P43+Q43</f>
        <v/>
      </c>
      <c r="S43" s="4">
        <f>ROUND(I43*R43, 0)</f>
        <v/>
      </c>
      <c r="T43" s="4" t="inlineStr">
        <is>
          <t>Tra cứu nguyên giá trên Mua sắm công để tính khấu hao ca máy theo TT 45/2013 và TT 20/2017</t>
        </is>
      </c>
    </row>
    <row r="44">
      <c r="A44" s="5" t="n">
        <v>40</v>
      </c>
      <c r="B44" s="5" t="inlineStr">
        <is>
          <t>TB_040</t>
        </is>
      </c>
      <c r="C44" s="5" t="inlineStr">
        <is>
          <t>Thiết bị lấy mẫu bụi</t>
        </is>
      </c>
      <c r="D44" s="5" t="inlineStr">
        <is>
          <t>bộ</t>
        </is>
      </c>
      <c r="E44" s="5" t="inlineStr">
        <is>
          <t>1</t>
        </is>
      </c>
      <c r="F44" s="5" t="inlineStr">
        <is>
          <t>Ngoại nghiệp</t>
        </is>
      </c>
      <c r="G44" s="5" t="n">
        <v>250</v>
      </c>
      <c r="H44" s="5" t="n">
        <v>5</v>
      </c>
      <c r="I44" s="5" t="n">
        <v>5.6</v>
      </c>
      <c r="J44" s="5" t="n">
        <v>44.8</v>
      </c>
      <c r="K44" s="5" t="n">
        <v>150000000</v>
      </c>
      <c r="L44" s="5" t="inlineStr"/>
      <c r="M44" s="5" t="inlineStr"/>
      <c r="N44" s="5" t="inlineStr"/>
      <c r="O44" s="5">
        <f>ROUND(K44/(H44*G44), 0)</f>
        <v/>
      </c>
      <c r="P44" s="5">
        <f>ROUND((0.04*K44)/G44, 0)</f>
        <v/>
      </c>
      <c r="Q44" s="5">
        <f>ROUND(E44*8*2100, 0)</f>
        <v/>
      </c>
      <c r="R44" s="5">
        <f>O44+P44+Q44</f>
        <v/>
      </c>
      <c r="S44" s="5">
        <f>ROUND(I44*R44, 0)</f>
        <v/>
      </c>
      <c r="T44" s="5" t="inlineStr">
        <is>
          <t>Tra cứu nguyên giá trên Mua sắm công để tính khấu hao ca máy theo TT 45/2013 và TT 20/2017</t>
        </is>
      </c>
    </row>
    <row r="45">
      <c r="A45" s="4" t="n">
        <v>41</v>
      </c>
      <c r="B45" s="4" t="inlineStr">
        <is>
          <t>TB_041</t>
        </is>
      </c>
      <c r="C45" s="4" t="inlineStr">
        <is>
          <t>Thiết bị lấy mẫu khí</t>
        </is>
      </c>
      <c r="D45" s="4" t="inlineStr">
        <is>
          <t>bộ</t>
        </is>
      </c>
      <c r="E45" s="4" t="inlineStr">
        <is>
          <t>1</t>
        </is>
      </c>
      <c r="F45" s="4" t="inlineStr">
        <is>
          <t>Ngoại nghiệp</t>
        </is>
      </c>
      <c r="G45" s="4" t="n">
        <v>250</v>
      </c>
      <c r="H45" s="4" t="n">
        <v>5</v>
      </c>
      <c r="I45" s="4" t="n">
        <v>4</v>
      </c>
      <c r="J45" s="4" t="n">
        <v>32</v>
      </c>
      <c r="K45" s="4" t="n">
        <v>450000000</v>
      </c>
      <c r="L45" s="4" t="inlineStr"/>
      <c r="M45" s="4" t="inlineStr"/>
      <c r="N45" s="4" t="inlineStr"/>
      <c r="O45" s="4">
        <f>ROUND(K45/(H45*G45), 0)</f>
        <v/>
      </c>
      <c r="P45" s="4">
        <f>ROUND((0.04*K45)/G45, 0)</f>
        <v/>
      </c>
      <c r="Q45" s="4">
        <f>ROUND(E45*8*2100, 0)</f>
        <v/>
      </c>
      <c r="R45" s="4">
        <f>O45+P45+Q45</f>
        <v/>
      </c>
      <c r="S45" s="4">
        <f>ROUND(I45*R45, 0)</f>
        <v/>
      </c>
      <c r="T45" s="4" t="inlineStr">
        <is>
          <t>Tra cứu nguyên giá trên Mua sắm công để tính khấu hao ca máy theo TT 45/2013 và TT 20/2017</t>
        </is>
      </c>
    </row>
    <row r="46">
      <c r="A46" s="5" t="n">
        <v>42</v>
      </c>
      <c r="B46" s="5" t="inlineStr">
        <is>
          <t>TB_042</t>
        </is>
      </c>
      <c r="C46" s="5" t="inlineStr">
        <is>
          <t>Thiết bị lấy mẫu khí NOx</t>
        </is>
      </c>
      <c r="D46" s="5" t="inlineStr">
        <is>
          <t>bộ</t>
        </is>
      </c>
      <c r="E46" s="5" t="inlineStr">
        <is>
          <t>Acqui</t>
        </is>
      </c>
      <c r="F46" s="5" t="inlineStr">
        <is>
          <t>Ngoại nghiệp</t>
        </is>
      </c>
      <c r="G46" s="5" t="n">
        <v>250</v>
      </c>
      <c r="H46" s="5" t="n">
        <v>5</v>
      </c>
      <c r="I46" s="5" t="n">
        <v>4.8</v>
      </c>
      <c r="J46" s="5" t="n">
        <v>0</v>
      </c>
      <c r="K46" s="5" t="n">
        <v>450000000</v>
      </c>
      <c r="L46" s="5" t="inlineStr"/>
      <c r="M46" s="5" t="inlineStr"/>
      <c r="N46" s="5" t="inlineStr"/>
      <c r="O46" s="5">
        <f>ROUND(K46/(H46*G46), 0)</f>
        <v/>
      </c>
      <c r="P46" s="5">
        <f>ROUND((0.04*K46)/G46, 0)</f>
        <v/>
      </c>
      <c r="Q46" s="5">
        <f>ROUND(E46*8*2100, 0)</f>
        <v/>
      </c>
      <c r="R46" s="5">
        <f>O46+P46+Q46</f>
        <v/>
      </c>
      <c r="S46" s="5">
        <f>ROUND(I46*R46, 0)</f>
        <v/>
      </c>
      <c r="T46" s="5" t="inlineStr">
        <is>
          <t>Tra cứu nguyên giá trên Mua sắm công để tính khấu hao ca máy theo TT 45/2013 và TT 20/2017</t>
        </is>
      </c>
    </row>
    <row r="47">
      <c r="A47" s="4" t="n">
        <v>43</v>
      </c>
      <c r="B47" s="4" t="inlineStr">
        <is>
          <t>TB_043</t>
        </is>
      </c>
      <c r="C47" s="4" t="inlineStr">
        <is>
          <t>Thiết bị lấy mẫu khí Oxy</t>
        </is>
      </c>
      <c r="D47" s="4" t="inlineStr">
        <is>
          <t>cái</t>
        </is>
      </c>
      <c r="E47" s="4" t="inlineStr"/>
      <c r="F47" s="4" t="inlineStr">
        <is>
          <t>Nội nghiệp</t>
        </is>
      </c>
      <c r="G47" s="4" t="n">
        <v>500</v>
      </c>
      <c r="H47" s="4" t="n">
        <v>5</v>
      </c>
      <c r="I47" s="4" t="n">
        <v>0.216</v>
      </c>
      <c r="J47" s="4" t="n">
        <v>0</v>
      </c>
      <c r="K47" s="4" t="n">
        <v>450000000</v>
      </c>
      <c r="L47" s="4" t="inlineStr"/>
      <c r="M47" s="4" t="inlineStr"/>
      <c r="N47" s="4" t="inlineStr"/>
      <c r="O47" s="4">
        <f>ROUND(K47/(H47*G47), 0)</f>
        <v/>
      </c>
      <c r="P47" s="4">
        <f>ROUND((0.04*K47)/G47, 0)</f>
        <v/>
      </c>
      <c r="Q47" s="4">
        <f>ROUND(E47*8*2100, 0)</f>
        <v/>
      </c>
      <c r="R47" s="4">
        <f>O47+P47+Q47</f>
        <v/>
      </c>
      <c r="S47" s="4">
        <f>ROUND(I47*R47, 0)</f>
        <v/>
      </c>
      <c r="T47" s="4" t="inlineStr">
        <is>
          <t>Tra cứu nguyên giá trên Mua sắm công để tính khấu hao ca máy theo TT 45/2013 và TT 20/2017</t>
        </is>
      </c>
    </row>
    <row r="48">
      <c r="A48" s="5" t="n">
        <v>44</v>
      </c>
      <c r="B48" s="5" t="inlineStr">
        <is>
          <t>TB_044</t>
        </is>
      </c>
      <c r="C48" s="5" t="inlineStr">
        <is>
          <t>Thiết bị lấy mẫu khí thải</t>
        </is>
      </c>
      <c r="D48" s="5" t="inlineStr">
        <is>
          <t>Bộ</t>
        </is>
      </c>
      <c r="E48" s="5" t="inlineStr">
        <is>
          <t>Pin 9V</t>
        </is>
      </c>
      <c r="F48" s="5" t="inlineStr">
        <is>
          <t>Ngoại nghiệp</t>
        </is>
      </c>
      <c r="G48" s="5" t="n">
        <v>250</v>
      </c>
      <c r="H48" s="5" t="n">
        <v>5</v>
      </c>
      <c r="I48" s="5" t="n">
        <v>4.8</v>
      </c>
      <c r="J48" s="5" t="n">
        <v>345.6</v>
      </c>
      <c r="K48" s="5" t="n">
        <v>450000000</v>
      </c>
      <c r="L48" s="5" t="inlineStr"/>
      <c r="M48" s="5" t="inlineStr"/>
      <c r="N48" s="5" t="inlineStr"/>
      <c r="O48" s="5">
        <f>ROUND(K48/(H48*G48), 0)</f>
        <v/>
      </c>
      <c r="P48" s="5">
        <f>ROUND((0.04*K48)/G48, 0)</f>
        <v/>
      </c>
      <c r="Q48" s="5">
        <f>ROUND(E48*8*2100, 0)</f>
        <v/>
      </c>
      <c r="R48" s="5">
        <f>O48+P48+Q48</f>
        <v/>
      </c>
      <c r="S48" s="5">
        <f>ROUND(I48*R48, 0)</f>
        <v/>
      </c>
      <c r="T48" s="5" t="inlineStr">
        <is>
          <t>Tra cứu nguyên giá trên Mua sắm công để tính khấu hao ca máy theo TT 45/2013 và TT 20/2017</t>
        </is>
      </c>
    </row>
    <row r="49">
      <c r="A49" s="4" t="n">
        <v>45</v>
      </c>
      <c r="B49" s="4" t="inlineStr">
        <is>
          <t>TB_045</t>
        </is>
      </c>
      <c r="C49" s="4" t="inlineStr">
        <is>
          <t>Thiết bị lấy mẫu nước</t>
        </is>
      </c>
      <c r="D49" s="4" t="inlineStr">
        <is>
          <t>bộ</t>
        </is>
      </c>
      <c r="E49" s="4" t="inlineStr"/>
      <c r="F49" s="4" t="inlineStr">
        <is>
          <t>Ngoại nghiệp</t>
        </is>
      </c>
      <c r="G49" s="4" t="n">
        <v>250</v>
      </c>
      <c r="H49" s="4" t="n">
        <v>5</v>
      </c>
      <c r="I49" s="4" t="n">
        <v>61.584</v>
      </c>
      <c r="J49" s="4" t="n">
        <v>0</v>
      </c>
      <c r="K49" s="4" t="n">
        <v>150000000</v>
      </c>
      <c r="L49" s="4" t="inlineStr"/>
      <c r="M49" s="4" t="inlineStr"/>
      <c r="N49" s="4" t="inlineStr"/>
      <c r="O49" s="4">
        <f>ROUND(K49/(H49*G49), 0)</f>
        <v/>
      </c>
      <c r="P49" s="4">
        <f>ROUND((0.04*K49)/G49, 0)</f>
        <v/>
      </c>
      <c r="Q49" s="4">
        <f>ROUND(E49*8*2100, 0)</f>
        <v/>
      </c>
      <c r="R49" s="4">
        <f>O49+P49+Q49</f>
        <v/>
      </c>
      <c r="S49" s="4">
        <f>ROUND(I49*R49, 0)</f>
        <v/>
      </c>
      <c r="T49" s="4" t="inlineStr">
        <is>
          <t>Tra cứu nguyên giá trên Mua sắm công để tính khấu hao ca máy theo TT 45/2013 và TT 20/2017</t>
        </is>
      </c>
    </row>
    <row r="50">
      <c r="A50" s="5" t="n">
        <v>46</v>
      </c>
      <c r="B50" s="5" t="inlineStr">
        <is>
          <t>TB_046</t>
        </is>
      </c>
      <c r="C50" s="5" t="inlineStr">
        <is>
          <t>Thiết bị lọc nước siêu sạch</t>
        </is>
      </c>
      <c r="D50" s="5" t="inlineStr">
        <is>
          <t>bộ</t>
        </is>
      </c>
      <c r="E50" s="5" t="inlineStr">
        <is>
          <t>0,18</t>
        </is>
      </c>
      <c r="F50" s="5" t="inlineStr">
        <is>
          <t>Nội nghiệp</t>
        </is>
      </c>
      <c r="G50" s="5" t="n">
        <v>500</v>
      </c>
      <c r="H50" s="5" t="n">
        <v>5</v>
      </c>
      <c r="I50" s="5" t="n">
        <v>20.8</v>
      </c>
      <c r="J50" s="5" t="n">
        <v>29.95</v>
      </c>
      <c r="K50" s="5" t="n">
        <v>150000000</v>
      </c>
      <c r="L50" s="5" t="inlineStr"/>
      <c r="M50" s="5" t="inlineStr"/>
      <c r="N50" s="5" t="inlineStr"/>
      <c r="O50" s="5">
        <f>ROUND(K50/(H50*G50), 0)</f>
        <v/>
      </c>
      <c r="P50" s="5">
        <f>ROUND((0.04*K50)/G50, 0)</f>
        <v/>
      </c>
      <c r="Q50" s="5">
        <f>ROUND(E50*8*2100, 0)</f>
        <v/>
      </c>
      <c r="R50" s="5">
        <f>O50+P50+Q50</f>
        <v/>
      </c>
      <c r="S50" s="5">
        <f>ROUND(I50*R50, 0)</f>
        <v/>
      </c>
      <c r="T50" s="5" t="inlineStr">
        <is>
          <t>Tra cứu nguyên giá trên Mua sắm công để tính khấu hao ca máy theo TT 45/2013 và TT 20/2017</t>
        </is>
      </c>
    </row>
    <row r="51">
      <c r="A51" s="4" t="n">
        <v>47</v>
      </c>
      <c r="B51" s="4" t="inlineStr">
        <is>
          <t>TB_047</t>
        </is>
      </c>
      <c r="C51" s="4" t="inlineStr">
        <is>
          <t>Thiết bị phá mẫu</t>
        </is>
      </c>
      <c r="D51" s="4" t="inlineStr">
        <is>
          <t>bộ</t>
        </is>
      </c>
      <c r="E51" s="4" t="inlineStr">
        <is>
          <t>2,3</t>
        </is>
      </c>
      <c r="F51" s="4" t="inlineStr">
        <is>
          <t>Nội nghiệp</t>
        </is>
      </c>
      <c r="G51" s="4" t="n">
        <v>500</v>
      </c>
      <c r="H51" s="4" t="n">
        <v>5</v>
      </c>
      <c r="I51" s="4" t="n">
        <v>124.4</v>
      </c>
      <c r="J51" s="4" t="n">
        <v>2288.96</v>
      </c>
      <c r="K51" s="4" t="n">
        <v>150000000</v>
      </c>
      <c r="L51" s="4" t="inlineStr"/>
      <c r="M51" s="4" t="inlineStr"/>
      <c r="N51" s="4" t="inlineStr"/>
      <c r="O51" s="4">
        <f>ROUND(K51/(H51*G51), 0)</f>
        <v/>
      </c>
      <c r="P51" s="4">
        <f>ROUND((0.04*K51)/G51, 0)</f>
        <v/>
      </c>
      <c r="Q51" s="4">
        <f>ROUND(E51*8*2100, 0)</f>
        <v/>
      </c>
      <c r="R51" s="4">
        <f>O51+P51+Q51</f>
        <v/>
      </c>
      <c r="S51" s="4">
        <f>ROUND(I51*R51, 0)</f>
        <v/>
      </c>
      <c r="T51" s="4" t="inlineStr">
        <is>
          <t>Tra cứu nguyên giá trên Mua sắm công để tính khấu hao ca máy theo TT 45/2013 và TT 20/2017</t>
        </is>
      </c>
    </row>
    <row r="52">
      <c r="A52" s="5" t="n">
        <v>48</v>
      </c>
      <c r="B52" s="5" t="inlineStr">
        <is>
          <t>TB_048</t>
        </is>
      </c>
      <c r="C52" s="5" t="inlineStr">
        <is>
          <t>Thiết bị phản ứng COD</t>
        </is>
      </c>
      <c r="D52" s="5" t="inlineStr">
        <is>
          <t>bộ</t>
        </is>
      </c>
      <c r="E52" s="5" t="inlineStr">
        <is>
          <t>0,45</t>
        </is>
      </c>
      <c r="F52" s="5" t="inlineStr">
        <is>
          <t>Nội nghiệp</t>
        </is>
      </c>
      <c r="G52" s="5" t="n">
        <v>500</v>
      </c>
      <c r="H52" s="5" t="n">
        <v>5</v>
      </c>
      <c r="I52" s="5" t="n">
        <v>12.32</v>
      </c>
      <c r="J52" s="5" t="n">
        <v>44.35</v>
      </c>
      <c r="K52" s="5" t="n">
        <v>150000000</v>
      </c>
      <c r="L52" s="5" t="inlineStr"/>
      <c r="M52" s="5" t="inlineStr"/>
      <c r="N52" s="5" t="inlineStr"/>
      <c r="O52" s="5">
        <f>ROUND(K52/(H52*G52), 0)</f>
        <v/>
      </c>
      <c r="P52" s="5">
        <f>ROUND((0.04*K52)/G52, 0)</f>
        <v/>
      </c>
      <c r="Q52" s="5">
        <f>ROUND(E52*8*2100, 0)</f>
        <v/>
      </c>
      <c r="R52" s="5">
        <f>O52+P52+Q52</f>
        <v/>
      </c>
      <c r="S52" s="5">
        <f>ROUND(I52*R52, 0)</f>
        <v/>
      </c>
      <c r="T52" s="5" t="inlineStr">
        <is>
          <t>Tra cứu nguyên giá trên Mua sắm công để tính khấu hao ca máy theo TT 45/2013 và TT 20/2017</t>
        </is>
      </c>
    </row>
    <row r="53">
      <c r="A53" s="4" t="n">
        <v>49</v>
      </c>
      <c r="B53" s="4" t="inlineStr">
        <is>
          <t>TB_049</t>
        </is>
      </c>
      <c r="C53" s="4" t="inlineStr">
        <is>
          <t>Thiết bị điều khiển lấy mẫu bụi</t>
        </is>
      </c>
      <c r="D53" s="4" t="inlineStr">
        <is>
          <t>Bộ</t>
        </is>
      </c>
      <c r="E53" s="4" t="inlineStr">
        <is>
          <t>Pin 9V</t>
        </is>
      </c>
      <c r="F53" s="4" t="inlineStr">
        <is>
          <t>Ngoại nghiệp</t>
        </is>
      </c>
      <c r="G53" s="4" t="n">
        <v>250</v>
      </c>
      <c r="H53" s="4" t="n">
        <v>5</v>
      </c>
      <c r="I53" s="4" t="n">
        <v>4.8</v>
      </c>
      <c r="J53" s="4" t="n">
        <v>345.6</v>
      </c>
      <c r="K53" s="4" t="n">
        <v>150000000</v>
      </c>
      <c r="L53" s="4" t="inlineStr"/>
      <c r="M53" s="4" t="inlineStr"/>
      <c r="N53" s="4" t="inlineStr"/>
      <c r="O53" s="4">
        <f>ROUND(K53/(H53*G53), 0)</f>
        <v/>
      </c>
      <c r="P53" s="4">
        <f>ROUND((0.04*K53)/G53, 0)</f>
        <v/>
      </c>
      <c r="Q53" s="4">
        <f>ROUND(E53*8*2100, 0)</f>
        <v/>
      </c>
      <c r="R53" s="4">
        <f>O53+P53+Q53</f>
        <v/>
      </c>
      <c r="S53" s="4">
        <f>ROUND(I53*R53, 0)</f>
        <v/>
      </c>
      <c r="T53" s="4" t="inlineStr">
        <is>
          <t>Tra cứu nguyên giá trên Mua sắm công để tính khấu hao ca máy theo TT 45/2013 và TT 20/2017</t>
        </is>
      </c>
    </row>
    <row r="54">
      <c r="A54" s="5" t="n">
        <v>50</v>
      </c>
      <c r="B54" s="5" t="inlineStr">
        <is>
          <t>TB_050</t>
        </is>
      </c>
      <c r="C54" s="5" t="inlineStr">
        <is>
          <t>Thiết bị đo</t>
        </is>
      </c>
      <c r="D54" s="5" t="inlineStr">
        <is>
          <t>bộ</t>
        </is>
      </c>
      <c r="E54" s="5" t="inlineStr">
        <is>
          <t>Acqui</t>
        </is>
      </c>
      <c r="F54" s="5" t="inlineStr">
        <is>
          <t>Ngoại nghiệp</t>
        </is>
      </c>
      <c r="G54" s="5" t="n">
        <v>250</v>
      </c>
      <c r="H54" s="5" t="n">
        <v>5</v>
      </c>
      <c r="I54" s="5" t="n">
        <v>17.6</v>
      </c>
      <c r="J54" s="5" t="n">
        <v>0</v>
      </c>
      <c r="K54" s="5" t="n">
        <v>150000000</v>
      </c>
      <c r="L54" s="5" t="inlineStr"/>
      <c r="M54" s="5" t="inlineStr"/>
      <c r="N54" s="5" t="inlineStr"/>
      <c r="O54" s="5">
        <f>ROUND(K54/(H54*G54), 0)</f>
        <v/>
      </c>
      <c r="P54" s="5">
        <f>ROUND((0.04*K54)/G54, 0)</f>
        <v/>
      </c>
      <c r="Q54" s="5">
        <f>ROUND(E54*8*2100, 0)</f>
        <v/>
      </c>
      <c r="R54" s="5">
        <f>O54+P54+Q54</f>
        <v/>
      </c>
      <c r="S54" s="5">
        <f>ROUND(I54*R54, 0)</f>
        <v/>
      </c>
      <c r="T54" s="5" t="inlineStr">
        <is>
          <t>Tra cứu nguyên giá trên Mua sắm công để tính khấu hao ca máy theo TT 45/2013 và TT 20/2017</t>
        </is>
      </c>
    </row>
    <row r="55">
      <c r="A55" s="4" t="n">
        <v>51</v>
      </c>
      <c r="B55" s="4" t="inlineStr">
        <is>
          <t>TB_051</t>
        </is>
      </c>
      <c r="C55" s="4" t="inlineStr">
        <is>
          <t>Thiết bị đo chênh áp</t>
        </is>
      </c>
      <c r="D55" s="4" t="inlineStr">
        <is>
          <t>Bộ</t>
        </is>
      </c>
      <c r="E55" s="4" t="inlineStr">
        <is>
          <t>Pin 9V</t>
        </is>
      </c>
      <c r="F55" s="4" t="inlineStr">
        <is>
          <t>Ngoại nghiệp</t>
        </is>
      </c>
      <c r="G55" s="4" t="n">
        <v>250</v>
      </c>
      <c r="H55" s="4" t="n">
        <v>5</v>
      </c>
      <c r="I55" s="4" t="n">
        <v>4.8</v>
      </c>
      <c r="J55" s="4" t="n">
        <v>345.6</v>
      </c>
      <c r="K55" s="4" t="n">
        <v>150000000</v>
      </c>
      <c r="L55" s="4" t="inlineStr"/>
      <c r="M55" s="4" t="inlineStr"/>
      <c r="N55" s="4" t="inlineStr"/>
      <c r="O55" s="4">
        <f>ROUND(K55/(H55*G55), 0)</f>
        <v/>
      </c>
      <c r="P55" s="4">
        <f>ROUND((0.04*K55)/G55, 0)</f>
        <v/>
      </c>
      <c r="Q55" s="4">
        <f>ROUND(E55*8*2100, 0)</f>
        <v/>
      </c>
      <c r="R55" s="4">
        <f>O55+P55+Q55</f>
        <v/>
      </c>
      <c r="S55" s="4">
        <f>ROUND(I55*R55, 0)</f>
        <v/>
      </c>
      <c r="T55" s="4" t="inlineStr">
        <is>
          <t>Tra cứu nguyên giá trên Mua sắm công để tính khấu hao ca máy theo TT 45/2013 và TT 20/2017</t>
        </is>
      </c>
    </row>
    <row r="56">
      <c r="A56" s="5" t="n">
        <v>52</v>
      </c>
      <c r="B56" s="5" t="inlineStr">
        <is>
          <t>TB_052</t>
        </is>
      </c>
      <c r="C56" s="5" t="inlineStr">
        <is>
          <t>Thiết bị đo hiện số</t>
        </is>
      </c>
      <c r="D56" s="5" t="inlineStr">
        <is>
          <t>bộ</t>
        </is>
      </c>
      <c r="E56" s="5" t="inlineStr">
        <is>
          <t>Pin khô</t>
        </is>
      </c>
      <c r="F56" s="5" t="inlineStr">
        <is>
          <t>Ngoại nghiệp</t>
        </is>
      </c>
      <c r="G56" s="5" t="n">
        <v>250</v>
      </c>
      <c r="H56" s="5" t="n">
        <v>5</v>
      </c>
      <c r="I56" s="5" t="n">
        <v>13.52</v>
      </c>
      <c r="J56" s="5" t="n">
        <v>0</v>
      </c>
      <c r="K56" s="5" t="n">
        <v>150000000</v>
      </c>
      <c r="L56" s="5" t="inlineStr"/>
      <c r="M56" s="5" t="inlineStr"/>
      <c r="N56" s="5" t="inlineStr"/>
      <c r="O56" s="5">
        <f>ROUND(K56/(H56*G56), 0)</f>
        <v/>
      </c>
      <c r="P56" s="5">
        <f>ROUND((0.04*K56)/G56, 0)</f>
        <v/>
      </c>
      <c r="Q56" s="5">
        <f>ROUND(E56*8*2100, 0)</f>
        <v/>
      </c>
      <c r="R56" s="5">
        <f>O56+P56+Q56</f>
        <v/>
      </c>
      <c r="S56" s="5">
        <f>ROUND(I56*R56, 0)</f>
        <v/>
      </c>
      <c r="T56" s="5" t="inlineStr">
        <is>
          <t>Tra cứu nguyên giá trên Mua sắm công để tính khấu hao ca máy theo TT 45/2013 và TT 20/2017</t>
        </is>
      </c>
    </row>
    <row r="57">
      <c r="A57" s="4" t="n">
        <v>53</v>
      </c>
      <c r="B57" s="4" t="inlineStr">
        <is>
          <t>TB_053</t>
        </is>
      </c>
      <c r="C57" s="4" t="inlineStr">
        <is>
          <t>Thiết bị đo hiện số</t>
        </is>
      </c>
      <c r="D57" s="4" t="inlineStr">
        <is>
          <t>cái</t>
        </is>
      </c>
      <c r="E57" s="4" t="inlineStr">
        <is>
          <t>pin khô</t>
        </is>
      </c>
      <c r="F57" s="4" t="inlineStr">
        <is>
          <t>Nội nghiệp</t>
        </is>
      </c>
      <c r="G57" s="4" t="n">
        <v>500</v>
      </c>
      <c r="H57" s="4" t="n">
        <v>5</v>
      </c>
      <c r="I57" s="4" t="n">
        <v>6.4</v>
      </c>
      <c r="J57" s="4" t="n">
        <v>0</v>
      </c>
      <c r="K57" s="4" t="n">
        <v>150000000</v>
      </c>
      <c r="L57" s="4" t="inlineStr"/>
      <c r="M57" s="4" t="inlineStr"/>
      <c r="N57" s="4" t="inlineStr"/>
      <c r="O57" s="4">
        <f>ROUND(K57/(H57*G57), 0)</f>
        <v/>
      </c>
      <c r="P57" s="4">
        <f>ROUND((0.04*K57)/G57, 0)</f>
        <v/>
      </c>
      <c r="Q57" s="4">
        <f>ROUND(E57*8*2100, 0)</f>
        <v/>
      </c>
      <c r="R57" s="4">
        <f>O57+P57+Q57</f>
        <v/>
      </c>
      <c r="S57" s="4">
        <f>ROUND(I57*R57, 0)</f>
        <v/>
      </c>
      <c r="T57" s="4" t="inlineStr">
        <is>
          <t>Tra cứu nguyên giá trên Mua sắm công để tính khấu hao ca máy theo TT 45/2013 và TT 20/2017</t>
        </is>
      </c>
    </row>
    <row r="58">
      <c r="A58" s="5" t="n">
        <v>54</v>
      </c>
      <c r="B58" s="5" t="inlineStr">
        <is>
          <t>TB_054</t>
        </is>
      </c>
      <c r="C58" s="5" t="inlineStr">
        <is>
          <t>Thiết bị đo hiện số và lưu kết quả</t>
        </is>
      </c>
      <c r="D58" s="5" t="inlineStr">
        <is>
          <t>bộ</t>
        </is>
      </c>
      <c r="E58" s="5" t="inlineStr">
        <is>
          <t>Pin khô</t>
        </is>
      </c>
      <c r="F58" s="5" t="inlineStr">
        <is>
          <t>Ngoại nghiệp</t>
        </is>
      </c>
      <c r="G58" s="5" t="n">
        <v>200</v>
      </c>
      <c r="H58" s="5" t="n">
        <v>5</v>
      </c>
      <c r="I58" s="5" t="n">
        <v>100.76</v>
      </c>
      <c r="J58" s="5" t="n">
        <v>0</v>
      </c>
      <c r="K58" s="5" t="n">
        <v>150000000</v>
      </c>
      <c r="L58" s="5" t="inlineStr"/>
      <c r="M58" s="5" t="inlineStr"/>
      <c r="N58" s="5" t="inlineStr"/>
      <c r="O58" s="5">
        <f>ROUND(K58/(H58*G58), 0)</f>
        <v/>
      </c>
      <c r="P58" s="5">
        <f>ROUND((0.04*K58)/G58, 0)</f>
        <v/>
      </c>
      <c r="Q58" s="5">
        <f>ROUND(E58*8*2100, 0)</f>
        <v/>
      </c>
      <c r="R58" s="5">
        <f>O58+P58+Q58</f>
        <v/>
      </c>
      <c r="S58" s="5">
        <f>ROUND(I58*R58, 0)</f>
        <v/>
      </c>
      <c r="T58" s="5" t="inlineStr">
        <is>
          <t>Tra cứu nguyên giá trên Mua sắm công để tính khấu hao ca máy theo TT 45/2013 và TT 20/2017</t>
        </is>
      </c>
    </row>
    <row r="59">
      <c r="A59" s="4" t="n">
        <v>55</v>
      </c>
      <c r="B59" s="4" t="inlineStr">
        <is>
          <t>TB_055</t>
        </is>
      </c>
      <c r="C59" s="4" t="inlineStr">
        <is>
          <t>Thiết bị đo hiện số và lưu kết quả</t>
        </is>
      </c>
      <c r="D59" s="4" t="inlineStr">
        <is>
          <t>cái</t>
        </is>
      </c>
      <c r="E59" s="4" t="inlineStr">
        <is>
          <t>Pin khô</t>
        </is>
      </c>
      <c r="F59" s="4" t="inlineStr">
        <is>
          <t>Ngoại nghiệp</t>
        </is>
      </c>
      <c r="G59" s="4" t="n">
        <v>200</v>
      </c>
      <c r="H59" s="4" t="n">
        <v>5</v>
      </c>
      <c r="I59" s="4" t="n">
        <v>20.28</v>
      </c>
      <c r="J59" s="4" t="n">
        <v>0</v>
      </c>
      <c r="K59" s="4" t="n">
        <v>150000000</v>
      </c>
      <c r="L59" s="4" t="inlineStr"/>
      <c r="M59" s="4" t="inlineStr"/>
      <c r="N59" s="4" t="inlineStr"/>
      <c r="O59" s="4">
        <f>ROUND(K59/(H59*G59), 0)</f>
        <v/>
      </c>
      <c r="P59" s="4">
        <f>ROUND((0.04*K59)/G59, 0)</f>
        <v/>
      </c>
      <c r="Q59" s="4">
        <f>ROUND(E59*8*2100, 0)</f>
        <v/>
      </c>
      <c r="R59" s="4">
        <f>O59+P59+Q59</f>
        <v/>
      </c>
      <c r="S59" s="4">
        <f>ROUND(I59*R59, 0)</f>
        <v/>
      </c>
      <c r="T59" s="4" t="inlineStr">
        <is>
          <t>Tra cứu nguyên giá trên Mua sắm công để tính khấu hao ca máy theo TT 45/2013 và TT 20/2017</t>
        </is>
      </c>
    </row>
    <row r="60">
      <c r="A60" s="5" t="n">
        <v>56</v>
      </c>
      <c r="B60" s="5" t="inlineStr">
        <is>
          <t>TB_056</t>
        </is>
      </c>
      <c r="C60" s="5" t="inlineStr">
        <is>
          <t>Thiết bị đo tiếng ồn tích phân</t>
        </is>
      </c>
      <c r="D60" s="5" t="inlineStr">
        <is>
          <t>bộ</t>
        </is>
      </c>
      <c r="E60" s="5" t="inlineStr">
        <is>
          <t>Pin khô</t>
        </is>
      </c>
      <c r="F60" s="5" t="inlineStr">
        <is>
          <t>Ngoại nghiệp</t>
        </is>
      </c>
      <c r="G60" s="5" t="n">
        <v>250</v>
      </c>
      <c r="H60" s="5" t="n">
        <v>5</v>
      </c>
      <c r="I60" s="5" t="n">
        <v>5</v>
      </c>
      <c r="J60" s="5" t="n">
        <v>0</v>
      </c>
      <c r="K60" s="5" t="n">
        <v>150000000</v>
      </c>
      <c r="L60" s="5" t="inlineStr"/>
      <c r="M60" s="5" t="inlineStr"/>
      <c r="N60" s="5" t="inlineStr"/>
      <c r="O60" s="5">
        <f>ROUND(K60/(H60*G60), 0)</f>
        <v/>
      </c>
      <c r="P60" s="5">
        <f>ROUND((0.04*K60)/G60, 0)</f>
        <v/>
      </c>
      <c r="Q60" s="5">
        <f>ROUND(E60*8*2100, 0)</f>
        <v/>
      </c>
      <c r="R60" s="5">
        <f>O60+P60+Q60</f>
        <v/>
      </c>
      <c r="S60" s="5">
        <f>ROUND(I60*R60, 0)</f>
        <v/>
      </c>
      <c r="T60" s="5" t="inlineStr">
        <is>
          <t>Tra cứu nguyên giá trên Mua sắm công để tính khấu hao ca máy theo TT 45/2013 và TT 20/2017</t>
        </is>
      </c>
    </row>
    <row r="61">
      <c r="A61" s="4" t="n">
        <v>57</v>
      </c>
      <c r="B61" s="4" t="inlineStr">
        <is>
          <t>TB_057</t>
        </is>
      </c>
      <c r="C61" s="4" t="inlineStr">
        <is>
          <t>Thiết bị đo đa chỉ tiêu</t>
        </is>
      </c>
      <c r="D61" s="4" t="inlineStr">
        <is>
          <t>bộ</t>
        </is>
      </c>
      <c r="E61" s="4" t="inlineStr">
        <is>
          <t>pin khô</t>
        </is>
      </c>
      <c r="F61" s="4" t="inlineStr">
        <is>
          <t>Nội nghiệp</t>
        </is>
      </c>
      <c r="G61" s="4" t="n">
        <v>500</v>
      </c>
      <c r="H61" s="4" t="n">
        <v>5</v>
      </c>
      <c r="I61" s="4" t="n">
        <v>17.4</v>
      </c>
      <c r="J61" s="4" t="n">
        <v>0</v>
      </c>
      <c r="K61" s="4" t="n">
        <v>150000000</v>
      </c>
      <c r="L61" s="4" t="inlineStr"/>
      <c r="M61" s="4" t="inlineStr"/>
      <c r="N61" s="4" t="inlineStr"/>
      <c r="O61" s="4">
        <f>ROUND(K61/(H61*G61), 0)</f>
        <v/>
      </c>
      <c r="P61" s="4">
        <f>ROUND((0.04*K61)/G61, 0)</f>
        <v/>
      </c>
      <c r="Q61" s="4">
        <f>ROUND(E61*8*2100, 0)</f>
        <v/>
      </c>
      <c r="R61" s="4">
        <f>O61+P61+Q61</f>
        <v/>
      </c>
      <c r="S61" s="4">
        <f>ROUND(I61*R61, 0)</f>
        <v/>
      </c>
      <c r="T61" s="4" t="inlineStr">
        <is>
          <t>Tra cứu nguyên giá trên Mua sắm công để tính khấu hao ca máy theo TT 45/2013 và TT 20/2017</t>
        </is>
      </c>
    </row>
    <row r="62">
      <c r="A62" s="5" t="n">
        <v>58</v>
      </c>
      <c r="B62" s="5" t="inlineStr">
        <is>
          <t>TB_058</t>
        </is>
      </c>
      <c r="C62" s="5" t="inlineStr">
        <is>
          <t>Thiết bị đo độ rung</t>
        </is>
      </c>
      <c r="D62" s="5" t="inlineStr">
        <is>
          <t>bộ</t>
        </is>
      </c>
      <c r="E62" s="5" t="inlineStr"/>
      <c r="F62" s="5" t="inlineStr">
        <is>
          <t>Ngoại nghiệp</t>
        </is>
      </c>
      <c r="G62" s="5" t="n">
        <v>250</v>
      </c>
      <c r="H62" s="5" t="n">
        <v>5</v>
      </c>
      <c r="I62" s="5" t="n">
        <v>5</v>
      </c>
      <c r="J62" s="5" t="n">
        <v>0</v>
      </c>
      <c r="K62" s="5" t="n">
        <v>150000000</v>
      </c>
      <c r="L62" s="5" t="inlineStr"/>
      <c r="M62" s="5" t="inlineStr"/>
      <c r="N62" s="5" t="inlineStr"/>
      <c r="O62" s="5">
        <f>ROUND(K62/(H62*G62), 0)</f>
        <v/>
      </c>
      <c r="P62" s="5">
        <f>ROUND((0.04*K62)/G62, 0)</f>
        <v/>
      </c>
      <c r="Q62" s="5">
        <f>ROUND(E62*8*2100, 0)</f>
        <v/>
      </c>
      <c r="R62" s="5">
        <f>O62+P62+Q62</f>
        <v/>
      </c>
      <c r="S62" s="5">
        <f>ROUND(I62*R62, 0)</f>
        <v/>
      </c>
      <c r="T62" s="5" t="inlineStr">
        <is>
          <t>Tra cứu nguyên giá trên Mua sắm công để tính khấu hao ca máy theo TT 45/2013 và TT 20/2017</t>
        </is>
      </c>
    </row>
    <row r="63">
      <c r="A63" s="4" t="n">
        <v>59</v>
      </c>
      <c r="B63" s="4" t="inlineStr">
        <is>
          <t>TB_059</t>
        </is>
      </c>
      <c r="C63" s="4" t="inlineStr">
        <is>
          <t>Thiết bị định vị GPS</t>
        </is>
      </c>
      <c r="D63" s="4" t="inlineStr">
        <is>
          <t>bộ</t>
        </is>
      </c>
      <c r="E63" s="4" t="inlineStr">
        <is>
          <t>Pin khô</t>
        </is>
      </c>
      <c r="F63" s="4" t="inlineStr">
        <is>
          <t>Ngoại nghiệp</t>
        </is>
      </c>
      <c r="G63" s="4" t="n">
        <v>250</v>
      </c>
      <c r="H63" s="4" t="n">
        <v>5</v>
      </c>
      <c r="I63" s="4" t="n">
        <v>1.296</v>
      </c>
      <c r="J63" s="4" t="n">
        <v>0</v>
      </c>
      <c r="K63" s="4" t="n">
        <v>150000000</v>
      </c>
      <c r="L63" s="4" t="inlineStr"/>
      <c r="M63" s="4" t="inlineStr"/>
      <c r="N63" s="4" t="inlineStr"/>
      <c r="O63" s="4">
        <f>ROUND(K63/(H63*G63), 0)</f>
        <v/>
      </c>
      <c r="P63" s="4">
        <f>ROUND((0.04*K63)/G63, 0)</f>
        <v/>
      </c>
      <c r="Q63" s="4">
        <f>ROUND(E63*8*2100, 0)</f>
        <v/>
      </c>
      <c r="R63" s="4">
        <f>O63+P63+Q63</f>
        <v/>
      </c>
      <c r="S63" s="4">
        <f>ROUND(I63*R63, 0)</f>
        <v/>
      </c>
      <c r="T63" s="4" t="inlineStr">
        <is>
          <t>Tra cứu nguyên giá trên Mua sắm công để tính khấu hao ca máy theo TT 45/2013 và TT 20/2017</t>
        </is>
      </c>
    </row>
    <row r="64">
      <c r="A64" s="5" t="n">
        <v>60</v>
      </c>
      <c r="B64" s="5" t="inlineStr">
        <is>
          <t>TB_060</t>
        </is>
      </c>
      <c r="C64" s="5" t="inlineStr">
        <is>
          <t>Tủ bảo quản mẫu</t>
        </is>
      </c>
      <c r="D64" s="5" t="inlineStr">
        <is>
          <t>cái</t>
        </is>
      </c>
      <c r="E64" s="5" t="inlineStr">
        <is>
          <t>0,16</t>
        </is>
      </c>
      <c r="F64" s="5" t="inlineStr">
        <is>
          <t>Nội nghiệp</t>
        </is>
      </c>
      <c r="G64" s="5" t="n">
        <v>500</v>
      </c>
      <c r="H64" s="5" t="n">
        <v>5</v>
      </c>
      <c r="I64" s="5" t="n">
        <v>81.76000000000001</v>
      </c>
      <c r="J64" s="5" t="n">
        <v>104.65</v>
      </c>
      <c r="K64" s="5" t="n">
        <v>150000000</v>
      </c>
      <c r="L64" s="5" t="inlineStr"/>
      <c r="M64" s="5" t="inlineStr"/>
      <c r="N64" s="5" t="inlineStr"/>
      <c r="O64" s="5">
        <f>ROUND(K64/(H64*G64), 0)</f>
        <v/>
      </c>
      <c r="P64" s="5">
        <f>ROUND((0.04*K64)/G64, 0)</f>
        <v/>
      </c>
      <c r="Q64" s="5">
        <f>ROUND(E64*8*2100, 0)</f>
        <v/>
      </c>
      <c r="R64" s="5">
        <f>O64+P64+Q64</f>
        <v/>
      </c>
      <c r="S64" s="5">
        <f>ROUND(I64*R64, 0)</f>
        <v/>
      </c>
      <c r="T64" s="5" t="inlineStr">
        <is>
          <t>Tra cứu nguyên giá trên Mua sắm công để tính khấu hao ca máy theo TT 45/2013 và TT 20/2017</t>
        </is>
      </c>
    </row>
    <row r="65">
      <c r="A65" s="4" t="n">
        <v>61</v>
      </c>
      <c r="B65" s="4" t="inlineStr">
        <is>
          <t>TB_061</t>
        </is>
      </c>
      <c r="C65" s="4" t="inlineStr">
        <is>
          <t>Tủ bảo quản mẫu</t>
        </is>
      </c>
      <c r="D65" s="4" t="inlineStr">
        <is>
          <t>Cái</t>
        </is>
      </c>
      <c r="E65" s="4" t="inlineStr">
        <is>
          <t>0,16</t>
        </is>
      </c>
      <c r="F65" s="4" t="inlineStr">
        <is>
          <t>Nội nghiệp</t>
        </is>
      </c>
      <c r="G65" s="4" t="n">
        <v>500</v>
      </c>
      <c r="H65" s="4" t="n">
        <v>5</v>
      </c>
      <c r="I65" s="4" t="n">
        <v>2.72</v>
      </c>
      <c r="J65" s="4" t="n">
        <v>3.48</v>
      </c>
      <c r="K65" s="4" t="n">
        <v>150000000</v>
      </c>
      <c r="L65" s="4" t="inlineStr"/>
      <c r="M65" s="4" t="inlineStr"/>
      <c r="N65" s="4" t="inlineStr"/>
      <c r="O65" s="4">
        <f>ROUND(K65/(H65*G65), 0)</f>
        <v/>
      </c>
      <c r="P65" s="4">
        <f>ROUND((0.04*K65)/G65, 0)</f>
        <v/>
      </c>
      <c r="Q65" s="4">
        <f>ROUND(E65*8*2100, 0)</f>
        <v/>
      </c>
      <c r="R65" s="4">
        <f>O65+P65+Q65</f>
        <v/>
      </c>
      <c r="S65" s="4">
        <f>ROUND(I65*R65, 0)</f>
        <v/>
      </c>
      <c r="T65" s="4" t="inlineStr">
        <is>
          <t>Tra cứu nguyên giá trên Mua sắm công để tính khấu hao ca máy theo TT 45/2013 và TT 20/2017</t>
        </is>
      </c>
    </row>
    <row r="66">
      <c r="A66" s="5" t="n">
        <v>62</v>
      </c>
      <c r="B66" s="5" t="inlineStr">
        <is>
          <t>TB_062</t>
        </is>
      </c>
      <c r="C66" s="5" t="inlineStr">
        <is>
          <t>Tủ hút</t>
        </is>
      </c>
      <c r="D66" s="5" t="inlineStr">
        <is>
          <t>cái</t>
        </is>
      </c>
      <c r="E66" s="5" t="inlineStr">
        <is>
          <t>0,1</t>
        </is>
      </c>
      <c r="F66" s="5" t="inlineStr">
        <is>
          <t>Nội nghiệp</t>
        </is>
      </c>
      <c r="G66" s="5" t="n">
        <v>500</v>
      </c>
      <c r="H66" s="5" t="n">
        <v>5</v>
      </c>
      <c r="I66" s="5" t="n">
        <v>76</v>
      </c>
      <c r="J66" s="5" t="n">
        <v>60.8</v>
      </c>
      <c r="K66" s="5" t="n">
        <v>150000000</v>
      </c>
      <c r="L66" s="5" t="inlineStr"/>
      <c r="M66" s="5" t="inlineStr"/>
      <c r="N66" s="5" t="inlineStr"/>
      <c r="O66" s="5">
        <f>ROUND(K66/(H66*G66), 0)</f>
        <v/>
      </c>
      <c r="P66" s="5">
        <f>ROUND((0.04*K66)/G66, 0)</f>
        <v/>
      </c>
      <c r="Q66" s="5">
        <f>ROUND(E66*8*2100, 0)</f>
        <v/>
      </c>
      <c r="R66" s="5">
        <f>O66+P66+Q66</f>
        <v/>
      </c>
      <c r="S66" s="5">
        <f>ROUND(I66*R66, 0)</f>
        <v/>
      </c>
      <c r="T66" s="5" t="inlineStr">
        <is>
          <t>Tra cứu nguyên giá trên Mua sắm công để tính khấu hao ca máy theo TT 45/2013 và TT 20/2017</t>
        </is>
      </c>
    </row>
    <row r="67">
      <c r="A67" s="4" t="n">
        <v>63</v>
      </c>
      <c r="B67" s="4" t="inlineStr">
        <is>
          <t>TB_063</t>
        </is>
      </c>
      <c r="C67" s="4" t="inlineStr">
        <is>
          <t>Tủ lưu hóa chất</t>
        </is>
      </c>
      <c r="D67" s="4" t="inlineStr">
        <is>
          <t>cái</t>
        </is>
      </c>
      <c r="E67" s="4" t="inlineStr">
        <is>
          <t>0,16</t>
        </is>
      </c>
      <c r="F67" s="4" t="inlineStr">
        <is>
          <t>Nội nghiệp</t>
        </is>
      </c>
      <c r="G67" s="4" t="n">
        <v>500</v>
      </c>
      <c r="H67" s="4" t="n">
        <v>5</v>
      </c>
      <c r="I67" s="4" t="n">
        <v>236.16</v>
      </c>
      <c r="J67" s="4" t="n">
        <v>302.28</v>
      </c>
      <c r="K67" s="4" t="n">
        <v>150000000</v>
      </c>
      <c r="L67" s="4" t="inlineStr"/>
      <c r="M67" s="4" t="inlineStr"/>
      <c r="N67" s="4" t="inlineStr"/>
      <c r="O67" s="4">
        <f>ROUND(K67/(H67*G67), 0)</f>
        <v/>
      </c>
      <c r="P67" s="4">
        <f>ROUND((0.04*K67)/G67, 0)</f>
        <v/>
      </c>
      <c r="Q67" s="4">
        <f>ROUND(E67*8*2100, 0)</f>
        <v/>
      </c>
      <c r="R67" s="4">
        <f>O67+P67+Q67</f>
        <v/>
      </c>
      <c r="S67" s="4">
        <f>ROUND(I67*R67, 0)</f>
        <v/>
      </c>
      <c r="T67" s="4" t="inlineStr">
        <is>
          <t>Tra cứu nguyên giá trên Mua sắm công để tính khấu hao ca máy theo TT 45/2013 và TT 20/2017</t>
        </is>
      </c>
    </row>
    <row r="68">
      <c r="A68" s="5" t="n">
        <v>64</v>
      </c>
      <c r="B68" s="5" t="inlineStr">
        <is>
          <t>TB_064</t>
        </is>
      </c>
      <c r="C68" s="5" t="inlineStr">
        <is>
          <t>Tủ lưu hóa chất</t>
        </is>
      </c>
      <c r="D68" s="5" t="inlineStr">
        <is>
          <t>Cái</t>
        </is>
      </c>
      <c r="E68" s="5" t="inlineStr">
        <is>
          <t>0,16</t>
        </is>
      </c>
      <c r="F68" s="5" t="inlineStr">
        <is>
          <t>Nội nghiệp</t>
        </is>
      </c>
      <c r="G68" s="5" t="n">
        <v>500</v>
      </c>
      <c r="H68" s="5" t="n">
        <v>5</v>
      </c>
      <c r="I68" s="5" t="n">
        <v>12.8</v>
      </c>
      <c r="J68" s="5" t="n">
        <v>16.38</v>
      </c>
      <c r="K68" s="5" t="n">
        <v>150000000</v>
      </c>
      <c r="L68" s="5" t="inlineStr"/>
      <c r="M68" s="5" t="inlineStr"/>
      <c r="N68" s="5" t="inlineStr"/>
      <c r="O68" s="5">
        <f>ROUND(K68/(H68*G68), 0)</f>
        <v/>
      </c>
      <c r="P68" s="5">
        <f>ROUND((0.04*K68)/G68, 0)</f>
        <v/>
      </c>
      <c r="Q68" s="5">
        <f>ROUND(E68*8*2100, 0)</f>
        <v/>
      </c>
      <c r="R68" s="5">
        <f>O68+P68+Q68</f>
        <v/>
      </c>
      <c r="S68" s="5">
        <f>ROUND(I68*R68, 0)</f>
        <v/>
      </c>
      <c r="T68" s="5" t="inlineStr">
        <is>
          <t>Tra cứu nguyên giá trên Mua sắm công để tính khấu hao ca máy theo TT 45/2013 và TT 20/2017</t>
        </is>
      </c>
    </row>
    <row r="69">
      <c r="A69" s="4" t="n">
        <v>65</v>
      </c>
      <c r="B69" s="4" t="inlineStr">
        <is>
          <t>TB_065</t>
        </is>
      </c>
      <c r="C69" s="4" t="inlineStr">
        <is>
          <t>Tủ sấy</t>
        </is>
      </c>
      <c r="D69" s="4" t="inlineStr">
        <is>
          <t>cái</t>
        </is>
      </c>
      <c r="E69" s="4" t="inlineStr">
        <is>
          <t>0,3</t>
        </is>
      </c>
      <c r="F69" s="4" t="inlineStr">
        <is>
          <t>Nội nghiệp</t>
        </is>
      </c>
      <c r="G69" s="4" t="n">
        <v>500</v>
      </c>
      <c r="H69" s="4" t="n">
        <v>5</v>
      </c>
      <c r="I69" s="4" t="n">
        <v>219.68</v>
      </c>
      <c r="J69" s="4" t="n">
        <v>527.23</v>
      </c>
      <c r="K69" s="4" t="n">
        <v>85000000</v>
      </c>
      <c r="L69" s="4" t="inlineStr"/>
      <c r="M69" s="4" t="inlineStr"/>
      <c r="N69" s="4" t="inlineStr"/>
      <c r="O69" s="4">
        <f>ROUND(K69/(H69*G69), 0)</f>
        <v/>
      </c>
      <c r="P69" s="4">
        <f>ROUND((0.04*K69)/G69, 0)</f>
        <v/>
      </c>
      <c r="Q69" s="4">
        <f>ROUND(E69*8*2100, 0)</f>
        <v/>
      </c>
      <c r="R69" s="4">
        <f>O69+P69+Q69</f>
        <v/>
      </c>
      <c r="S69" s="4">
        <f>ROUND(I69*R69, 0)</f>
        <v/>
      </c>
      <c r="T69" s="4" t="inlineStr">
        <is>
          <t>Tra cứu nguyên giá trên Mua sắm công để tính khấu hao ca máy theo TT 45/2013 và TT 20/2017</t>
        </is>
      </c>
    </row>
    <row r="70">
      <c r="A70" s="5" t="n">
        <v>66</v>
      </c>
      <c r="B70" s="5" t="inlineStr">
        <is>
          <t>TB_066</t>
        </is>
      </c>
      <c r="C70" s="5" t="inlineStr">
        <is>
          <t>Tủ sấy</t>
        </is>
      </c>
      <c r="D70" s="5" t="inlineStr">
        <is>
          <t>Cái</t>
        </is>
      </c>
      <c r="E70" s="5" t="inlineStr">
        <is>
          <t>0,3</t>
        </is>
      </c>
      <c r="F70" s="5" t="inlineStr">
        <is>
          <t>Nội nghiệp</t>
        </is>
      </c>
      <c r="G70" s="5" t="n">
        <v>500</v>
      </c>
      <c r="H70" s="5" t="n">
        <v>5</v>
      </c>
      <c r="I70" s="5" t="n">
        <v>13</v>
      </c>
      <c r="J70" s="5" t="n">
        <v>31.2</v>
      </c>
      <c r="K70" s="5" t="n">
        <v>85000000</v>
      </c>
      <c r="L70" s="5" t="inlineStr"/>
      <c r="M70" s="5" t="inlineStr"/>
      <c r="N70" s="5" t="inlineStr"/>
      <c r="O70" s="5">
        <f>ROUND(K70/(H70*G70), 0)</f>
        <v/>
      </c>
      <c r="P70" s="5">
        <f>ROUND((0.04*K70)/G70, 0)</f>
        <v/>
      </c>
      <c r="Q70" s="5">
        <f>ROUND(E70*8*2100, 0)</f>
        <v/>
      </c>
      <c r="R70" s="5">
        <f>O70+P70+Q70</f>
        <v/>
      </c>
      <c r="S70" s="5">
        <f>ROUND(I70*R70, 0)</f>
        <v/>
      </c>
      <c r="T70" s="5" t="inlineStr">
        <is>
          <t>Tra cứu nguyên giá trên Mua sắm công để tính khấu hao ca máy theo TT 45/2013 và TT 20/2017</t>
        </is>
      </c>
    </row>
    <row r="71">
      <c r="A71" s="4" t="n">
        <v>67</v>
      </c>
      <c r="B71" s="4" t="inlineStr">
        <is>
          <t>TB_067</t>
        </is>
      </c>
      <c r="C71" s="4" t="inlineStr">
        <is>
          <t>Tủ sấy mẫu</t>
        </is>
      </c>
      <c r="D71" s="4" t="inlineStr">
        <is>
          <t>cái</t>
        </is>
      </c>
      <c r="E71" s="4" t="inlineStr">
        <is>
          <t>0,3</t>
        </is>
      </c>
      <c r="F71" s="4" t="inlineStr">
        <is>
          <t>Nội nghiệp</t>
        </is>
      </c>
      <c r="G71" s="4" t="n">
        <v>500</v>
      </c>
      <c r="H71" s="4" t="n">
        <v>5</v>
      </c>
      <c r="I71" s="4" t="n">
        <v>16</v>
      </c>
      <c r="J71" s="4" t="n">
        <v>38.4</v>
      </c>
      <c r="K71" s="4" t="n">
        <v>85000000</v>
      </c>
      <c r="L71" s="4" t="inlineStr"/>
      <c r="M71" s="4" t="inlineStr"/>
      <c r="N71" s="4" t="inlineStr"/>
      <c r="O71" s="4">
        <f>ROUND(K71/(H71*G71), 0)</f>
        <v/>
      </c>
      <c r="P71" s="4">
        <f>ROUND((0.04*K71)/G71, 0)</f>
        <v/>
      </c>
      <c r="Q71" s="4">
        <f>ROUND(E71*8*2100, 0)</f>
        <v/>
      </c>
      <c r="R71" s="4">
        <f>O71+P71+Q71</f>
        <v/>
      </c>
      <c r="S71" s="4">
        <f>ROUND(I71*R71, 0)</f>
        <v/>
      </c>
      <c r="T71" s="4" t="inlineStr">
        <is>
          <t>Tra cứu nguyên giá trên Mua sắm công để tính khấu hao ca máy theo TT 45/2013 và TT 20/2017</t>
        </is>
      </c>
    </row>
    <row r="72">
      <c r="A72" s="5" t="n">
        <v>68</v>
      </c>
      <c r="B72" s="5" t="inlineStr">
        <is>
          <t>TB_068</t>
        </is>
      </c>
      <c r="C72" s="5" t="inlineStr">
        <is>
          <t>Tủ ủ BOD</t>
        </is>
      </c>
      <c r="D72" s="5" t="inlineStr">
        <is>
          <t>cái</t>
        </is>
      </c>
      <c r="E72" s="5" t="inlineStr">
        <is>
          <t>0,8</t>
        </is>
      </c>
      <c r="F72" s="5" t="inlineStr">
        <is>
          <t>Nội nghiệp</t>
        </is>
      </c>
      <c r="G72" s="5" t="n">
        <v>500</v>
      </c>
      <c r="H72" s="5" t="n">
        <v>5</v>
      </c>
      <c r="I72" s="5" t="n">
        <v>4.8</v>
      </c>
      <c r="J72" s="5" t="n">
        <v>30.72</v>
      </c>
      <c r="K72" s="5" t="n">
        <v>150000000</v>
      </c>
      <c r="L72" s="5" t="inlineStr"/>
      <c r="M72" s="5" t="inlineStr"/>
      <c r="N72" s="5" t="inlineStr"/>
      <c r="O72" s="5">
        <f>ROUND(K72/(H72*G72), 0)</f>
        <v/>
      </c>
      <c r="P72" s="5">
        <f>ROUND((0.04*K72)/G72, 0)</f>
        <v/>
      </c>
      <c r="Q72" s="5">
        <f>ROUND(E72*8*2100, 0)</f>
        <v/>
      </c>
      <c r="R72" s="5">
        <f>O72+P72+Q72</f>
        <v/>
      </c>
      <c r="S72" s="5">
        <f>ROUND(I72*R72, 0)</f>
        <v/>
      </c>
      <c r="T72" s="5" t="inlineStr">
        <is>
          <t>Tra cứu nguyên giá trên Mua sắm công để tính khấu hao ca máy theo TT 45/2013 và TT 20/2017</t>
        </is>
      </c>
    </row>
    <row r="73">
      <c r="A73" s="4" t="n">
        <v>69</v>
      </c>
      <c r="B73" s="4" t="inlineStr">
        <is>
          <t>TB_069</t>
        </is>
      </c>
      <c r="C73" s="4" t="inlineStr">
        <is>
          <t>Điện</t>
        </is>
      </c>
      <c r="D73" s="4" t="inlineStr">
        <is>
          <t>kw</t>
        </is>
      </c>
      <c r="E73" s="4" t="inlineStr"/>
      <c r="F73" s="4" t="inlineStr">
        <is>
          <t>Nội nghiệp</t>
        </is>
      </c>
      <c r="G73" s="4" t="n">
        <v>500</v>
      </c>
      <c r="H73" s="4" t="n">
        <v>5</v>
      </c>
      <c r="I73" s="4" t="n">
        <v>187.44</v>
      </c>
      <c r="J73" s="4" t="n">
        <v>0</v>
      </c>
      <c r="K73" s="4" t="n">
        <v>150000000</v>
      </c>
      <c r="L73" s="4" t="inlineStr"/>
      <c r="M73" s="4" t="inlineStr"/>
      <c r="N73" s="4" t="inlineStr"/>
      <c r="O73" s="4">
        <f>ROUND(K73/(H73*G73), 0)</f>
        <v/>
      </c>
      <c r="P73" s="4">
        <f>ROUND((0.04*K73)/G73, 0)</f>
        <v/>
      </c>
      <c r="Q73" s="4">
        <f>ROUND(E73*8*2100, 0)</f>
        <v/>
      </c>
      <c r="R73" s="4">
        <f>O73+P73+Q73</f>
        <v/>
      </c>
      <c r="S73" s="4">
        <f>ROUND(I73*R73, 0)</f>
        <v/>
      </c>
      <c r="T73" s="4" t="inlineStr">
        <is>
          <t>Tra cứu nguyên giá trên Mua sắm công để tính khấu hao ca máy theo TT 45/2013 và TT 20/2017</t>
        </is>
      </c>
    </row>
    <row r="74">
      <c r="A74" s="5" t="n">
        <v>70</v>
      </c>
      <c r="B74" s="5" t="inlineStr">
        <is>
          <t>TB_070</t>
        </is>
      </c>
      <c r="C74" s="5" t="inlineStr">
        <is>
          <t>Điện năng</t>
        </is>
      </c>
      <c r="D74" s="5" t="inlineStr">
        <is>
          <t>kw</t>
        </is>
      </c>
      <c r="E74" s="5" t="inlineStr"/>
      <c r="F74" s="5" t="inlineStr">
        <is>
          <t>Nội nghiệp</t>
        </is>
      </c>
      <c r="G74" s="5" t="n">
        <v>500</v>
      </c>
      <c r="H74" s="5" t="n">
        <v>5</v>
      </c>
      <c r="I74" s="5" t="n">
        <v>10552.912</v>
      </c>
      <c r="J74" s="5" t="n">
        <v>3381.03</v>
      </c>
      <c r="K74" s="5" t="n">
        <v>150000000</v>
      </c>
      <c r="L74" s="5" t="inlineStr"/>
      <c r="M74" s="5" t="inlineStr"/>
      <c r="N74" s="5" t="inlineStr"/>
      <c r="O74" s="5">
        <f>ROUND(K74/(H74*G74), 0)</f>
        <v/>
      </c>
      <c r="P74" s="5">
        <f>ROUND((0.04*K74)/G74, 0)</f>
        <v/>
      </c>
      <c r="Q74" s="5">
        <f>ROUND(E74*8*2100, 0)</f>
        <v/>
      </c>
      <c r="R74" s="5">
        <f>O74+P74+Q74</f>
        <v/>
      </c>
      <c r="S74" s="5">
        <f>ROUND(I74*R74, 0)</f>
        <v/>
      </c>
      <c r="T74" s="5" t="inlineStr">
        <is>
          <t>Tra cứu nguyên giá trên Mua sắm công để tính khấu hao ca máy theo TT 45/2013 và TT 20/2017</t>
        </is>
      </c>
    </row>
    <row r="75">
      <c r="A75" s="4" t="n">
        <v>71</v>
      </c>
      <c r="B75" s="4" t="inlineStr">
        <is>
          <t>TB_071</t>
        </is>
      </c>
      <c r="C75" s="4" t="inlineStr">
        <is>
          <t>Điện năng</t>
        </is>
      </c>
      <c r="D75" s="4" t="inlineStr">
        <is>
          <t>Kw</t>
        </is>
      </c>
      <c r="E75" s="4" t="inlineStr"/>
      <c r="F75" s="4" t="inlineStr">
        <is>
          <t>Nội nghiệp</t>
        </is>
      </c>
      <c r="G75" s="4" t="n">
        <v>500</v>
      </c>
      <c r="H75" s="4" t="n">
        <v>5</v>
      </c>
      <c r="I75" s="4" t="n">
        <v>1454.76</v>
      </c>
      <c r="J75" s="4" t="n">
        <v>0</v>
      </c>
      <c r="K75" s="4" t="n">
        <v>150000000</v>
      </c>
      <c r="L75" s="4" t="inlineStr"/>
      <c r="M75" s="4" t="inlineStr"/>
      <c r="N75" s="4" t="inlineStr"/>
      <c r="O75" s="4">
        <f>ROUND(K75/(H75*G75), 0)</f>
        <v/>
      </c>
      <c r="P75" s="4">
        <f>ROUND((0.04*K75)/G75, 0)</f>
        <v/>
      </c>
      <c r="Q75" s="4">
        <f>ROUND(E75*8*2100, 0)</f>
        <v/>
      </c>
      <c r="R75" s="4">
        <f>O75+P75+Q75</f>
        <v/>
      </c>
      <c r="S75" s="4">
        <f>ROUND(I75*R75, 0)</f>
        <v/>
      </c>
      <c r="T75" s="4" t="inlineStr">
        <is>
          <t>Tra cứu nguyên giá trên Mua sắm công để tính khấu hao ca máy theo TT 45/2013 và TT 20/2017</t>
        </is>
      </c>
    </row>
    <row r="76">
      <c r="A76" s="5" t="n">
        <v>72</v>
      </c>
      <c r="B76" s="5" t="inlineStr">
        <is>
          <t>TB_072</t>
        </is>
      </c>
      <c r="C76" s="5" t="inlineStr">
        <is>
          <t>Đầu đo nhiệt độ</t>
        </is>
      </c>
      <c r="D76" s="5" t="inlineStr">
        <is>
          <t>Bộ</t>
        </is>
      </c>
      <c r="E76" s="5" t="inlineStr"/>
      <c r="F76" s="5" t="inlineStr">
        <is>
          <t>Ngoại nghiệp</t>
        </is>
      </c>
      <c r="G76" s="5" t="n">
        <v>250</v>
      </c>
      <c r="H76" s="5" t="n">
        <v>5</v>
      </c>
      <c r="I76" s="5" t="n">
        <v>8.4</v>
      </c>
      <c r="J76" s="5" t="n">
        <v>0</v>
      </c>
      <c r="K76" s="5" t="n">
        <v>150000000</v>
      </c>
      <c r="L76" s="5" t="inlineStr"/>
      <c r="M76" s="5" t="inlineStr"/>
      <c r="N76" s="5" t="inlineStr"/>
      <c r="O76" s="5">
        <f>ROUND(K76/(H76*G76), 0)</f>
        <v/>
      </c>
      <c r="P76" s="5">
        <f>ROUND((0.04*K76)/G76, 0)</f>
        <v/>
      </c>
      <c r="Q76" s="5">
        <f>ROUND(E76*8*2100, 0)</f>
        <v/>
      </c>
      <c r="R76" s="5">
        <f>O76+P76+Q76</f>
        <v/>
      </c>
      <c r="S76" s="5">
        <f>ROUND(I76*R76, 0)</f>
        <v/>
      </c>
      <c r="T76" s="5" t="inlineStr">
        <is>
          <t>Tra cứu nguyên giá trên Mua sắm công để tính khấu hao ca máy theo TT 45/2013 và TT 20/2017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2026-10-29T02:05:49Z</dcterms:created>
  <dcterms:modified xmlns:dcterms="http://purl.org/dc/terms/" xmlns:xsi="http://www.w3.org/2001/XMLSchema-instance" xsi:type="dcterms:W3CDTF">2026-10-29T02:05:50Z</dcterms:modified>
</cp:coreProperties>
</file>