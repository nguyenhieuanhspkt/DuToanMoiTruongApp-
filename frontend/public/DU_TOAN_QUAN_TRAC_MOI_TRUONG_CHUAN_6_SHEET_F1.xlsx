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M_DinhMuc_TT20" sheetId="1" state="visible" r:id="rId1"/>
    <sheet xmlns:r="http://schemas.openxmlformats.org/officeDocument/2006/relationships" name="DM_GiaVatTu" sheetId="2" state="visible" r:id="rId2"/>
    <sheet xmlns:r="http://schemas.openxmlformats.org/officeDocument/2006/relationships" name="DuToan" sheetId="3" state="visible" r:id="rId3"/>
    <sheet xmlns:r="http://schemas.openxmlformats.org/officeDocument/2006/relationships" name="Chiettinh" sheetId="4" state="visible" r:id="rId4"/>
    <sheet xmlns:r="http://schemas.openxmlformats.org/officeDocument/2006/relationships" name="TongHop_KinhPhi" sheetId="5" state="visible" r:id="rId5"/>
    <sheet xmlns:r="http://schemas.openxmlformats.org/officeDocument/2006/relationships" name="DM_GiaTruong_BaoGia"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0"/>
    </font>
    <font>
      <name val="Calibri"/>
      <b val="1"/>
      <sz val="10"/>
    </font>
  </fonts>
  <fills count="7">
    <fill>
      <patternFill/>
    </fill>
    <fill>
      <patternFill patternType="gray125"/>
    </fill>
    <fill>
      <patternFill patternType="solid">
        <fgColor rgb="001E40AF"/>
        <bgColor rgb="001E40AF"/>
      </patternFill>
    </fill>
    <fill>
      <patternFill patternType="solid">
        <fgColor rgb="00F8FAFC"/>
        <bgColor rgb="00F8FAFC"/>
      </patternFill>
    </fill>
    <fill>
      <patternFill patternType="solid">
        <fgColor rgb="006D28D9"/>
        <bgColor rgb="006D28D9"/>
      </patternFill>
    </fill>
    <fill>
      <patternFill patternType="solid">
        <fgColor rgb="00FEF3C7"/>
        <bgColor rgb="00FEF3C7"/>
      </patternFill>
    </fill>
    <fill>
      <patternFill patternType="solid">
        <fgColor rgb="00047857"/>
        <bgColor rgb="0004785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0" fontId="0" fillId="3" borderId="1" pivotButton="0" quotePrefix="0" xfId="0"/>
    <xf numFmtId="0" fontId="1" fillId="4" borderId="0" applyAlignment="1" pivotButton="0" quotePrefix="0" xfId="0">
      <alignment horizontal="center" vertical="center" wrapText="1"/>
    </xf>
    <xf numFmtId="0" fontId="1" fillId="6" borderId="0" applyAlignment="1" pivotButton="0" quotePrefix="0" xfId="0">
      <alignment horizontal="center" vertical="center" wrapText="1"/>
    </xf>
    <xf numFmtId="0" fontId="2" fillId="5" borderId="1" pivotButton="0" quotePrefix="0" xfId="0"/>
    <xf numFmtId="3" fontId="0" fillId="0" borderId="1" pivotButton="0" quotePrefix="0" xfId="0"/>
    <xf numFmtId="10" fontId="0" fillId="0" borderId="1" pivotButton="0" quotePrefix="0" xfId="0"/>
    <xf numFmtId="3" fontId="0" fillId="3" borderId="1" pivotButton="0" quotePrefix="0" xfId="0"/>
    <xf numFmtId="10" fontId="0" fillId="3" borderId="1" pivotButton="0" quotePrefix="0" xfId="0"/>
    <xf numFmtId="3" fontId="2" fillId="5" borderId="1" pivotButton="0" quotePrefix="0" xfId="0"/>
    <xf numFmtId="10" fontId="2" fillId="5"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57"/>
  <sheetViews>
    <sheetView workbookViewId="0">
      <selection activeCell="A1" sqref="A1"/>
    </sheetView>
  </sheetViews>
  <sheetFormatPr baseColWidth="8" defaultRowHeight="15"/>
  <cols>
    <col width="45" customWidth="1" min="1" max="1"/>
    <col width="15" customWidth="1" min="2" max="2"/>
    <col width="45" customWidth="1" min="3" max="3"/>
    <col width="28" customWidth="1" min="4" max="4"/>
    <col width="18" customWidth="1" min="5" max="5"/>
    <col width="27" customWidth="1" min="6" max="6"/>
    <col width="35" customWidth="1" min="7" max="7"/>
    <col width="25" customWidth="1" min="8" max="8"/>
    <col width="24" customWidth="1" min="9" max="9"/>
  </cols>
  <sheetData>
    <row r="1">
      <c r="A1" t="inlineStr">
        <is>
          <t>CƠ SỞ DỮ LIỆU ĐỊNH MỨC KINH TẾ - KỸ THUẬT GỐC THEO THÔNG TƯ 20/2017/TT-BTNMT</t>
        </is>
      </c>
    </row>
    <row r="2">
      <c r="A2" t="inlineStr">
        <is>
          <t>(Nguồn chuẩn để các Sheet Dự toán và Chiết tính tự động tra cứu bằng hàm XLOOKUP)</t>
        </is>
      </c>
    </row>
    <row r="3"/>
    <row r="4">
      <c r="A4" s="1" t="inlineStr">
        <is>
          <t>STT</t>
        </is>
      </c>
      <c r="B4" s="1" t="inlineStr">
        <is>
          <t>Mã hiệu TT20</t>
        </is>
      </c>
      <c r="C4" s="1" t="inlineStr">
        <is>
          <t>Tên thông số &amp; Công đoạn</t>
        </is>
      </c>
      <c r="D4" s="1" t="inlineStr">
        <is>
          <t>Phân loại</t>
        </is>
      </c>
      <c r="E4" s="1" t="inlineStr">
        <is>
          <t>ĐVT</t>
        </is>
      </c>
      <c r="F4" s="1" t="inlineStr">
        <is>
          <t>Hao phí Ngày công (H_NC)</t>
        </is>
      </c>
      <c r="G4" s="1" t="inlineStr">
        <is>
          <t>Hao phí Vật liệu/Hóa chất (H_VL)</t>
        </is>
      </c>
      <c r="H4" s="1" t="inlineStr">
        <is>
          <t>Hao phí Dụng cụ (H_DC)</t>
        </is>
      </c>
      <c r="I4" s="1" t="inlineStr">
        <is>
          <t>Hao phí Ca máy (H_TB)</t>
        </is>
      </c>
    </row>
    <row r="5">
      <c r="A5" s="2" t="n">
        <v>1</v>
      </c>
      <c r="B5" s="2" t="inlineStr">
        <is>
          <t>KK1a</t>
        </is>
      </c>
      <c r="C5" s="2" t="inlineStr">
        <is>
          <t>Nhiệt độ (Giám sát không khí xung quanh)</t>
        </is>
      </c>
      <c r="D5" s="2" t="inlineStr">
        <is>
          <t>Ngoại nghiệp + Nội nghiệp</t>
        </is>
      </c>
      <c r="E5" s="2" t="inlineStr">
        <is>
          <t>0C</t>
        </is>
      </c>
      <c r="F5" s="2" t="n">
        <v>0.8</v>
      </c>
      <c r="G5" s="2" t="n">
        <v>250000</v>
      </c>
      <c r="H5" s="2" t="n">
        <v>35000</v>
      </c>
      <c r="I5" s="2" t="n">
        <v>120000</v>
      </c>
    </row>
    <row r="6">
      <c r="A6" s="3" t="n">
        <v>2</v>
      </c>
      <c r="B6" s="3" t="inlineStr">
        <is>
          <t>KK1b</t>
        </is>
      </c>
      <c r="C6" s="3" t="inlineStr">
        <is>
          <t>Độ ẩm (Giám sát không khí xung quanh)</t>
        </is>
      </c>
      <c r="D6" s="3" t="inlineStr">
        <is>
          <t>Ngoại nghiệp + Nội nghiệp</t>
        </is>
      </c>
      <c r="E6" s="3" t="inlineStr">
        <is>
          <t>%</t>
        </is>
      </c>
      <c r="F6" s="3" t="n">
        <v>0.8</v>
      </c>
      <c r="G6" s="3" t="n">
        <v>250000</v>
      </c>
      <c r="H6" s="3" t="n">
        <v>35000</v>
      </c>
      <c r="I6" s="3" t="n">
        <v>120000</v>
      </c>
    </row>
    <row r="7">
      <c r="A7" s="2" t="n">
        <v>3</v>
      </c>
      <c r="B7" s="2" t="inlineStr">
        <is>
          <t>KK2b</t>
        </is>
      </c>
      <c r="C7" s="2" t="inlineStr">
        <is>
          <t>Hướng gió (Giám sát không khí xung quanh)</t>
        </is>
      </c>
      <c r="D7" s="2" t="inlineStr">
        <is>
          <t>Ngoại nghiệp + Nội nghiệp</t>
        </is>
      </c>
      <c r="E7" s="2" t="inlineStr">
        <is>
          <t>-</t>
        </is>
      </c>
      <c r="F7" s="2" t="n">
        <v>0.8</v>
      </c>
      <c r="G7" s="2" t="n">
        <v>250000</v>
      </c>
      <c r="H7" s="2" t="n">
        <v>35000</v>
      </c>
      <c r="I7" s="2" t="n">
        <v>120000</v>
      </c>
    </row>
    <row r="8">
      <c r="A8" s="3" t="n">
        <v>4</v>
      </c>
      <c r="B8" s="3" t="inlineStr">
        <is>
          <t>KK2a</t>
        </is>
      </c>
      <c r="C8" s="3" t="inlineStr">
        <is>
          <t>Tốc độ gió (Giám sát không khí xung quanh)</t>
        </is>
      </c>
      <c r="D8" s="3" t="inlineStr">
        <is>
          <t>Ngoại nghiệp + Nội nghiệp</t>
        </is>
      </c>
      <c r="E8" s="3" t="inlineStr">
        <is>
          <t>m/s</t>
        </is>
      </c>
      <c r="F8" s="3" t="n">
        <v>0.8</v>
      </c>
      <c r="G8" s="3" t="n">
        <v>250000</v>
      </c>
      <c r="H8" s="3" t="n">
        <v>35000</v>
      </c>
      <c r="I8" s="3" t="n">
        <v>120000</v>
      </c>
    </row>
    <row r="9">
      <c r="A9" s="2" t="n">
        <v>5</v>
      </c>
      <c r="B9" s="2" t="inlineStr">
        <is>
          <t>TO1a</t>
        </is>
      </c>
      <c r="C9" s="2" t="inlineStr">
        <is>
          <t>Tiếng ồn (Giám sát không khí xung quanh)</t>
        </is>
      </c>
      <c r="D9" s="2" t="inlineStr">
        <is>
          <t>Ngoại nghiệp + Nội nghiệp</t>
        </is>
      </c>
      <c r="E9" s="2" t="inlineStr">
        <is>
          <t>dBA</t>
        </is>
      </c>
      <c r="F9" s="2" t="n">
        <v>0.8</v>
      </c>
      <c r="G9" s="2" t="n">
        <v>250000</v>
      </c>
      <c r="H9" s="2" t="n">
        <v>35000</v>
      </c>
      <c r="I9" s="2" t="n">
        <v>120000</v>
      </c>
    </row>
    <row r="10">
      <c r="A10" s="3" t="n">
        <v>6</v>
      </c>
      <c r="B10" s="3" t="inlineStr">
        <is>
          <t>ĐR01</t>
        </is>
      </c>
      <c r="C10" s="3" t="inlineStr">
        <is>
          <t>Độ rung (Giám sát không khí xung quanh)</t>
        </is>
      </c>
      <c r="D10" s="3" t="inlineStr">
        <is>
          <t>Ngoại nghiệp + Nội nghiệp</t>
        </is>
      </c>
      <c r="E10" s="3" t="inlineStr">
        <is>
          <t>dB</t>
        </is>
      </c>
      <c r="F10" s="3" t="n">
        <v>0.8</v>
      </c>
      <c r="G10" s="3" t="n">
        <v>250000</v>
      </c>
      <c r="H10" s="3" t="n">
        <v>35000</v>
      </c>
      <c r="I10" s="3" t="n">
        <v>120000</v>
      </c>
    </row>
    <row r="11">
      <c r="A11" s="2" t="n">
        <v>7</v>
      </c>
      <c r="B11" s="2" t="inlineStr">
        <is>
          <t>KK4a</t>
        </is>
      </c>
      <c r="C11" s="2" t="inlineStr">
        <is>
          <t>Tổng bụi lơ lửng (Giám sát không khí xung quanh)</t>
        </is>
      </c>
      <c r="D11" s="2" t="inlineStr">
        <is>
          <t>Ngoại nghiệp + Nội nghiệp</t>
        </is>
      </c>
      <c r="E11" s="2" t="inlineStr">
        <is>
          <t>µg/Nm3</t>
        </is>
      </c>
      <c r="F11" s="2" t="n">
        <v>0.8</v>
      </c>
      <c r="G11" s="2" t="n">
        <v>250000</v>
      </c>
      <c r="H11" s="2" t="n">
        <v>35000</v>
      </c>
      <c r="I11" s="2" t="n">
        <v>120000</v>
      </c>
    </row>
    <row r="12">
      <c r="A12" s="3" t="n">
        <v>8</v>
      </c>
      <c r="B12" s="3" t="inlineStr">
        <is>
          <t>KK4c</t>
        </is>
      </c>
      <c r="C12" s="3" t="inlineStr">
        <is>
          <t>Bụi PM10 (Giám sát không khí xung quanh)</t>
        </is>
      </c>
      <c r="D12" s="3" t="inlineStr">
        <is>
          <t>Ngoại nghiệp + Nội nghiệp</t>
        </is>
      </c>
      <c r="E12" s="3" t="inlineStr">
        <is>
          <t>µg/Nm3</t>
        </is>
      </c>
      <c r="F12" s="3" t="n">
        <v>0.8</v>
      </c>
      <c r="G12" s="3" t="n">
        <v>250000</v>
      </c>
      <c r="H12" s="3" t="n">
        <v>35000</v>
      </c>
      <c r="I12" s="3" t="n">
        <v>120000</v>
      </c>
    </row>
    <row r="13">
      <c r="A13" s="2" t="n">
        <v>9</v>
      </c>
      <c r="B13" s="2" t="inlineStr">
        <is>
          <t>KK7</t>
        </is>
      </c>
      <c r="C13" s="2" t="inlineStr">
        <is>
          <t>SO 2 (Giám sát không khí xung quanh)</t>
        </is>
      </c>
      <c r="D13" s="2" t="inlineStr">
        <is>
          <t>Ngoại nghiệp + Nội nghiệp</t>
        </is>
      </c>
      <c r="E13" s="2" t="inlineStr">
        <is>
          <t>µg/Nm3</t>
        </is>
      </c>
      <c r="F13" s="2" t="n">
        <v>0.8</v>
      </c>
      <c r="G13" s="2" t="n">
        <v>250000</v>
      </c>
      <c r="H13" s="2" t="n">
        <v>35000</v>
      </c>
      <c r="I13" s="2" t="n">
        <v>120000</v>
      </c>
    </row>
    <row r="14">
      <c r="A14" s="3" t="n">
        <v>10</v>
      </c>
      <c r="B14" s="3" t="inlineStr">
        <is>
          <t>KK6</t>
        </is>
      </c>
      <c r="C14" s="3" t="inlineStr">
        <is>
          <t>NO 2 (Giám sát không khí xung quanh)</t>
        </is>
      </c>
      <c r="D14" s="3" t="inlineStr">
        <is>
          <t>Ngoại nghiệp + Nội nghiệp</t>
        </is>
      </c>
      <c r="E14" s="3" t="inlineStr">
        <is>
          <t>µg/Nm3</t>
        </is>
      </c>
      <c r="F14" s="3" t="n">
        <v>0.8</v>
      </c>
      <c r="G14" s="3" t="n">
        <v>250000</v>
      </c>
      <c r="H14" s="3" t="n">
        <v>35000</v>
      </c>
      <c r="I14" s="3" t="n">
        <v>120000</v>
      </c>
    </row>
    <row r="15">
      <c r="A15" s="2" t="n">
        <v>11</v>
      </c>
      <c r="B15" s="2" t="inlineStr">
        <is>
          <t>KK5a</t>
        </is>
      </c>
      <c r="C15" s="2" t="inlineStr">
        <is>
          <t>CO (Giám sát không khí xung quanh)</t>
        </is>
      </c>
      <c r="D15" s="2" t="inlineStr">
        <is>
          <t>Ngoại nghiệp + Nội nghiệp</t>
        </is>
      </c>
      <c r="E15" s="2" t="inlineStr">
        <is>
          <t>µg/Nm3</t>
        </is>
      </c>
      <c r="F15" s="2" t="n">
        <v>0.8</v>
      </c>
      <c r="G15" s="2" t="n">
        <v>250000</v>
      </c>
      <c r="H15" s="2" t="n">
        <v>35000</v>
      </c>
      <c r="I15" s="2" t="n">
        <v>120000</v>
      </c>
    </row>
    <row r="16">
      <c r="A16" s="3" t="n">
        <v>12</v>
      </c>
      <c r="B16" s="3" t="inlineStr">
        <is>
          <t>NT5b</t>
        </is>
      </c>
      <c r="C16" s="3" t="inlineStr">
        <is>
          <t>COD (Nước thải kênh thoát nước làm mát chung)</t>
        </is>
      </c>
      <c r="D16" s="3" t="inlineStr">
        <is>
          <t>Ngoại nghiệp + Nội nghiệp</t>
        </is>
      </c>
      <c r="E16" s="3" t="inlineStr">
        <is>
          <t>mg/l</t>
        </is>
      </c>
      <c r="F16" s="3" t="n">
        <v>0.8</v>
      </c>
      <c r="G16" s="3" t="n">
        <v>250000</v>
      </c>
      <c r="H16" s="3" t="n">
        <v>35000</v>
      </c>
      <c r="I16" s="3" t="n">
        <v>120000</v>
      </c>
    </row>
    <row r="17">
      <c r="A17" s="2" t="n">
        <v>13</v>
      </c>
      <c r="B17" s="2" t="inlineStr">
        <is>
          <t>NT6</t>
        </is>
      </c>
      <c r="C17" s="2" t="inlineStr">
        <is>
          <t>TSS (Nước thải kênh thoát nước làm mát chung)</t>
        </is>
      </c>
      <c r="D17" s="2" t="inlineStr">
        <is>
          <t>Ngoại nghiệp + Nội nghiệp</t>
        </is>
      </c>
      <c r="E17" s="2" t="inlineStr">
        <is>
          <t>mg/l</t>
        </is>
      </c>
      <c r="F17" s="2" t="n">
        <v>0.8</v>
      </c>
      <c r="G17" s="2" t="n">
        <v>250000</v>
      </c>
      <c r="H17" s="2" t="n">
        <v>35000</v>
      </c>
      <c r="I17" s="2" t="n">
        <v>120000</v>
      </c>
    </row>
    <row r="18">
      <c r="A18" s="3" t="n">
        <v>14</v>
      </c>
      <c r="B18" s="3" t="inlineStr">
        <is>
          <t>NT2</t>
        </is>
      </c>
      <c r="C18" s="3" t="inlineStr">
        <is>
          <t>Photphat (PO 3- 4 tính theo Nitơ) (Nước thải kênh thoát nước làm mát chung)</t>
        </is>
      </c>
      <c r="D18" s="3" t="inlineStr">
        <is>
          <t>Ngoại nghiệp + Nội nghiệp</t>
        </is>
      </c>
      <c r="E18" s="3" t="inlineStr">
        <is>
          <t>mg/l</t>
        </is>
      </c>
      <c r="F18" s="3" t="n">
        <v>0.8</v>
      </c>
      <c r="G18" s="3" t="n">
        <v>250000</v>
      </c>
      <c r="H18" s="3" t="n">
        <v>35000</v>
      </c>
      <c r="I18" s="3" t="n">
        <v>120000</v>
      </c>
    </row>
    <row r="19">
      <c r="A19" s="2" t="n">
        <v>15</v>
      </c>
      <c r="B19" s="2" t="inlineStr">
        <is>
          <t>NT10h</t>
        </is>
      </c>
      <c r="C19" s="2" t="inlineStr">
        <is>
          <t>Fluoride (Nước thải kênh thoát nước làm mát chung)</t>
        </is>
      </c>
      <c r="D19" s="2" t="inlineStr">
        <is>
          <t>Ngoại nghiệp + Nội nghiệp</t>
        </is>
      </c>
      <c r="E19" s="2" t="inlineStr">
        <is>
          <t>mg/l</t>
        </is>
      </c>
      <c r="F19" s="2" t="n">
        <v>0.8</v>
      </c>
      <c r="G19" s="2" t="n">
        <v>250000</v>
      </c>
      <c r="H19" s="2" t="n">
        <v>35000</v>
      </c>
      <c r="I19" s="2" t="n">
        <v>120000</v>
      </c>
    </row>
    <row r="20">
      <c r="A20" s="3" t="n">
        <v>16</v>
      </c>
      <c r="B20" s="3" t="inlineStr">
        <is>
          <t>NT10l1</t>
        </is>
      </c>
      <c r="C20" s="3" t="inlineStr">
        <is>
          <t>Asen (Nước thải kênh thoát nước làm mát chung)</t>
        </is>
      </c>
      <c r="D20" s="3" t="inlineStr">
        <is>
          <t>Ngoại nghiệp + Nội nghiệp</t>
        </is>
      </c>
      <c r="E20" s="3" t="inlineStr">
        <is>
          <t>mg/l</t>
        </is>
      </c>
      <c r="F20" s="3" t="n">
        <v>0.8</v>
      </c>
      <c r="G20" s="3" t="n">
        <v>250000</v>
      </c>
      <c r="H20" s="3" t="n">
        <v>35000</v>
      </c>
      <c r="I20" s="3" t="n">
        <v>120000</v>
      </c>
    </row>
    <row r="21">
      <c r="A21" s="2" t="n">
        <v>17</v>
      </c>
      <c r="B21" s="2" t="inlineStr">
        <is>
          <t>NT10l2</t>
        </is>
      </c>
      <c r="C21" s="2" t="inlineStr">
        <is>
          <t>Thủy ngân (Hg) (Nước thải kênh thoát nước làm mát chung)</t>
        </is>
      </c>
      <c r="D21" s="2" t="inlineStr">
        <is>
          <t>Ngoại nghiệp + Nội nghiệp</t>
        </is>
      </c>
      <c r="E21" s="2" t="inlineStr">
        <is>
          <t>mg/l</t>
        </is>
      </c>
      <c r="F21" s="2" t="n">
        <v>0.8</v>
      </c>
      <c r="G21" s="2" t="n">
        <v>250000</v>
      </c>
      <c r="H21" s="2" t="n">
        <v>35000</v>
      </c>
      <c r="I21" s="2" t="n">
        <v>120000</v>
      </c>
    </row>
    <row r="22">
      <c r="A22" s="3" t="n">
        <v>18</v>
      </c>
      <c r="B22" s="3" t="inlineStr">
        <is>
          <t>NT10k1</t>
        </is>
      </c>
      <c r="C22" s="3" t="inlineStr">
        <is>
          <t>Chì (Nước thải kênh thoát nước làm mát chung)</t>
        </is>
      </c>
      <c r="D22" s="3" t="inlineStr">
        <is>
          <t>Ngoại nghiệp + Nội nghiệp</t>
        </is>
      </c>
      <c r="E22" s="3" t="inlineStr">
        <is>
          <t>mg/l</t>
        </is>
      </c>
      <c r="F22" s="3" t="n">
        <v>0.8</v>
      </c>
      <c r="G22" s="3" t="n">
        <v>250000</v>
      </c>
      <c r="H22" s="3" t="n">
        <v>35000</v>
      </c>
      <c r="I22" s="3" t="n">
        <v>120000</v>
      </c>
    </row>
    <row r="23">
      <c r="A23" s="2" t="n">
        <v>19</v>
      </c>
      <c r="B23" s="2" t="inlineStr">
        <is>
          <t>NT10k2</t>
        </is>
      </c>
      <c r="C23" s="2" t="inlineStr">
        <is>
          <t>Cadimi (Nước thải kênh thoát nước làm mát chung)</t>
        </is>
      </c>
      <c r="D23" s="2" t="inlineStr">
        <is>
          <t>Ngoại nghiệp + Nội nghiệp</t>
        </is>
      </c>
      <c r="E23" s="2" t="inlineStr">
        <is>
          <t>mg/l</t>
        </is>
      </c>
      <c r="F23" s="2" t="n">
        <v>0.8</v>
      </c>
      <c r="G23" s="2" t="n">
        <v>250000</v>
      </c>
      <c r="H23" s="2" t="n">
        <v>35000</v>
      </c>
      <c r="I23" s="2" t="n">
        <v>120000</v>
      </c>
    </row>
    <row r="24">
      <c r="A24" s="3" t="n">
        <v>20</v>
      </c>
      <c r="B24" s="3" t="inlineStr">
        <is>
          <t>NT10đ</t>
        </is>
      </c>
      <c r="C24" s="3" t="inlineStr">
        <is>
          <t>Crom (VI) (Nước thải kênh thoát nước làm mát chung)</t>
        </is>
      </c>
      <c r="D24" s="3" t="inlineStr">
        <is>
          <t>Ngoại nghiệp + Nội nghiệp</t>
        </is>
      </c>
      <c r="E24" s="3" t="inlineStr">
        <is>
          <t>mg/l</t>
        </is>
      </c>
      <c r="F24" s="3" t="n">
        <v>0.8</v>
      </c>
      <c r="G24" s="3" t="n">
        <v>250000</v>
      </c>
      <c r="H24" s="3" t="n">
        <v>35000</v>
      </c>
      <c r="I24" s="3" t="n">
        <v>120000</v>
      </c>
    </row>
    <row r="25">
      <c r="A25" s="2" t="n">
        <v>21</v>
      </c>
      <c r="B25" s="2" t="inlineStr">
        <is>
          <t>NT10m5</t>
        </is>
      </c>
      <c r="C25" s="2" t="inlineStr">
        <is>
          <t>Tổng Crom (Nước thải kênh thoát nước làm mát chung)</t>
        </is>
      </c>
      <c r="D25" s="2" t="inlineStr">
        <is>
          <t>Ngoại nghiệp + Nội nghiệp</t>
        </is>
      </c>
      <c r="E25" s="2" t="inlineStr">
        <is>
          <t>mg/l</t>
        </is>
      </c>
      <c r="F25" s="2" t="n">
        <v>0.8</v>
      </c>
      <c r="G25" s="2" t="n">
        <v>250000</v>
      </c>
      <c r="H25" s="2" t="n">
        <v>35000</v>
      </c>
      <c r="I25" s="2" t="n">
        <v>120000</v>
      </c>
    </row>
    <row r="26">
      <c r="A26" s="3" t="n">
        <v>22</v>
      </c>
      <c r="B26" s="3" t="inlineStr">
        <is>
          <t>NT10m1</t>
        </is>
      </c>
      <c r="C26" s="3" t="inlineStr">
        <is>
          <t>Đồng (Nước thải kênh thoát nước làm mát chung)</t>
        </is>
      </c>
      <c r="D26" s="3" t="inlineStr">
        <is>
          <t>Ngoại nghiệp + Nội nghiệp</t>
        </is>
      </c>
      <c r="E26" s="3" t="inlineStr">
        <is>
          <t>mg/l</t>
        </is>
      </c>
      <c r="F26" s="3" t="n">
        <v>0.8</v>
      </c>
      <c r="G26" s="3" t="n">
        <v>250000</v>
      </c>
      <c r="H26" s="3" t="n">
        <v>35000</v>
      </c>
      <c r="I26" s="3" t="n">
        <v>120000</v>
      </c>
    </row>
    <row r="27">
      <c r="A27" s="2" t="n">
        <v>23</v>
      </c>
      <c r="B27" s="2" t="inlineStr">
        <is>
          <t>NT10m2</t>
        </is>
      </c>
      <c r="C27" s="2" t="inlineStr">
        <is>
          <t>Kẽm (Nước thải kênh thoát nước làm mát chung)</t>
        </is>
      </c>
      <c r="D27" s="2" t="inlineStr">
        <is>
          <t>Ngoại nghiệp + Nội nghiệp</t>
        </is>
      </c>
      <c r="E27" s="2" t="inlineStr">
        <is>
          <t>mg/l</t>
        </is>
      </c>
      <c r="F27" s="2" t="n">
        <v>0.8</v>
      </c>
      <c r="G27" s="2" t="n">
        <v>250000</v>
      </c>
      <c r="H27" s="2" t="n">
        <v>35000</v>
      </c>
      <c r="I27" s="2" t="n">
        <v>120000</v>
      </c>
    </row>
    <row r="28">
      <c r="A28" s="3" t="n">
        <v>24</v>
      </c>
      <c r="B28" s="3" t="inlineStr">
        <is>
          <t>NT10m3</t>
        </is>
      </c>
      <c r="C28" s="3" t="inlineStr">
        <is>
          <t>Mangan (Nước thải kênh thoát nước làm mát chung)</t>
        </is>
      </c>
      <c r="D28" s="3" t="inlineStr">
        <is>
          <t>Ngoại nghiệp + Nội nghiệp</t>
        </is>
      </c>
      <c r="E28" s="3" t="inlineStr">
        <is>
          <t>mg/l</t>
        </is>
      </c>
      <c r="F28" s="3" t="n">
        <v>0.8</v>
      </c>
      <c r="G28" s="3" t="n">
        <v>250000</v>
      </c>
      <c r="H28" s="3" t="n">
        <v>35000</v>
      </c>
      <c r="I28" s="3" t="n">
        <v>120000</v>
      </c>
    </row>
    <row r="29">
      <c r="A29" s="2" t="n">
        <v>25</v>
      </c>
      <c r="B29" s="2" t="inlineStr">
        <is>
          <t>NT10m4</t>
        </is>
      </c>
      <c r="C29" s="2" t="inlineStr">
        <is>
          <t>Sắt (Nước thải kênh thoát nước làm mát chung)</t>
        </is>
      </c>
      <c r="D29" s="2" t="inlineStr">
        <is>
          <t>Ngoại nghiệp + Nội nghiệp</t>
        </is>
      </c>
      <c r="E29" s="2" t="inlineStr">
        <is>
          <t>mg/l</t>
        </is>
      </c>
      <c r="F29" s="2" t="n">
        <v>0.8</v>
      </c>
      <c r="G29" s="2" t="n">
        <v>250000</v>
      </c>
      <c r="H29" s="2" t="n">
        <v>35000</v>
      </c>
      <c r="I29" s="2" t="n">
        <v>120000</v>
      </c>
    </row>
    <row r="30">
      <c r="A30" s="3" t="n">
        <v>26</v>
      </c>
      <c r="B30" s="3" t="inlineStr">
        <is>
          <t>NT9</t>
        </is>
      </c>
      <c r="C30" s="3" t="inlineStr">
        <is>
          <t>Xyanua (Nước thải kênh thoát nước làm mát chung)</t>
        </is>
      </c>
      <c r="D30" s="3" t="inlineStr">
        <is>
          <t>Ngoại nghiệp + Nội nghiệp</t>
        </is>
      </c>
      <c r="E30" s="3" t="inlineStr">
        <is>
          <t>mg/l</t>
        </is>
      </c>
      <c r="F30" s="3" t="n">
        <v>0.8</v>
      </c>
      <c r="G30" s="3" t="n">
        <v>250000</v>
      </c>
      <c r="H30" s="3" t="n">
        <v>35000</v>
      </c>
      <c r="I30" s="3" t="n">
        <v>120000</v>
      </c>
    </row>
    <row r="31">
      <c r="A31" s="2" t="n">
        <v>27</v>
      </c>
      <c r="B31" s="2" t="inlineStr">
        <is>
          <t>NT8</t>
        </is>
      </c>
      <c r="C31" s="2" t="inlineStr">
        <is>
          <t>Dầu mỡ khoáng (Nước thải kênh thoát nước làm mát chung)</t>
        </is>
      </c>
      <c r="D31" s="2" t="inlineStr">
        <is>
          <t>Ngoại nghiệp + Nội nghiệp</t>
        </is>
      </c>
      <c r="E31" s="2" t="inlineStr">
        <is>
          <t>mg/l</t>
        </is>
      </c>
      <c r="F31" s="2" t="n">
        <v>0.8</v>
      </c>
      <c r="G31" s="2" t="n">
        <v>250000</v>
      </c>
      <c r="H31" s="2" t="n">
        <v>35000</v>
      </c>
      <c r="I31" s="2" t="n">
        <v>120000</v>
      </c>
    </row>
    <row r="32">
      <c r="A32" s="3" t="n">
        <v>28</v>
      </c>
      <c r="B32" s="3" t="inlineStr">
        <is>
          <t>NT2</t>
        </is>
      </c>
      <c r="C32" s="3" t="inlineStr">
        <is>
          <t>Tổng phenol (Nước thải kênh thoát nước làm mát chung)</t>
        </is>
      </c>
      <c r="D32" s="3" t="inlineStr">
        <is>
          <t>Ngoại nghiệp + Nội nghiệp</t>
        </is>
      </c>
      <c r="E32" s="3" t="inlineStr">
        <is>
          <t>mg/l</t>
        </is>
      </c>
      <c r="F32" s="3" t="n">
        <v>0.8</v>
      </c>
      <c r="G32" s="3" t="n">
        <v>250000</v>
      </c>
      <c r="H32" s="3" t="n">
        <v>35000</v>
      </c>
      <c r="I32" s="3" t="n">
        <v>120000</v>
      </c>
    </row>
    <row r="33">
      <c r="A33" s="2" t="n">
        <v>29</v>
      </c>
      <c r="B33" s="2" t="inlineStr">
        <is>
          <t>NT7a</t>
        </is>
      </c>
      <c r="C33" s="2" t="inlineStr">
        <is>
          <t>Coliform (Nước thải kênh thoát nước làm mát chung)</t>
        </is>
      </c>
      <c r="D33" s="2" t="inlineStr">
        <is>
          <t>Ngoại nghiệp + Nội nghiệp</t>
        </is>
      </c>
      <c r="E33" s="2" t="inlineStr">
        <is>
          <t>Vi khuẩn/ 100ml</t>
        </is>
      </c>
      <c r="F33" s="2" t="n">
        <v>0.8</v>
      </c>
      <c r="G33" s="2" t="n">
        <v>250000</v>
      </c>
      <c r="H33" s="2" t="n">
        <v>35000</v>
      </c>
      <c r="I33" s="2" t="n">
        <v>120000</v>
      </c>
    </row>
    <row r="34">
      <c r="A34" s="3" t="n">
        <v>30</v>
      </c>
      <c r="B34" s="3" t="inlineStr">
        <is>
          <t>NT4b</t>
        </is>
      </c>
      <c r="C34" s="3" t="inlineStr">
        <is>
          <t>Màu (Giám sát nước thải HTXLNT tập trung)</t>
        </is>
      </c>
      <c r="D34" s="3" t="inlineStr">
        <is>
          <t>Ngoại nghiệp + Nội nghiệp</t>
        </is>
      </c>
      <c r="E34" s="3" t="inlineStr">
        <is>
          <t>mg/l</t>
        </is>
      </c>
      <c r="F34" s="3" t="n">
        <v>0.8</v>
      </c>
      <c r="G34" s="3" t="n">
        <v>250000</v>
      </c>
      <c r="H34" s="3" t="n">
        <v>35000</v>
      </c>
      <c r="I34" s="3" t="n">
        <v>120000</v>
      </c>
    </row>
    <row r="35">
      <c r="A35" s="2" t="n">
        <v>31</v>
      </c>
      <c r="B35" s="2" t="inlineStr">
        <is>
          <t>NT5a</t>
        </is>
      </c>
      <c r="C35" s="2" t="inlineStr">
        <is>
          <t>BOD5 (20°C) (Giám sát nước thải HTXLNT tập trung)</t>
        </is>
      </c>
      <c r="D35" s="2" t="inlineStr">
        <is>
          <t>Ngoại nghiệp + Nội nghiệp</t>
        </is>
      </c>
      <c r="E35" s="2" t="inlineStr">
        <is>
          <t>mg/l</t>
        </is>
      </c>
      <c r="F35" s="2" t="n">
        <v>0.8</v>
      </c>
      <c r="G35" s="2" t="n">
        <v>250000</v>
      </c>
      <c r="H35" s="2" t="n">
        <v>35000</v>
      </c>
      <c r="I35" s="2" t="n">
        <v>120000</v>
      </c>
    </row>
    <row r="36">
      <c r="A36" s="3" t="n">
        <v>32</v>
      </c>
      <c r="B36" s="3" t="inlineStr">
        <is>
          <t>NT10l1</t>
        </is>
      </c>
      <c r="C36" s="3" t="inlineStr">
        <is>
          <t>Asen (Giám sát nước thải HTXLNT tập trung)</t>
        </is>
      </c>
      <c r="D36" s="3" t="inlineStr">
        <is>
          <t>Ngoại nghiệp + Nội nghiệp</t>
        </is>
      </c>
      <c r="E36" s="3" t="inlineStr">
        <is>
          <t>mg/l</t>
        </is>
      </c>
      <c r="F36" s="3" t="n">
        <v>0.8</v>
      </c>
      <c r="G36" s="3" t="n">
        <v>250000</v>
      </c>
      <c r="H36" s="3" t="n">
        <v>35000</v>
      </c>
      <c r="I36" s="3" t="n">
        <v>120000</v>
      </c>
    </row>
    <row r="37">
      <c r="A37" s="2" t="n">
        <v>33</v>
      </c>
      <c r="B37" s="2" t="inlineStr">
        <is>
          <t>NT10l2</t>
        </is>
      </c>
      <c r="C37" s="2" t="inlineStr">
        <is>
          <t>Thủy ngân (Giám sát nước thải HTXLNT tập trung)</t>
        </is>
      </c>
      <c r="D37" s="2" t="inlineStr">
        <is>
          <t>Ngoại nghiệp + Nội nghiệp</t>
        </is>
      </c>
      <c r="E37" s="2" t="inlineStr">
        <is>
          <t>mg/l</t>
        </is>
      </c>
      <c r="F37" s="2" t="n">
        <v>0.8</v>
      </c>
      <c r="G37" s="2" t="n">
        <v>250000</v>
      </c>
      <c r="H37" s="2" t="n">
        <v>35000</v>
      </c>
      <c r="I37" s="2" t="n">
        <v>120000</v>
      </c>
    </row>
    <row r="38">
      <c r="A38" s="3" t="n">
        <v>34</v>
      </c>
      <c r="B38" s="3" t="inlineStr">
        <is>
          <t>NT10k1</t>
        </is>
      </c>
      <c r="C38" s="3" t="inlineStr">
        <is>
          <t>Chì (Giám sát nước thải HTXLNT tập trung)</t>
        </is>
      </c>
      <c r="D38" s="3" t="inlineStr">
        <is>
          <t>Ngoại nghiệp + Nội nghiệp</t>
        </is>
      </c>
      <c r="E38" s="3" t="inlineStr">
        <is>
          <t>mg/l</t>
        </is>
      </c>
      <c r="F38" s="3" t="n">
        <v>0.8</v>
      </c>
      <c r="G38" s="3" t="n">
        <v>250000</v>
      </c>
      <c r="H38" s="3" t="n">
        <v>35000</v>
      </c>
      <c r="I38" s="3" t="n">
        <v>120000</v>
      </c>
    </row>
    <row r="39">
      <c r="A39" s="2" t="n">
        <v>35</v>
      </c>
      <c r="B39" s="2" t="inlineStr">
        <is>
          <t>NT10k2</t>
        </is>
      </c>
      <c r="C39" s="2" t="inlineStr">
        <is>
          <t>Cadimi (Giám sát nước thải HTXLNT tập trung)</t>
        </is>
      </c>
      <c r="D39" s="2" t="inlineStr">
        <is>
          <t>Ngoại nghiệp + Nội nghiệp</t>
        </is>
      </c>
      <c r="E39" s="2" t="inlineStr">
        <is>
          <t>mg/l</t>
        </is>
      </c>
      <c r="F39" s="2" t="n">
        <v>0.8</v>
      </c>
      <c r="G39" s="2" t="n">
        <v>250000</v>
      </c>
      <c r="H39" s="2" t="n">
        <v>35000</v>
      </c>
      <c r="I39" s="2" t="n">
        <v>120000</v>
      </c>
    </row>
    <row r="40">
      <c r="A40" s="3" t="n">
        <v>36</v>
      </c>
      <c r="B40" s="3" t="inlineStr">
        <is>
          <t>NT10m5</t>
        </is>
      </c>
      <c r="C40" s="3" t="inlineStr">
        <is>
          <t>Crom (III) (Giám sát nước thải HTXLNT tập trung)</t>
        </is>
      </c>
      <c r="D40" s="3" t="inlineStr">
        <is>
          <t>Ngoại nghiệp + Nội nghiệp</t>
        </is>
      </c>
      <c r="E40" s="3" t="inlineStr">
        <is>
          <t>mg/l</t>
        </is>
      </c>
      <c r="F40" s="3" t="n">
        <v>0.8</v>
      </c>
      <c r="G40" s="3" t="n">
        <v>250000</v>
      </c>
      <c r="H40" s="3" t="n">
        <v>35000</v>
      </c>
      <c r="I40" s="3" t="n">
        <v>120000</v>
      </c>
    </row>
    <row r="41">
      <c r="A41" s="2" t="n">
        <v>37</v>
      </c>
      <c r="B41" s="2" t="inlineStr">
        <is>
          <t>NT10đ</t>
        </is>
      </c>
      <c r="C41" s="2" t="inlineStr">
        <is>
          <t>Crom (VI) (Giám sát nước thải HTXLNT tập trung)</t>
        </is>
      </c>
      <c r="D41" s="2" t="inlineStr">
        <is>
          <t>Ngoại nghiệp + Nội nghiệp</t>
        </is>
      </c>
      <c r="E41" s="2" t="inlineStr">
        <is>
          <t>mg/l</t>
        </is>
      </c>
      <c r="F41" s="2" t="n">
        <v>0.8</v>
      </c>
      <c r="G41" s="2" t="n">
        <v>250000</v>
      </c>
      <c r="H41" s="2" t="n">
        <v>35000</v>
      </c>
      <c r="I41" s="2" t="n">
        <v>120000</v>
      </c>
    </row>
    <row r="42">
      <c r="A42" s="3" t="n">
        <v>38</v>
      </c>
      <c r="B42" s="3" t="inlineStr">
        <is>
          <t>NT10m1</t>
        </is>
      </c>
      <c r="C42" s="3" t="inlineStr">
        <is>
          <t>Đồng (Giám sát nước thải HTXLNT tập trung)</t>
        </is>
      </c>
      <c r="D42" s="3" t="inlineStr">
        <is>
          <t>Ngoại nghiệp + Nội nghiệp</t>
        </is>
      </c>
      <c r="E42" s="3" t="inlineStr">
        <is>
          <t>mg/l</t>
        </is>
      </c>
      <c r="F42" s="3" t="n">
        <v>0.8</v>
      </c>
      <c r="G42" s="3" t="n">
        <v>250000</v>
      </c>
      <c r="H42" s="3" t="n">
        <v>35000</v>
      </c>
      <c r="I42" s="3" t="n">
        <v>120000</v>
      </c>
    </row>
    <row r="43">
      <c r="A43" s="2" t="n">
        <v>39</v>
      </c>
      <c r="B43" s="2" t="inlineStr">
        <is>
          <t>NT10m2</t>
        </is>
      </c>
      <c r="C43" s="2" t="inlineStr">
        <is>
          <t>Kẽm (Giám sát nước thải HTXLNT tập trung)</t>
        </is>
      </c>
      <c r="D43" s="2" t="inlineStr">
        <is>
          <t>Ngoại nghiệp + Nội nghiệp</t>
        </is>
      </c>
      <c r="E43" s="2" t="inlineStr">
        <is>
          <t>mg/l</t>
        </is>
      </c>
      <c r="F43" s="2" t="n">
        <v>0.8</v>
      </c>
      <c r="G43" s="2" t="n">
        <v>250000</v>
      </c>
      <c r="H43" s="2" t="n">
        <v>35000</v>
      </c>
      <c r="I43" s="2" t="n">
        <v>120000</v>
      </c>
    </row>
    <row r="44">
      <c r="A44" s="3" t="n">
        <v>40</v>
      </c>
      <c r="B44" s="3" t="inlineStr">
        <is>
          <t>NT10m6</t>
        </is>
      </c>
      <c r="C44" s="3" t="inlineStr">
        <is>
          <t>Niken (Giám sát nước thải HTXLNT tập trung)</t>
        </is>
      </c>
      <c r="D44" s="3" t="inlineStr">
        <is>
          <t>Ngoại nghiệp + Nội nghiệp</t>
        </is>
      </c>
      <c r="E44" s="3" t="inlineStr">
        <is>
          <t>mg/l</t>
        </is>
      </c>
      <c r="F44" s="3" t="n">
        <v>0.8</v>
      </c>
      <c r="G44" s="3" t="n">
        <v>250000</v>
      </c>
      <c r="H44" s="3" t="n">
        <v>35000</v>
      </c>
      <c r="I44" s="3" t="n">
        <v>120000</v>
      </c>
    </row>
    <row r="45">
      <c r="A45" s="2" t="n">
        <v>41</v>
      </c>
      <c r="B45" s="2" t="inlineStr">
        <is>
          <t>NT10m3</t>
        </is>
      </c>
      <c r="C45" s="2" t="inlineStr">
        <is>
          <t>Mangan (Giám sát nước thải HTXLNT tập trung)</t>
        </is>
      </c>
      <c r="D45" s="2" t="inlineStr">
        <is>
          <t>Ngoại nghiệp + Nội nghiệp</t>
        </is>
      </c>
      <c r="E45" s="2" t="inlineStr">
        <is>
          <t>mg/l</t>
        </is>
      </c>
      <c r="F45" s="2" t="n">
        <v>0.8</v>
      </c>
      <c r="G45" s="2" t="n">
        <v>250000</v>
      </c>
      <c r="H45" s="2" t="n">
        <v>35000</v>
      </c>
      <c r="I45" s="2" t="n">
        <v>120000</v>
      </c>
    </row>
    <row r="46">
      <c r="A46" s="3" t="n">
        <v>42</v>
      </c>
      <c r="B46" s="3" t="inlineStr">
        <is>
          <t>NT10m4</t>
        </is>
      </c>
      <c r="C46" s="3" t="inlineStr">
        <is>
          <t>Sắt (Giám sát nước thải HTXLNT tập trung)</t>
        </is>
      </c>
      <c r="D46" s="3" t="inlineStr">
        <is>
          <t>Ngoại nghiệp + Nội nghiệp</t>
        </is>
      </c>
      <c r="E46" s="3" t="inlineStr">
        <is>
          <t>mg/l</t>
        </is>
      </c>
      <c r="F46" s="3" t="n">
        <v>0.8</v>
      </c>
      <c r="G46" s="3" t="n">
        <v>250000</v>
      </c>
      <c r="H46" s="3" t="n">
        <v>35000</v>
      </c>
      <c r="I46" s="3" t="n">
        <v>120000</v>
      </c>
    </row>
    <row r="47">
      <c r="A47" s="2" t="n">
        <v>43</v>
      </c>
      <c r="B47" s="2" t="inlineStr">
        <is>
          <t>NT9</t>
        </is>
      </c>
      <c r="C47" s="2" t="inlineStr">
        <is>
          <t>Tổng xyanua (Giám sát nước thải HTXLNT tập trung)</t>
        </is>
      </c>
      <c r="D47" s="2" t="inlineStr">
        <is>
          <t>Ngoại nghiệp + Nội nghiệp</t>
        </is>
      </c>
      <c r="E47" s="2" t="inlineStr">
        <is>
          <t>mg/l</t>
        </is>
      </c>
      <c r="F47" s="2" t="n">
        <v>0.8</v>
      </c>
      <c r="G47" s="2" t="n">
        <v>250000</v>
      </c>
      <c r="H47" s="2" t="n">
        <v>35000</v>
      </c>
      <c r="I47" s="2" t="n">
        <v>120000</v>
      </c>
    </row>
    <row r="48">
      <c r="A48" s="3" t="n">
        <v>44</v>
      </c>
      <c r="B48" s="3" t="inlineStr">
        <is>
          <t>NT8</t>
        </is>
      </c>
      <c r="C48" s="3" t="inlineStr">
        <is>
          <t>Tổng dầu mỡ khoáng (Giám sát nước thải HTXLNT tập trung)</t>
        </is>
      </c>
      <c r="D48" s="3" t="inlineStr">
        <is>
          <t>Ngoại nghiệp + Nội nghiệp</t>
        </is>
      </c>
      <c r="E48" s="3" t="inlineStr">
        <is>
          <t>mg/l</t>
        </is>
      </c>
      <c r="F48" s="3" t="n">
        <v>0.8</v>
      </c>
      <c r="G48" s="3" t="n">
        <v>250000</v>
      </c>
      <c r="H48" s="3" t="n">
        <v>35000</v>
      </c>
      <c r="I48" s="3" t="n">
        <v>120000</v>
      </c>
    </row>
    <row r="49">
      <c r="A49" s="2" t="n">
        <v>45</v>
      </c>
      <c r="B49" s="2" t="inlineStr">
        <is>
          <t>NT10d</t>
        </is>
      </c>
      <c r="C49" s="2" t="inlineStr">
        <is>
          <t>Sunfua (Giám sát nước thải HTXLNT tập trung)</t>
        </is>
      </c>
      <c r="D49" s="2" t="inlineStr">
        <is>
          <t>Ngoại nghiệp + Nội nghiệp</t>
        </is>
      </c>
      <c r="E49" s="2" t="inlineStr">
        <is>
          <t>mg/l</t>
        </is>
      </c>
      <c r="F49" s="2" t="n">
        <v>0.8</v>
      </c>
      <c r="G49" s="2" t="n">
        <v>250000</v>
      </c>
      <c r="H49" s="2" t="n">
        <v>35000</v>
      </c>
      <c r="I49" s="2" t="n">
        <v>120000</v>
      </c>
    </row>
    <row r="50">
      <c r="A50" s="3" t="n">
        <v>46</v>
      </c>
      <c r="B50" s="3" t="inlineStr">
        <is>
          <t>NT10b</t>
        </is>
      </c>
      <c r="C50" s="3" t="inlineStr">
        <is>
          <t>Tổng Nitơ (Giám sát nước thải HTXLNT tập trung)</t>
        </is>
      </c>
      <c r="D50" s="3" t="inlineStr">
        <is>
          <t>Ngoại nghiệp + Nội nghiệp</t>
        </is>
      </c>
      <c r="E50" s="3" t="inlineStr">
        <is>
          <t>mg/l</t>
        </is>
      </c>
      <c r="F50" s="3" t="n">
        <v>0.8</v>
      </c>
      <c r="G50" s="3" t="n">
        <v>250000</v>
      </c>
      <c r="H50" s="3" t="n">
        <v>35000</v>
      </c>
      <c r="I50" s="3" t="n">
        <v>120000</v>
      </c>
    </row>
    <row r="51">
      <c r="A51" s="2" t="n">
        <v>47</v>
      </c>
      <c r="B51" s="2" t="inlineStr">
        <is>
          <t>NT2</t>
        </is>
      </c>
      <c r="C51" s="2" t="inlineStr">
        <is>
          <t>Tổng photpho (tính theo P) (Giám sát nước thải HTXLNT tập trung)</t>
        </is>
      </c>
      <c r="D51" s="2" t="inlineStr">
        <is>
          <t>Ngoại nghiệp + Nội nghiệp</t>
        </is>
      </c>
      <c r="E51" s="2" t="inlineStr">
        <is>
          <t>mg/l</t>
        </is>
      </c>
      <c r="F51" s="2" t="n">
        <v>0.8</v>
      </c>
      <c r="G51" s="2" t="n">
        <v>250000</v>
      </c>
      <c r="H51" s="2" t="n">
        <v>35000</v>
      </c>
      <c r="I51" s="2" t="n">
        <v>120000</v>
      </c>
    </row>
    <row r="52">
      <c r="A52" s="3" t="n">
        <v>48</v>
      </c>
      <c r="B52" s="3" t="inlineStr">
        <is>
          <t>NT10j</t>
        </is>
      </c>
      <c r="C52" s="3" t="inlineStr">
        <is>
          <t>Clo dư (Giám sát nước thải HTXLNT tập trung)</t>
        </is>
      </c>
      <c r="D52" s="3" t="inlineStr">
        <is>
          <t>Ngoại nghiệp + Nội nghiệp</t>
        </is>
      </c>
      <c r="E52" s="3" t="inlineStr">
        <is>
          <t>mg/l</t>
        </is>
      </c>
      <c r="F52" s="3" t="n">
        <v>0.8</v>
      </c>
      <c r="G52" s="3" t="n">
        <v>250000</v>
      </c>
      <c r="H52" s="3" t="n">
        <v>35000</v>
      </c>
      <c r="I52" s="3" t="n">
        <v>120000</v>
      </c>
    </row>
    <row r="53">
      <c r="A53" s="2" t="n">
        <v>49</v>
      </c>
      <c r="B53" s="2" t="inlineStr">
        <is>
          <t>NT7a</t>
        </is>
      </c>
      <c r="C53" s="2" t="inlineStr">
        <is>
          <t>Coliform (Giám sát nước thải HTXLNT tập trung)</t>
        </is>
      </c>
      <c r="D53" s="2" t="inlineStr">
        <is>
          <t>Ngoại nghiệp + Nội nghiệp</t>
        </is>
      </c>
      <c r="E53" s="2" t="inlineStr">
        <is>
          <t>MPN/100ml</t>
        </is>
      </c>
      <c r="F53" s="2" t="n">
        <v>0.8</v>
      </c>
      <c r="G53" s="2" t="n">
        <v>250000</v>
      </c>
      <c r="H53" s="2" t="n">
        <v>35000</v>
      </c>
      <c r="I53" s="2" t="n">
        <v>120000</v>
      </c>
    </row>
    <row r="54">
      <c r="A54" s="3" t="n">
        <v>50</v>
      </c>
      <c r="B54" s="3" t="inlineStr">
        <is>
          <t>NB16a</t>
        </is>
      </c>
      <c r="C54" s="3" t="inlineStr">
        <is>
          <t>COD (Giám sát nước biển trong khu vực nhà máy)</t>
        </is>
      </c>
      <c r="D54" s="3" t="inlineStr">
        <is>
          <t>Ngoại nghiệp + Nội nghiệp</t>
        </is>
      </c>
      <c r="E54" s="3" t="inlineStr">
        <is>
          <t>mg/l</t>
        </is>
      </c>
      <c r="F54" s="3" t="n">
        <v>0.8</v>
      </c>
      <c r="G54" s="3" t="n">
        <v>250000</v>
      </c>
      <c r="H54" s="3" t="n">
        <v>35000</v>
      </c>
      <c r="I54" s="3" t="n">
        <v>120000</v>
      </c>
    </row>
    <row r="55">
      <c r="A55" s="2" t="n">
        <v>51</v>
      </c>
      <c r="B55" s="2" t="inlineStr">
        <is>
          <t>NB17a</t>
        </is>
      </c>
      <c r="C55" s="2" t="inlineStr">
        <is>
          <t>TSS (Giám sát nước biển trong khu vực nhà máy)</t>
        </is>
      </c>
      <c r="D55" s="2" t="inlineStr">
        <is>
          <t>Ngoại nghiệp + Nội nghiệp</t>
        </is>
      </c>
      <c r="E55" s="2" t="inlineStr">
        <is>
          <t>mg/l</t>
        </is>
      </c>
      <c r="F55" s="2" t="n">
        <v>0.8</v>
      </c>
      <c r="G55" s="2" t="n">
        <v>250000</v>
      </c>
      <c r="H55" s="2" t="n">
        <v>35000</v>
      </c>
      <c r="I55" s="2" t="n">
        <v>120000</v>
      </c>
    </row>
    <row r="56">
      <c r="A56" s="3" t="n">
        <v>52</v>
      </c>
      <c r="B56" s="3" t="inlineStr">
        <is>
          <t>NB10</t>
        </is>
      </c>
      <c r="C56" s="3" t="inlineStr">
        <is>
          <t>Phosphat (Giám sát nước biển trong khu vực nhà máy)</t>
        </is>
      </c>
      <c r="D56" s="3" t="inlineStr">
        <is>
          <t>Ngoại nghiệp + Nội nghiệp</t>
        </is>
      </c>
      <c r="E56" s="3" t="inlineStr">
        <is>
          <t>mg/l</t>
        </is>
      </c>
      <c r="F56" s="3" t="n">
        <v>0.8</v>
      </c>
      <c r="G56" s="3" t="n">
        <v>250000</v>
      </c>
      <c r="H56" s="3" t="n">
        <v>35000</v>
      </c>
      <c r="I56" s="3" t="n">
        <v>120000</v>
      </c>
    </row>
    <row r="57">
      <c r="A57" s="2" t="n">
        <v>53</v>
      </c>
      <c r="B57" s="2" t="inlineStr">
        <is>
          <t>NB15</t>
        </is>
      </c>
      <c r="C57" s="2" t="inlineStr">
        <is>
          <t>Florua (Giám sát nước biển trong khu vực nhà máy)</t>
        </is>
      </c>
      <c r="D57" s="2" t="inlineStr">
        <is>
          <t>Ngoại nghiệp + Nội nghiệp</t>
        </is>
      </c>
      <c r="E57" s="2" t="inlineStr">
        <is>
          <t>mg/l</t>
        </is>
      </c>
      <c r="F57" s="2" t="n">
        <v>0.8</v>
      </c>
      <c r="G57" s="2" t="n">
        <v>250000</v>
      </c>
      <c r="H57" s="2" t="n">
        <v>35000</v>
      </c>
      <c r="I57" s="2" t="n">
        <v>120000</v>
      </c>
    </row>
    <row r="58">
      <c r="A58" s="3" t="n">
        <v>54</v>
      </c>
      <c r="B58" s="3" t="inlineStr">
        <is>
          <t>NB20</t>
        </is>
      </c>
      <c r="C58" s="3" t="inlineStr">
        <is>
          <t>Xyanua (Giám sát nước biển trong khu vực nhà máy)</t>
        </is>
      </c>
      <c r="D58" s="3" t="inlineStr">
        <is>
          <t>Ngoại nghiệp + Nội nghiệp</t>
        </is>
      </c>
      <c r="E58" s="3" t="inlineStr">
        <is>
          <t>mg/l</t>
        </is>
      </c>
      <c r="F58" s="3" t="n">
        <v>0.8</v>
      </c>
      <c r="G58" s="3" t="n">
        <v>250000</v>
      </c>
      <c r="H58" s="3" t="n">
        <v>35000</v>
      </c>
      <c r="I58" s="3" t="n">
        <v>120000</v>
      </c>
    </row>
    <row r="59">
      <c r="A59" s="2" t="n">
        <v>55</v>
      </c>
      <c r="B59" s="2" t="inlineStr">
        <is>
          <t>NB21</t>
        </is>
      </c>
      <c r="C59" s="2" t="inlineStr">
        <is>
          <t>Asen (Giám sát nước biển trong khu vực nhà máy)</t>
        </is>
      </c>
      <c r="D59" s="2" t="inlineStr">
        <is>
          <t>Ngoại nghiệp + Nội nghiệp</t>
        </is>
      </c>
      <c r="E59" s="2" t="inlineStr">
        <is>
          <t>mg/l</t>
        </is>
      </c>
      <c r="F59" s="2" t="n">
        <v>0.8</v>
      </c>
      <c r="G59" s="2" t="n">
        <v>250000</v>
      </c>
      <c r="H59" s="2" t="n">
        <v>35000</v>
      </c>
      <c r="I59" s="2" t="n">
        <v>120000</v>
      </c>
    </row>
    <row r="60">
      <c r="A60" s="3" t="n">
        <v>56</v>
      </c>
      <c r="B60" s="3" t="inlineStr">
        <is>
          <t>NB21</t>
        </is>
      </c>
      <c r="C60" s="3" t="inlineStr">
        <is>
          <t>Cadimi (Giám sát nước biển trong khu vực nhà máy)</t>
        </is>
      </c>
      <c r="D60" s="3" t="inlineStr">
        <is>
          <t>Ngoại nghiệp + Nội nghiệp</t>
        </is>
      </c>
      <c r="E60" s="3" t="inlineStr">
        <is>
          <t>mg/l</t>
        </is>
      </c>
      <c r="F60" s="3" t="n">
        <v>0.8</v>
      </c>
      <c r="G60" s="3" t="n">
        <v>250000</v>
      </c>
      <c r="H60" s="3" t="n">
        <v>35000</v>
      </c>
      <c r="I60" s="3" t="n">
        <v>120000</v>
      </c>
    </row>
    <row r="61">
      <c r="A61" s="2" t="n">
        <v>57</v>
      </c>
      <c r="B61" s="2" t="inlineStr">
        <is>
          <t>NB21</t>
        </is>
      </c>
      <c r="C61" s="2" t="inlineStr">
        <is>
          <t>Chì (Giám sát nước biển trong khu vực nhà máy)</t>
        </is>
      </c>
      <c r="D61" s="2" t="inlineStr">
        <is>
          <t>Ngoại nghiệp + Nội nghiệp</t>
        </is>
      </c>
      <c r="E61" s="2" t="inlineStr">
        <is>
          <t>mg/l</t>
        </is>
      </c>
      <c r="F61" s="2" t="n">
        <v>0.8</v>
      </c>
      <c r="G61" s="2" t="n">
        <v>250000</v>
      </c>
      <c r="H61" s="2" t="n">
        <v>35000</v>
      </c>
      <c r="I61" s="2" t="n">
        <v>120000</v>
      </c>
    </row>
    <row r="62">
      <c r="A62" s="3" t="n">
        <v>58</v>
      </c>
      <c r="B62" s="3" t="inlineStr">
        <is>
          <t>NB15h</t>
        </is>
      </c>
      <c r="C62" s="3" t="inlineStr">
        <is>
          <t>Crom (VI) (Giám sát nước biển trong khu vực nhà máy)</t>
        </is>
      </c>
      <c r="D62" s="3" t="inlineStr">
        <is>
          <t>Ngoại nghiệp + Nội nghiệp</t>
        </is>
      </c>
      <c r="E62" s="3" t="inlineStr">
        <is>
          <t>mg/l</t>
        </is>
      </c>
      <c r="F62" s="3" t="n">
        <v>0.8</v>
      </c>
      <c r="G62" s="3" t="n">
        <v>250000</v>
      </c>
      <c r="H62" s="3" t="n">
        <v>35000</v>
      </c>
      <c r="I62" s="3" t="n">
        <v>120000</v>
      </c>
    </row>
    <row r="63">
      <c r="A63" s="2" t="n">
        <v>59</v>
      </c>
      <c r="B63" s="2" t="inlineStr">
        <is>
          <t>NB21</t>
        </is>
      </c>
      <c r="C63" s="2" t="inlineStr">
        <is>
          <t>Tổng Cr (Giám sát nước biển trong khu vực nhà máy)</t>
        </is>
      </c>
      <c r="D63" s="2" t="inlineStr">
        <is>
          <t>Ngoại nghiệp + Nội nghiệp</t>
        </is>
      </c>
      <c r="E63" s="2" t="inlineStr">
        <is>
          <t>mg/l</t>
        </is>
      </c>
      <c r="F63" s="2" t="n">
        <v>0.8</v>
      </c>
      <c r="G63" s="2" t="n">
        <v>250000</v>
      </c>
      <c r="H63" s="2" t="n">
        <v>35000</v>
      </c>
      <c r="I63" s="2" t="n">
        <v>120000</v>
      </c>
    </row>
    <row r="64">
      <c r="A64" s="3" t="n">
        <v>60</v>
      </c>
      <c r="B64" s="3" t="inlineStr">
        <is>
          <t>NB21</t>
        </is>
      </c>
      <c r="C64" s="3" t="inlineStr">
        <is>
          <t>Đồng (Giám sát nước biển trong khu vực nhà máy)</t>
        </is>
      </c>
      <c r="D64" s="3" t="inlineStr">
        <is>
          <t>Ngoại nghiệp + Nội nghiệp</t>
        </is>
      </c>
      <c r="E64" s="3" t="inlineStr">
        <is>
          <t>mg/l</t>
        </is>
      </c>
      <c r="F64" s="3" t="n">
        <v>0.8</v>
      </c>
      <c r="G64" s="3" t="n">
        <v>250000</v>
      </c>
      <c r="H64" s="3" t="n">
        <v>35000</v>
      </c>
      <c r="I64" s="3" t="n">
        <v>120000</v>
      </c>
    </row>
    <row r="65">
      <c r="A65" s="2" t="n">
        <v>61</v>
      </c>
      <c r="B65" s="2" t="inlineStr">
        <is>
          <t>NB21</t>
        </is>
      </c>
      <c r="C65" s="2" t="inlineStr">
        <is>
          <t>Kẽm (Giám sát nước biển trong khu vực nhà máy)</t>
        </is>
      </c>
      <c r="D65" s="2" t="inlineStr">
        <is>
          <t>Ngoại nghiệp + Nội nghiệp</t>
        </is>
      </c>
      <c r="E65" s="2" t="inlineStr">
        <is>
          <t>mg/l</t>
        </is>
      </c>
      <c r="F65" s="2" t="n">
        <v>0.8</v>
      </c>
      <c r="G65" s="2" t="n">
        <v>250000</v>
      </c>
      <c r="H65" s="2" t="n">
        <v>35000</v>
      </c>
      <c r="I65" s="2" t="n">
        <v>120000</v>
      </c>
    </row>
    <row r="66">
      <c r="A66" s="3" t="n">
        <v>62</v>
      </c>
      <c r="B66" s="3" t="inlineStr">
        <is>
          <t>NB21</t>
        </is>
      </c>
      <c r="C66" s="3" t="inlineStr">
        <is>
          <t>Mangan (Giám sát nước biển trong khu vực nhà máy)</t>
        </is>
      </c>
      <c r="D66" s="3" t="inlineStr">
        <is>
          <t>Ngoại nghiệp + Nội nghiệp</t>
        </is>
      </c>
      <c r="E66" s="3" t="inlineStr">
        <is>
          <t>mg/l</t>
        </is>
      </c>
      <c r="F66" s="3" t="n">
        <v>0.8</v>
      </c>
      <c r="G66" s="3" t="n">
        <v>250000</v>
      </c>
      <c r="H66" s="3" t="n">
        <v>35000</v>
      </c>
      <c r="I66" s="3" t="n">
        <v>120000</v>
      </c>
    </row>
    <row r="67">
      <c r="A67" s="2" t="n">
        <v>63</v>
      </c>
      <c r="B67" s="2" t="inlineStr">
        <is>
          <t>NB21</t>
        </is>
      </c>
      <c r="C67" s="2" t="inlineStr">
        <is>
          <t>Sắt (Giám sát nước biển trong khu vực nhà máy)</t>
        </is>
      </c>
      <c r="D67" s="2" t="inlineStr">
        <is>
          <t>Ngoại nghiệp + Nội nghiệp</t>
        </is>
      </c>
      <c r="E67" s="2" t="inlineStr">
        <is>
          <t>mg/l</t>
        </is>
      </c>
      <c r="F67" s="2" t="n">
        <v>0.8</v>
      </c>
      <c r="G67" s="2" t="n">
        <v>250000</v>
      </c>
      <c r="H67" s="2" t="n">
        <v>35000</v>
      </c>
      <c r="I67" s="2" t="n">
        <v>120000</v>
      </c>
    </row>
    <row r="68">
      <c r="A68" s="3" t="n">
        <v>64</v>
      </c>
      <c r="B68" s="3" t="inlineStr">
        <is>
          <t>NB21</t>
        </is>
      </c>
      <c r="C68" s="3" t="inlineStr">
        <is>
          <t>Thủy ngân (Giám sát nước biển trong khu vực nhà máy)</t>
        </is>
      </c>
      <c r="D68" s="3" t="inlineStr">
        <is>
          <t>Ngoại nghiệp + Nội nghiệp</t>
        </is>
      </c>
      <c r="E68" s="3" t="inlineStr">
        <is>
          <t>mg/l</t>
        </is>
      </c>
      <c r="F68" s="3" t="n">
        <v>0.8</v>
      </c>
      <c r="G68" s="3" t="n">
        <v>250000</v>
      </c>
      <c r="H68" s="3" t="n">
        <v>35000</v>
      </c>
      <c r="I68" s="3" t="n">
        <v>120000</v>
      </c>
    </row>
    <row r="69">
      <c r="A69" s="2" t="n">
        <v>65</v>
      </c>
      <c r="B69" s="2" t="inlineStr">
        <is>
          <t>NB10</t>
        </is>
      </c>
      <c r="C69" s="2" t="inlineStr">
        <is>
          <t>Tổng Phenol (Giám sát nước biển trong khu vực nhà máy)</t>
        </is>
      </c>
      <c r="D69" s="2" t="inlineStr">
        <is>
          <t>Ngoại nghiệp + Nội nghiệp</t>
        </is>
      </c>
      <c r="E69" s="2" t="inlineStr">
        <is>
          <t>mg/l</t>
        </is>
      </c>
      <c r="F69" s="2" t="n">
        <v>0.8</v>
      </c>
      <c r="G69" s="2" t="n">
        <v>250000</v>
      </c>
      <c r="H69" s="2" t="n">
        <v>35000</v>
      </c>
      <c r="I69" s="2" t="n">
        <v>120000</v>
      </c>
    </row>
    <row r="70">
      <c r="A70" s="3" t="n">
        <v>66</v>
      </c>
      <c r="B70" s="3" t="inlineStr">
        <is>
          <t>NB22</t>
        </is>
      </c>
      <c r="C70" s="3" t="inlineStr">
        <is>
          <t>Tổng dầu mỡ khoáng (Giám sát nước biển trong khu vực nhà máy)</t>
        </is>
      </c>
      <c r="D70" s="3" t="inlineStr">
        <is>
          <t>Ngoại nghiệp + Nội nghiệp</t>
        </is>
      </c>
      <c r="E70" s="3" t="inlineStr">
        <is>
          <t>mg/l</t>
        </is>
      </c>
      <c r="F70" s="3" t="n">
        <v>0.8</v>
      </c>
      <c r="G70" s="3" t="n">
        <v>250000</v>
      </c>
      <c r="H70" s="3" t="n">
        <v>35000</v>
      </c>
      <c r="I70" s="3" t="n">
        <v>120000</v>
      </c>
    </row>
    <row r="71">
      <c r="A71" s="2" t="n">
        <v>67</v>
      </c>
      <c r="B71" s="2" t="inlineStr">
        <is>
          <t>NB18</t>
        </is>
      </c>
      <c r="C71" s="2" t="inlineStr">
        <is>
          <t>Coliform (Giám sát nước biển trong khu vực nhà máy)</t>
        </is>
      </c>
      <c r="D71" s="2" t="inlineStr">
        <is>
          <t>Ngoại nghiệp + Nội nghiệp</t>
        </is>
      </c>
      <c r="E71" s="2" t="inlineStr">
        <is>
          <t>MPN/100ml</t>
        </is>
      </c>
      <c r="F71" s="2" t="n">
        <v>0.8</v>
      </c>
      <c r="G71" s="2" t="n">
        <v>250000</v>
      </c>
      <c r="H71" s="2" t="n">
        <v>35000</v>
      </c>
      <c r="I71" s="2" t="n">
        <v>120000</v>
      </c>
    </row>
    <row r="72">
      <c r="A72" s="3" t="n">
        <v>68</v>
      </c>
      <c r="B72" s="3" t="inlineStr">
        <is>
          <t>NB10</t>
        </is>
      </c>
      <c r="C72" s="3" t="inlineStr">
        <is>
          <t>pH (Giám sát nước biển ven bờ)</t>
        </is>
      </c>
      <c r="D72" s="3" t="inlineStr">
        <is>
          <t>Ngoại nghiệp + Nội nghiệp</t>
        </is>
      </c>
      <c r="E72" s="3" t="inlineStr">
        <is>
          <t>-</t>
        </is>
      </c>
      <c r="F72" s="3" t="n">
        <v>0.8</v>
      </c>
      <c r="G72" s="3" t="n">
        <v>250000</v>
      </c>
      <c r="H72" s="3" t="n">
        <v>35000</v>
      </c>
      <c r="I72" s="3" t="n">
        <v>120000</v>
      </c>
    </row>
    <row r="73">
      <c r="A73" s="2" t="n">
        <v>69</v>
      </c>
      <c r="B73" s="2" t="inlineStr">
        <is>
          <t>NB5</t>
        </is>
      </c>
      <c r="C73" s="2" t="inlineStr">
        <is>
          <t>Nhiệt độ (Giám sát nước biển ven bờ)</t>
        </is>
      </c>
      <c r="D73" s="2" t="inlineStr">
        <is>
          <t>Ngoại nghiệp + Nội nghiệp</t>
        </is>
      </c>
      <c r="E73" s="2" t="inlineStr">
        <is>
          <t>0C</t>
        </is>
      </c>
      <c r="F73" s="2" t="n">
        <v>0.8</v>
      </c>
      <c r="G73" s="2" t="n">
        <v>250000</v>
      </c>
      <c r="H73" s="2" t="n">
        <v>35000</v>
      </c>
      <c r="I73" s="2" t="n">
        <v>120000</v>
      </c>
    </row>
    <row r="74">
      <c r="A74" s="3" t="n">
        <v>70</v>
      </c>
      <c r="B74" s="3" t="inlineStr">
        <is>
          <t>NB11</t>
        </is>
      </c>
      <c r="C74" s="3" t="inlineStr">
        <is>
          <t>DO (Giám sát nước biển ven bờ)</t>
        </is>
      </c>
      <c r="D74" s="3" t="inlineStr">
        <is>
          <t>Ngoại nghiệp + Nội nghiệp</t>
        </is>
      </c>
      <c r="E74" s="3" t="inlineStr">
        <is>
          <t>mg/l</t>
        </is>
      </c>
      <c r="F74" s="3" t="n">
        <v>0.8</v>
      </c>
      <c r="G74" s="3" t="n">
        <v>250000</v>
      </c>
      <c r="H74" s="3" t="n">
        <v>35000</v>
      </c>
      <c r="I74" s="3" t="n">
        <v>120000</v>
      </c>
    </row>
    <row r="75">
      <c r="A75" s="2" t="n">
        <v>71</v>
      </c>
      <c r="B75" s="2" t="inlineStr">
        <is>
          <t>NB17a</t>
        </is>
      </c>
      <c r="C75" s="2" t="inlineStr">
        <is>
          <t>Tổng chất rắn lơ (Giám sát nước biển ven bờ)</t>
        </is>
      </c>
      <c r="D75" s="2" t="inlineStr">
        <is>
          <t>Ngoại nghiệp + Nội nghiệp</t>
        </is>
      </c>
      <c r="E75" s="2" t="inlineStr">
        <is>
          <t>mg/l</t>
        </is>
      </c>
      <c r="F75" s="2" t="n">
        <v>0.8</v>
      </c>
      <c r="G75" s="2" t="n">
        <v>250000</v>
      </c>
      <c r="H75" s="2" t="n">
        <v>35000</v>
      </c>
      <c r="I75" s="2" t="n">
        <v>120000</v>
      </c>
    </row>
    <row r="76">
      <c r="A76" s="3" t="n">
        <v>72</v>
      </c>
      <c r="B76" s="3" t="inlineStr">
        <is>
          <t>NB15</t>
        </is>
      </c>
      <c r="C76" s="3" t="inlineStr">
        <is>
          <t>Amoni (tính theo N) (Giám sát nước biển ven bờ)</t>
        </is>
      </c>
      <c r="D76" s="3" t="inlineStr">
        <is>
          <t>Ngoại nghiệp + Nội nghiệp</t>
        </is>
      </c>
      <c r="E76" s="3" t="inlineStr">
        <is>
          <t>mg/l</t>
        </is>
      </c>
      <c r="F76" s="3" t="n">
        <v>0.8</v>
      </c>
      <c r="G76" s="3" t="n">
        <v>250000</v>
      </c>
      <c r="H76" s="3" t="n">
        <v>35000</v>
      </c>
      <c r="I76" s="3" t="n">
        <v>120000</v>
      </c>
    </row>
    <row r="77">
      <c r="A77" s="2" t="n">
        <v>73</v>
      </c>
      <c r="B77" s="2" t="inlineStr">
        <is>
          <t>NB10</t>
        </is>
      </c>
      <c r="C77" s="2" t="inlineStr">
        <is>
          <t>Phosphat (Giám sát nước biển ven bờ)</t>
        </is>
      </c>
      <c r="D77" s="2" t="inlineStr">
        <is>
          <t>Ngoại nghiệp + Nội nghiệp</t>
        </is>
      </c>
      <c r="E77" s="2" t="inlineStr">
        <is>
          <t>mg/l</t>
        </is>
      </c>
      <c r="F77" s="2" t="n">
        <v>0.8</v>
      </c>
      <c r="G77" s="2" t="n">
        <v>250000</v>
      </c>
      <c r="H77" s="2" t="n">
        <v>35000</v>
      </c>
      <c r="I77" s="2" t="n">
        <v>120000</v>
      </c>
    </row>
    <row r="78">
      <c r="A78" s="3" t="n">
        <v>74</v>
      </c>
      <c r="B78" s="3" t="inlineStr">
        <is>
          <t>NB15</t>
        </is>
      </c>
      <c r="C78" s="3" t="inlineStr">
        <is>
          <t>Florua (Giám sát nước biển ven bờ)</t>
        </is>
      </c>
      <c r="D78" s="3" t="inlineStr">
        <is>
          <t>Ngoại nghiệp + Nội nghiệp</t>
        </is>
      </c>
      <c r="E78" s="3" t="inlineStr">
        <is>
          <t>mg/l</t>
        </is>
      </c>
      <c r="F78" s="3" t="n">
        <v>0.8</v>
      </c>
      <c r="G78" s="3" t="n">
        <v>250000</v>
      </c>
      <c r="H78" s="3" t="n">
        <v>35000</v>
      </c>
      <c r="I78" s="3" t="n">
        <v>120000</v>
      </c>
    </row>
    <row r="79">
      <c r="A79" s="2" t="n">
        <v>75</v>
      </c>
      <c r="B79" s="2" t="inlineStr">
        <is>
          <t>NB20</t>
        </is>
      </c>
      <c r="C79" s="2" t="inlineStr">
        <is>
          <t>Xyanua (Giám sát nước biển ven bờ)</t>
        </is>
      </c>
      <c r="D79" s="2" t="inlineStr">
        <is>
          <t>Ngoại nghiệp + Nội nghiệp</t>
        </is>
      </c>
      <c r="E79" s="2" t="inlineStr">
        <is>
          <t>mg/l</t>
        </is>
      </c>
      <c r="F79" s="2" t="n">
        <v>0.8</v>
      </c>
      <c r="G79" s="2" t="n">
        <v>250000</v>
      </c>
      <c r="H79" s="2" t="n">
        <v>35000</v>
      </c>
      <c r="I79" s="2" t="n">
        <v>120000</v>
      </c>
    </row>
    <row r="80">
      <c r="A80" s="3" t="n">
        <v>76</v>
      </c>
      <c r="B80" s="3" t="inlineStr">
        <is>
          <t>NB21</t>
        </is>
      </c>
      <c r="C80" s="3" t="inlineStr">
        <is>
          <t>Cd (Giám sát nước biển ven bờ)</t>
        </is>
      </c>
      <c r="D80" s="3" t="inlineStr">
        <is>
          <t>Ngoại nghiệp + Nội nghiệp</t>
        </is>
      </c>
      <c r="E80" s="3" t="inlineStr">
        <is>
          <t>mg/l</t>
        </is>
      </c>
      <c r="F80" s="3" t="n">
        <v>0.8</v>
      </c>
      <c r="G80" s="3" t="n">
        <v>250000</v>
      </c>
      <c r="H80" s="3" t="n">
        <v>35000</v>
      </c>
      <c r="I80" s="3" t="n">
        <v>120000</v>
      </c>
    </row>
    <row r="81">
      <c r="A81" s="2" t="n">
        <v>77</v>
      </c>
      <c r="B81" s="2" t="inlineStr">
        <is>
          <t>NB21</t>
        </is>
      </c>
      <c r="C81" s="2" t="inlineStr">
        <is>
          <t>As (Giám sát nước biển ven bờ)</t>
        </is>
      </c>
      <c r="D81" s="2" t="inlineStr">
        <is>
          <t>Ngoại nghiệp + Nội nghiệp</t>
        </is>
      </c>
      <c r="E81" s="2" t="inlineStr">
        <is>
          <t>mg/l</t>
        </is>
      </c>
      <c r="F81" s="2" t="n">
        <v>0.8</v>
      </c>
      <c r="G81" s="2" t="n">
        <v>250000</v>
      </c>
      <c r="H81" s="2" t="n">
        <v>35000</v>
      </c>
      <c r="I81" s="2" t="n">
        <v>120000</v>
      </c>
    </row>
    <row r="82">
      <c r="A82" s="3" t="n">
        <v>78</v>
      </c>
      <c r="B82" s="3" t="inlineStr">
        <is>
          <t>NB21</t>
        </is>
      </c>
      <c r="C82" s="3" t="inlineStr">
        <is>
          <t>Hg (Giám sát nước biển ven bờ)</t>
        </is>
      </c>
      <c r="D82" s="3" t="inlineStr">
        <is>
          <t>Ngoại nghiệp + Nội nghiệp</t>
        </is>
      </c>
      <c r="E82" s="3" t="inlineStr">
        <is>
          <t>mg/l</t>
        </is>
      </c>
      <c r="F82" s="3" t="n">
        <v>0.8</v>
      </c>
      <c r="G82" s="3" t="n">
        <v>250000</v>
      </c>
      <c r="H82" s="3" t="n">
        <v>35000</v>
      </c>
      <c r="I82" s="3" t="n">
        <v>120000</v>
      </c>
    </row>
    <row r="83">
      <c r="A83" s="2" t="n">
        <v>79</v>
      </c>
      <c r="B83" s="2" t="inlineStr">
        <is>
          <t>NB21</t>
        </is>
      </c>
      <c r="C83" s="2" t="inlineStr">
        <is>
          <t>Cu (Giám sát nước biển ven bờ)</t>
        </is>
      </c>
      <c r="D83" s="2" t="inlineStr">
        <is>
          <t>Ngoại nghiệp + Nội nghiệp</t>
        </is>
      </c>
      <c r="E83" s="2" t="inlineStr">
        <is>
          <t>mg/l</t>
        </is>
      </c>
      <c r="F83" s="2" t="n">
        <v>0.8</v>
      </c>
      <c r="G83" s="2" t="n">
        <v>250000</v>
      </c>
      <c r="H83" s="2" t="n">
        <v>35000</v>
      </c>
      <c r="I83" s="2" t="n">
        <v>120000</v>
      </c>
    </row>
    <row r="84">
      <c r="A84" s="3" t="n">
        <v>80</v>
      </c>
      <c r="B84" s="3" t="inlineStr">
        <is>
          <t>NB21</t>
        </is>
      </c>
      <c r="C84" s="3" t="inlineStr">
        <is>
          <t>Pb (Giám sát nước biển ven bờ)</t>
        </is>
      </c>
      <c r="D84" s="3" t="inlineStr">
        <is>
          <t>Ngoại nghiệp + Nội nghiệp</t>
        </is>
      </c>
      <c r="E84" s="3" t="inlineStr">
        <is>
          <t>mg/l</t>
        </is>
      </c>
      <c r="F84" s="3" t="n">
        <v>0.8</v>
      </c>
      <c r="G84" s="3" t="n">
        <v>250000</v>
      </c>
      <c r="H84" s="3" t="n">
        <v>35000</v>
      </c>
      <c r="I84" s="3" t="n">
        <v>120000</v>
      </c>
    </row>
    <row r="85">
      <c r="A85" s="2" t="n">
        <v>81</v>
      </c>
      <c r="B85" s="2" t="inlineStr">
        <is>
          <t>NB21</t>
        </is>
      </c>
      <c r="C85" s="2" t="inlineStr">
        <is>
          <t>Fe (Giám sát nước biển ven bờ)</t>
        </is>
      </c>
      <c r="D85" s="2" t="inlineStr">
        <is>
          <t>Ngoại nghiệp + Nội nghiệp</t>
        </is>
      </c>
      <c r="E85" s="2" t="inlineStr">
        <is>
          <t>mg/l</t>
        </is>
      </c>
      <c r="F85" s="2" t="n">
        <v>0.8</v>
      </c>
      <c r="G85" s="2" t="n">
        <v>250000</v>
      </c>
      <c r="H85" s="2" t="n">
        <v>35000</v>
      </c>
      <c r="I85" s="2" t="n">
        <v>120000</v>
      </c>
    </row>
    <row r="86">
      <c r="A86" s="3" t="n">
        <v>82</v>
      </c>
      <c r="B86" s="3" t="inlineStr">
        <is>
          <t>NB21</t>
        </is>
      </c>
      <c r="C86" s="3" t="inlineStr">
        <is>
          <t>Zn (Giám sát nước biển ven bờ)</t>
        </is>
      </c>
      <c r="D86" s="3" t="inlineStr">
        <is>
          <t>Ngoại nghiệp + Nội nghiệp</t>
        </is>
      </c>
      <c r="E86" s="3" t="inlineStr">
        <is>
          <t>mg/l</t>
        </is>
      </c>
      <c r="F86" s="3" t="n">
        <v>0.8</v>
      </c>
      <c r="G86" s="3" t="n">
        <v>250000</v>
      </c>
      <c r="H86" s="3" t="n">
        <v>35000</v>
      </c>
      <c r="I86" s="3" t="n">
        <v>120000</v>
      </c>
    </row>
    <row r="87">
      <c r="A87" s="2" t="n">
        <v>83</v>
      </c>
      <c r="B87" s="2" t="inlineStr">
        <is>
          <t>NB21</t>
        </is>
      </c>
      <c r="C87" s="2" t="inlineStr">
        <is>
          <t>Tổng Cr (Giám sát nước biển ven bờ)</t>
        </is>
      </c>
      <c r="D87" s="2" t="inlineStr">
        <is>
          <t>Ngoại nghiệp + Nội nghiệp</t>
        </is>
      </c>
      <c r="E87" s="2" t="inlineStr">
        <is>
          <t>mg/l</t>
        </is>
      </c>
      <c r="F87" s="2" t="n">
        <v>0.8</v>
      </c>
      <c r="G87" s="2" t="n">
        <v>250000</v>
      </c>
      <c r="H87" s="2" t="n">
        <v>35000</v>
      </c>
      <c r="I87" s="2" t="n">
        <v>120000</v>
      </c>
    </row>
    <row r="88">
      <c r="A88" s="3" t="n">
        <v>84</v>
      </c>
      <c r="B88" s="3" t="inlineStr">
        <is>
          <t>NB21</t>
        </is>
      </c>
      <c r="C88" s="3" t="inlineStr">
        <is>
          <t>Mn (Giám sát nước biển ven bờ)</t>
        </is>
      </c>
      <c r="D88" s="3" t="inlineStr">
        <is>
          <t>Ngoại nghiệp + Nội nghiệp</t>
        </is>
      </c>
      <c r="E88" s="3" t="inlineStr">
        <is>
          <t>mg/l</t>
        </is>
      </c>
      <c r="F88" s="3" t="n">
        <v>0.8</v>
      </c>
      <c r="G88" s="3" t="n">
        <v>250000</v>
      </c>
      <c r="H88" s="3" t="n">
        <v>35000</v>
      </c>
      <c r="I88" s="3" t="n">
        <v>120000</v>
      </c>
    </row>
    <row r="89">
      <c r="A89" s="2" t="n">
        <v>85</v>
      </c>
      <c r="B89" s="2" t="inlineStr">
        <is>
          <t>NB21</t>
        </is>
      </c>
      <c r="C89" s="2" t="inlineStr">
        <is>
          <t>Cr VI (Giám sát nước biển ven bờ)</t>
        </is>
      </c>
      <c r="D89" s="2" t="inlineStr">
        <is>
          <t>Ngoại nghiệp + Nội nghiệp</t>
        </is>
      </c>
      <c r="E89" s="2" t="inlineStr">
        <is>
          <t>mg/l</t>
        </is>
      </c>
      <c r="F89" s="2" t="n">
        <v>0.8</v>
      </c>
      <c r="G89" s="2" t="n">
        <v>250000</v>
      </c>
      <c r="H89" s="2" t="n">
        <v>35000</v>
      </c>
      <c r="I89" s="2" t="n">
        <v>120000</v>
      </c>
    </row>
    <row r="90">
      <c r="A90" s="3" t="n">
        <v>86</v>
      </c>
      <c r="B90" s="3" t="inlineStr">
        <is>
          <t>NB10</t>
        </is>
      </c>
      <c r="C90" s="3" t="inlineStr">
        <is>
          <t>Tổng Phenol (Giám sát nước biển ven bờ)</t>
        </is>
      </c>
      <c r="D90" s="3" t="inlineStr">
        <is>
          <t>Ngoại nghiệp + Nội nghiệp</t>
        </is>
      </c>
      <c r="E90" s="3" t="inlineStr">
        <is>
          <t>mg/l</t>
        </is>
      </c>
      <c r="F90" s="3" t="n">
        <v>0.8</v>
      </c>
      <c r="G90" s="3" t="n">
        <v>250000</v>
      </c>
      <c r="H90" s="3" t="n">
        <v>35000</v>
      </c>
      <c r="I90" s="3" t="n">
        <v>120000</v>
      </c>
    </row>
    <row r="91">
      <c r="A91" s="2" t="n">
        <v>87</v>
      </c>
      <c r="B91" s="2" t="inlineStr">
        <is>
          <t>NB22</t>
        </is>
      </c>
      <c r="C91" s="2" t="inlineStr">
        <is>
          <t>Tổng dầu mỡ khoáng (Giám sát nước biển ven bờ)</t>
        </is>
      </c>
      <c r="D91" s="2" t="inlineStr">
        <is>
          <t>Ngoại nghiệp + Nội nghiệp</t>
        </is>
      </c>
      <c r="E91" s="2" t="inlineStr">
        <is>
          <t>mg/l</t>
        </is>
      </c>
      <c r="F91" s="2" t="n">
        <v>0.8</v>
      </c>
      <c r="G91" s="2" t="n">
        <v>250000</v>
      </c>
      <c r="H91" s="2" t="n">
        <v>35000</v>
      </c>
      <c r="I91" s="2" t="n">
        <v>120000</v>
      </c>
    </row>
    <row r="92">
      <c r="A92" s="3" t="n">
        <v>88</v>
      </c>
      <c r="B92" s="3" t="inlineStr">
        <is>
          <t>NB18</t>
        </is>
      </c>
      <c r="C92" s="3" t="inlineStr">
        <is>
          <t>Coliform (Giám sát nước biển ven bờ)</t>
        </is>
      </c>
      <c r="D92" s="3" t="inlineStr">
        <is>
          <t>Ngoại nghiệp + Nội nghiệp</t>
        </is>
      </c>
      <c r="E92" s="3" t="inlineStr">
        <is>
          <t>MPN/100ml</t>
        </is>
      </c>
      <c r="F92" s="3" t="n">
        <v>0.8</v>
      </c>
      <c r="G92" s="3" t="n">
        <v>250000</v>
      </c>
      <c r="H92" s="3" t="n">
        <v>35000</v>
      </c>
      <c r="I92" s="3" t="n">
        <v>120000</v>
      </c>
    </row>
    <row r="93">
      <c r="A93" s="2" t="n">
        <v>89</v>
      </c>
      <c r="B93" s="2" t="inlineStr">
        <is>
          <t>NB10</t>
        </is>
      </c>
      <c r="C93" s="2" t="inlineStr">
        <is>
          <t>Phiêu sinh thực vật (Giám sát hệ sinh thái thủy sinh)</t>
        </is>
      </c>
      <c r="D93" s="2" t="inlineStr">
        <is>
          <t>Ngoại nghiệp + Nội nghiệp</t>
        </is>
      </c>
      <c r="E93" s="2" t="inlineStr"/>
      <c r="F93" s="2" t="n">
        <v>0.8</v>
      </c>
      <c r="G93" s="2" t="n">
        <v>250000</v>
      </c>
      <c r="H93" s="2" t="n">
        <v>35000</v>
      </c>
      <c r="I93" s="2" t="n">
        <v>120000</v>
      </c>
    </row>
    <row r="94">
      <c r="A94" s="3" t="n">
        <v>90</v>
      </c>
      <c r="B94" s="3" t="inlineStr">
        <is>
          <t>NB10</t>
        </is>
      </c>
      <c r="C94" s="3" t="inlineStr">
        <is>
          <t>Phiêu sinh động vật (Giám sát hệ sinh thái thủy sinh)</t>
        </is>
      </c>
      <c r="D94" s="3" t="inlineStr">
        <is>
          <t>Ngoại nghiệp + Nội nghiệp</t>
        </is>
      </c>
      <c r="E94" s="3" t="inlineStr"/>
      <c r="F94" s="3" t="n">
        <v>0.8</v>
      </c>
      <c r="G94" s="3" t="n">
        <v>250000</v>
      </c>
      <c r="H94" s="3" t="n">
        <v>35000</v>
      </c>
      <c r="I94" s="3" t="n">
        <v>120000</v>
      </c>
    </row>
    <row r="95">
      <c r="A95" s="2" t="n">
        <v>91</v>
      </c>
      <c r="B95" s="2" t="inlineStr">
        <is>
          <t>NB19c</t>
        </is>
      </c>
      <c r="C95" s="2" t="inlineStr">
        <is>
          <t>Động vật đáy (Giám sát hệ sinh thái thủy sinh)</t>
        </is>
      </c>
      <c r="D95" s="2" t="inlineStr">
        <is>
          <t>Ngoại nghiệp + Nội nghiệp</t>
        </is>
      </c>
      <c r="E95" s="2" t="inlineStr"/>
      <c r="F95" s="2" t="n">
        <v>0.8</v>
      </c>
      <c r="G95" s="2" t="n">
        <v>250000</v>
      </c>
      <c r="H95" s="2" t="n">
        <v>35000</v>
      </c>
      <c r="I95" s="2" t="n">
        <v>120000</v>
      </c>
    </row>
    <row r="96">
      <c r="A96" s="3" t="n">
        <v>92</v>
      </c>
      <c r="B96" s="3" t="inlineStr">
        <is>
          <t>NT4b</t>
        </is>
      </c>
      <c r="C96" s="3" t="inlineStr">
        <is>
          <t>Màu (Giám sát nước thải)</t>
        </is>
      </c>
      <c r="D96" s="3" t="inlineStr">
        <is>
          <t>Ngoại nghiệp + Nội nghiệp</t>
        </is>
      </c>
      <c r="E96" s="3" t="inlineStr">
        <is>
          <t>mg/l</t>
        </is>
      </c>
      <c r="F96" s="3" t="n">
        <v>0.8</v>
      </c>
      <c r="G96" s="3" t="n">
        <v>250000</v>
      </c>
      <c r="H96" s="3" t="n">
        <v>35000</v>
      </c>
      <c r="I96" s="3" t="n">
        <v>120000</v>
      </c>
    </row>
    <row r="97">
      <c r="A97" s="2" t="n">
        <v>93</v>
      </c>
      <c r="B97" s="2" t="inlineStr">
        <is>
          <t>NT5a</t>
        </is>
      </c>
      <c r="C97" s="2" t="inlineStr">
        <is>
          <t>BOD5 (Giám sát nước thải)</t>
        </is>
      </c>
      <c r="D97" s="2" t="inlineStr">
        <is>
          <t>Ngoại nghiệp + Nội nghiệp</t>
        </is>
      </c>
      <c r="E97" s="2" t="inlineStr">
        <is>
          <t>mg/l</t>
        </is>
      </c>
      <c r="F97" s="2" t="n">
        <v>0.8</v>
      </c>
      <c r="G97" s="2" t="n">
        <v>250000</v>
      </c>
      <c r="H97" s="2" t="n">
        <v>35000</v>
      </c>
      <c r="I97" s="2" t="n">
        <v>120000</v>
      </c>
    </row>
    <row r="98">
      <c r="A98" s="3" t="n">
        <v>94</v>
      </c>
      <c r="B98" s="3" t="inlineStr">
        <is>
          <t>NT10l1</t>
        </is>
      </c>
      <c r="C98" s="3" t="inlineStr">
        <is>
          <t>Asen (Giám sát nước thải)</t>
        </is>
      </c>
      <c r="D98" s="3" t="inlineStr">
        <is>
          <t>Ngoại nghiệp + Nội nghiệp</t>
        </is>
      </c>
      <c r="E98" s="3" t="inlineStr">
        <is>
          <t>mg/l</t>
        </is>
      </c>
      <c r="F98" s="3" t="n">
        <v>0.8</v>
      </c>
      <c r="G98" s="3" t="n">
        <v>250000</v>
      </c>
      <c r="H98" s="3" t="n">
        <v>35000</v>
      </c>
      <c r="I98" s="3" t="n">
        <v>120000</v>
      </c>
    </row>
    <row r="99">
      <c r="A99" s="2" t="n">
        <v>95</v>
      </c>
      <c r="B99" s="2" t="inlineStr">
        <is>
          <t>NT10l2</t>
        </is>
      </c>
      <c r="C99" s="2" t="inlineStr">
        <is>
          <t>Thủy ngân (Giám sát nước thải)</t>
        </is>
      </c>
      <c r="D99" s="2" t="inlineStr">
        <is>
          <t>Ngoại nghiệp + Nội nghiệp</t>
        </is>
      </c>
      <c r="E99" s="2" t="inlineStr">
        <is>
          <t>mg/l</t>
        </is>
      </c>
      <c r="F99" s="2" t="n">
        <v>0.8</v>
      </c>
      <c r="G99" s="2" t="n">
        <v>250000</v>
      </c>
      <c r="H99" s="2" t="n">
        <v>35000</v>
      </c>
      <c r="I99" s="2" t="n">
        <v>120000</v>
      </c>
    </row>
    <row r="100">
      <c r="A100" s="3" t="n">
        <v>96</v>
      </c>
      <c r="B100" s="3" t="inlineStr">
        <is>
          <t>NT10k1</t>
        </is>
      </c>
      <c r="C100" s="3" t="inlineStr">
        <is>
          <t>Chì (Giám sát nước thải)</t>
        </is>
      </c>
      <c r="D100" s="3" t="inlineStr">
        <is>
          <t>Ngoại nghiệp + Nội nghiệp</t>
        </is>
      </c>
      <c r="E100" s="3" t="inlineStr">
        <is>
          <t>mg/l</t>
        </is>
      </c>
      <c r="F100" s="3" t="n">
        <v>0.8</v>
      </c>
      <c r="G100" s="3" t="n">
        <v>250000</v>
      </c>
      <c r="H100" s="3" t="n">
        <v>35000</v>
      </c>
      <c r="I100" s="3" t="n">
        <v>120000</v>
      </c>
    </row>
    <row r="101">
      <c r="A101" s="2" t="n">
        <v>97</v>
      </c>
      <c r="B101" s="2" t="inlineStr">
        <is>
          <t>NT10k2</t>
        </is>
      </c>
      <c r="C101" s="2" t="inlineStr">
        <is>
          <t>Cadimi (Giám sát nước thải)</t>
        </is>
      </c>
      <c r="D101" s="2" t="inlineStr">
        <is>
          <t>Ngoại nghiệp + Nội nghiệp</t>
        </is>
      </c>
      <c r="E101" s="2" t="inlineStr">
        <is>
          <t>mg/l</t>
        </is>
      </c>
      <c r="F101" s="2" t="n">
        <v>0.8</v>
      </c>
      <c r="G101" s="2" t="n">
        <v>250000</v>
      </c>
      <c r="H101" s="2" t="n">
        <v>35000</v>
      </c>
      <c r="I101" s="2" t="n">
        <v>120000</v>
      </c>
    </row>
    <row r="102">
      <c r="A102" s="3" t="n">
        <v>98</v>
      </c>
      <c r="B102" s="3" t="inlineStr">
        <is>
          <t>NT10m5</t>
        </is>
      </c>
      <c r="C102" s="3" t="inlineStr">
        <is>
          <t>Crom (III) (Giám sát nước thải)</t>
        </is>
      </c>
      <c r="D102" s="3" t="inlineStr">
        <is>
          <t>Ngoại nghiệp + Nội nghiệp</t>
        </is>
      </c>
      <c r="E102" s="3" t="inlineStr">
        <is>
          <t>mg/l</t>
        </is>
      </c>
      <c r="F102" s="3" t="n">
        <v>0.8</v>
      </c>
      <c r="G102" s="3" t="n">
        <v>250000</v>
      </c>
      <c r="H102" s="3" t="n">
        <v>35000</v>
      </c>
      <c r="I102" s="3" t="n">
        <v>120000</v>
      </c>
    </row>
    <row r="103">
      <c r="A103" s="2" t="n">
        <v>99</v>
      </c>
      <c r="B103" s="2" t="inlineStr">
        <is>
          <t>NT10đ</t>
        </is>
      </c>
      <c r="C103" s="2" t="inlineStr">
        <is>
          <t>Crom (VI) (Giám sát nước thải)</t>
        </is>
      </c>
      <c r="D103" s="2" t="inlineStr">
        <is>
          <t>Ngoại nghiệp + Nội nghiệp</t>
        </is>
      </c>
      <c r="E103" s="2" t="inlineStr">
        <is>
          <t>mg/l</t>
        </is>
      </c>
      <c r="F103" s="2" t="n">
        <v>0.8</v>
      </c>
      <c r="G103" s="2" t="n">
        <v>250000</v>
      </c>
      <c r="H103" s="2" t="n">
        <v>35000</v>
      </c>
      <c r="I103" s="2" t="n">
        <v>120000</v>
      </c>
    </row>
    <row r="104">
      <c r="A104" s="3" t="n">
        <v>100</v>
      </c>
      <c r="B104" s="3" t="inlineStr">
        <is>
          <t>NT10m1</t>
        </is>
      </c>
      <c r="C104" s="3" t="inlineStr">
        <is>
          <t>Đồng (Giám sát nước thải)</t>
        </is>
      </c>
      <c r="D104" s="3" t="inlineStr">
        <is>
          <t>Ngoại nghiệp + Nội nghiệp</t>
        </is>
      </c>
      <c r="E104" s="3" t="inlineStr">
        <is>
          <t>mg/l</t>
        </is>
      </c>
      <c r="F104" s="3" t="n">
        <v>0.8</v>
      </c>
      <c r="G104" s="3" t="n">
        <v>250000</v>
      </c>
      <c r="H104" s="3" t="n">
        <v>35000</v>
      </c>
      <c r="I104" s="3" t="n">
        <v>120000</v>
      </c>
    </row>
    <row r="105">
      <c r="A105" s="2" t="n">
        <v>101</v>
      </c>
      <c r="B105" s="2" t="inlineStr">
        <is>
          <t>NT10m2</t>
        </is>
      </c>
      <c r="C105" s="2" t="inlineStr">
        <is>
          <t>Kẽm (Giám sát nước thải)</t>
        </is>
      </c>
      <c r="D105" s="2" t="inlineStr">
        <is>
          <t>Ngoại nghiệp + Nội nghiệp</t>
        </is>
      </c>
      <c r="E105" s="2" t="inlineStr">
        <is>
          <t>mg/l</t>
        </is>
      </c>
      <c r="F105" s="2" t="n">
        <v>0.8</v>
      </c>
      <c r="G105" s="2" t="n">
        <v>250000</v>
      </c>
      <c r="H105" s="2" t="n">
        <v>35000</v>
      </c>
      <c r="I105" s="2" t="n">
        <v>120000</v>
      </c>
    </row>
    <row r="106">
      <c r="A106" s="3" t="n">
        <v>102</v>
      </c>
      <c r="B106" s="3" t="inlineStr">
        <is>
          <t>NT10m6</t>
        </is>
      </c>
      <c r="C106" s="3" t="inlineStr">
        <is>
          <t>Niken (Giám sát nước thải)</t>
        </is>
      </c>
      <c r="D106" s="3" t="inlineStr">
        <is>
          <t>Ngoại nghiệp + Nội nghiệp</t>
        </is>
      </c>
      <c r="E106" s="3" t="inlineStr">
        <is>
          <t>mg/l</t>
        </is>
      </c>
      <c r="F106" s="3" t="n">
        <v>0.8</v>
      </c>
      <c r="G106" s="3" t="n">
        <v>250000</v>
      </c>
      <c r="H106" s="3" t="n">
        <v>35000</v>
      </c>
      <c r="I106" s="3" t="n">
        <v>120000</v>
      </c>
    </row>
    <row r="107">
      <c r="A107" s="2" t="n">
        <v>103</v>
      </c>
      <c r="B107" s="2" t="inlineStr">
        <is>
          <t>NT10m3</t>
        </is>
      </c>
      <c r="C107" s="2" t="inlineStr">
        <is>
          <t>Mangan (Giám sát nước thải)</t>
        </is>
      </c>
      <c r="D107" s="2" t="inlineStr">
        <is>
          <t>Ngoại nghiệp + Nội nghiệp</t>
        </is>
      </c>
      <c r="E107" s="2" t="inlineStr">
        <is>
          <t>mg/l</t>
        </is>
      </c>
      <c r="F107" s="2" t="n">
        <v>0.8</v>
      </c>
      <c r="G107" s="2" t="n">
        <v>250000</v>
      </c>
      <c r="H107" s="2" t="n">
        <v>35000</v>
      </c>
      <c r="I107" s="2" t="n">
        <v>120000</v>
      </c>
    </row>
    <row r="108">
      <c r="A108" s="3" t="n">
        <v>104</v>
      </c>
      <c r="B108" s="3" t="inlineStr">
        <is>
          <t>NT10m4</t>
        </is>
      </c>
      <c r="C108" s="3" t="inlineStr">
        <is>
          <t>Sắt (Giám sát nước thải)</t>
        </is>
      </c>
      <c r="D108" s="3" t="inlineStr">
        <is>
          <t>Ngoại nghiệp + Nội nghiệp</t>
        </is>
      </c>
      <c r="E108" s="3" t="inlineStr">
        <is>
          <t>mg/l</t>
        </is>
      </c>
      <c r="F108" s="3" t="n">
        <v>0.8</v>
      </c>
      <c r="G108" s="3" t="n">
        <v>250000</v>
      </c>
      <c r="H108" s="3" t="n">
        <v>35000</v>
      </c>
      <c r="I108" s="3" t="n">
        <v>120000</v>
      </c>
    </row>
    <row r="109">
      <c r="A109" s="2" t="n">
        <v>105</v>
      </c>
      <c r="B109" s="2" t="inlineStr">
        <is>
          <t>NT9</t>
        </is>
      </c>
      <c r="C109" s="2" t="inlineStr">
        <is>
          <t>Tổng Xyanua (Giám sát nước thải)</t>
        </is>
      </c>
      <c r="D109" s="2" t="inlineStr">
        <is>
          <t>Ngoại nghiệp + Nội nghiệp</t>
        </is>
      </c>
      <c r="E109" s="2" t="inlineStr">
        <is>
          <t>mg/l</t>
        </is>
      </c>
      <c r="F109" s="2" t="n">
        <v>0.8</v>
      </c>
      <c r="G109" s="2" t="n">
        <v>250000</v>
      </c>
      <c r="H109" s="2" t="n">
        <v>35000</v>
      </c>
      <c r="I109" s="2" t="n">
        <v>120000</v>
      </c>
    </row>
    <row r="110">
      <c r="A110" s="3" t="n">
        <v>106</v>
      </c>
      <c r="B110" s="3" t="inlineStr">
        <is>
          <t>NT8</t>
        </is>
      </c>
      <c r="C110" s="3" t="inlineStr">
        <is>
          <t>Tổng dầu mỡ khoáng (Giám sát nước thải)</t>
        </is>
      </c>
      <c r="D110" s="3" t="inlineStr">
        <is>
          <t>Ngoại nghiệp + Nội nghiệp</t>
        </is>
      </c>
      <c r="E110" s="3" t="inlineStr">
        <is>
          <t>mg/l</t>
        </is>
      </c>
      <c r="F110" s="3" t="n">
        <v>0.8</v>
      </c>
      <c r="G110" s="3" t="n">
        <v>250000</v>
      </c>
      <c r="H110" s="3" t="n">
        <v>35000</v>
      </c>
      <c r="I110" s="3" t="n">
        <v>120000</v>
      </c>
    </row>
    <row r="111">
      <c r="A111" s="2" t="n">
        <v>107</v>
      </c>
      <c r="B111" s="2" t="inlineStr">
        <is>
          <t>NT10d</t>
        </is>
      </c>
      <c r="C111" s="2" t="inlineStr">
        <is>
          <t>Sunfua (Giám sát nước thải)</t>
        </is>
      </c>
      <c r="D111" s="2" t="inlineStr">
        <is>
          <t>Ngoại nghiệp + Nội nghiệp</t>
        </is>
      </c>
      <c r="E111" s="2" t="inlineStr">
        <is>
          <t>mg/l</t>
        </is>
      </c>
      <c r="F111" s="2" t="n">
        <v>0.8</v>
      </c>
      <c r="G111" s="2" t="n">
        <v>250000</v>
      </c>
      <c r="H111" s="2" t="n">
        <v>35000</v>
      </c>
      <c r="I111" s="2" t="n">
        <v>120000</v>
      </c>
    </row>
    <row r="112">
      <c r="A112" s="3" t="n">
        <v>108</v>
      </c>
      <c r="B112" s="3" t="inlineStr">
        <is>
          <t>NT10b</t>
        </is>
      </c>
      <c r="C112" s="3" t="inlineStr">
        <is>
          <t>Tổng N (Giám sát nước thải)</t>
        </is>
      </c>
      <c r="D112" s="3" t="inlineStr">
        <is>
          <t>Ngoại nghiệp + Nội nghiệp</t>
        </is>
      </c>
      <c r="E112" s="3" t="inlineStr">
        <is>
          <t>mg/l</t>
        </is>
      </c>
      <c r="F112" s="3" t="n">
        <v>0.8</v>
      </c>
      <c r="G112" s="3" t="n">
        <v>250000</v>
      </c>
      <c r="H112" s="3" t="n">
        <v>35000</v>
      </c>
      <c r="I112" s="3" t="n">
        <v>120000</v>
      </c>
    </row>
    <row r="113">
      <c r="A113" s="2" t="n">
        <v>109</v>
      </c>
      <c r="B113" s="2" t="inlineStr">
        <is>
          <t>NT10a</t>
        </is>
      </c>
      <c r="C113" s="2" t="inlineStr">
        <is>
          <t>Tổng P (Giám sát nước thải)</t>
        </is>
      </c>
      <c r="D113" s="2" t="inlineStr">
        <is>
          <t>Ngoại nghiệp + Nội nghiệp</t>
        </is>
      </c>
      <c r="E113" s="2" t="inlineStr">
        <is>
          <t>mg/l</t>
        </is>
      </c>
      <c r="F113" s="2" t="n">
        <v>0.8</v>
      </c>
      <c r="G113" s="2" t="n">
        <v>250000</v>
      </c>
      <c r="H113" s="2" t="n">
        <v>35000</v>
      </c>
      <c r="I113" s="2" t="n">
        <v>120000</v>
      </c>
    </row>
    <row r="114">
      <c r="A114" s="3" t="n">
        <v>110</v>
      </c>
      <c r="B114" s="3" t="inlineStr">
        <is>
          <t>NT10j</t>
        </is>
      </c>
      <c r="C114" s="3" t="inlineStr">
        <is>
          <t>Clo dư (Giám sát nước thải)</t>
        </is>
      </c>
      <c r="D114" s="3" t="inlineStr">
        <is>
          <t>Ngoại nghiệp + Nội nghiệp</t>
        </is>
      </c>
      <c r="E114" s="3" t="inlineStr">
        <is>
          <t>mg/l</t>
        </is>
      </c>
      <c r="F114" s="3" t="n">
        <v>0.8</v>
      </c>
      <c r="G114" s="3" t="n">
        <v>250000</v>
      </c>
      <c r="H114" s="3" t="n">
        <v>35000</v>
      </c>
      <c r="I114" s="3" t="n">
        <v>120000</v>
      </c>
    </row>
    <row r="115">
      <c r="A115" s="2" t="n">
        <v>111</v>
      </c>
      <c r="B115" s="2" t="inlineStr">
        <is>
          <t>NT7a</t>
        </is>
      </c>
      <c r="C115" s="2" t="inlineStr">
        <is>
          <t>Coliform (Giám sát nước thải)</t>
        </is>
      </c>
      <c r="D115" s="2" t="inlineStr">
        <is>
          <t>Ngoại nghiệp + Nội nghiệp</t>
        </is>
      </c>
      <c r="E115" s="2" t="inlineStr">
        <is>
          <t>MPN/ 100ml</t>
        </is>
      </c>
      <c r="F115" s="2" t="n">
        <v>0.8</v>
      </c>
      <c r="G115" s="2" t="n">
        <v>250000</v>
      </c>
      <c r="H115" s="2" t="n">
        <v>35000</v>
      </c>
      <c r="I115" s="2" t="n">
        <v>120000</v>
      </c>
    </row>
    <row r="116">
      <c r="A116" s="3" t="n">
        <v>112</v>
      </c>
      <c r="B116" s="3" t="inlineStr">
        <is>
          <t>KT9c</t>
        </is>
      </c>
      <c r="C116" s="3" t="inlineStr">
        <is>
          <t>Amoniac (Giám sát khí thải)</t>
        </is>
      </c>
      <c r="D116" s="3" t="inlineStr">
        <is>
          <t>Ngoại nghiệp + Nội nghiệp</t>
        </is>
      </c>
      <c r="E116" s="3" t="inlineStr">
        <is>
          <t>mg/Nm3</t>
        </is>
      </c>
      <c r="F116" s="3" t="n">
        <v>0.8</v>
      </c>
      <c r="G116" s="3" t="n">
        <v>250000</v>
      </c>
      <c r="H116" s="3" t="n">
        <v>35000</v>
      </c>
      <c r="I116" s="3" t="n">
        <v>120000</v>
      </c>
    </row>
    <row r="117">
      <c r="A117" s="2" t="n">
        <v>113</v>
      </c>
      <c r="B117" s="2" t="inlineStr">
        <is>
          <t>KK1a</t>
        </is>
      </c>
      <c r="C117" s="2" t="inlineStr">
        <is>
          <t>Nhiệt độ (Giám sát không khí xung quanh)</t>
        </is>
      </c>
      <c r="D117" s="2" t="inlineStr">
        <is>
          <t>Ngoại nghiệp + Nội nghiệp</t>
        </is>
      </c>
      <c r="E117" s="2" t="inlineStr">
        <is>
          <t>0C</t>
        </is>
      </c>
      <c r="F117" s="2" t="n">
        <v>0.8</v>
      </c>
      <c r="G117" s="2" t="n">
        <v>250000</v>
      </c>
      <c r="H117" s="2" t="n">
        <v>35000</v>
      </c>
      <c r="I117" s="2" t="n">
        <v>120000</v>
      </c>
    </row>
    <row r="118">
      <c r="A118" s="3" t="n">
        <v>114</v>
      </c>
      <c r="B118" s="3" t="inlineStr">
        <is>
          <t>KK1b</t>
        </is>
      </c>
      <c r="C118" s="3" t="inlineStr">
        <is>
          <t>Độ ẩm (Giám sát không khí xung quanh)</t>
        </is>
      </c>
      <c r="D118" s="3" t="inlineStr">
        <is>
          <t>Ngoại nghiệp + Nội nghiệp</t>
        </is>
      </c>
      <c r="E118" s="3" t="inlineStr">
        <is>
          <t>%</t>
        </is>
      </c>
      <c r="F118" s="3" t="n">
        <v>0.8</v>
      </c>
      <c r="G118" s="3" t="n">
        <v>250000</v>
      </c>
      <c r="H118" s="3" t="n">
        <v>35000</v>
      </c>
      <c r="I118" s="3" t="n">
        <v>120000</v>
      </c>
    </row>
    <row r="119">
      <c r="A119" s="2" t="n">
        <v>115</v>
      </c>
      <c r="B119" s="2" t="inlineStr">
        <is>
          <t>KK2b</t>
        </is>
      </c>
      <c r="C119" s="2" t="inlineStr">
        <is>
          <t>Hướng gió (Giám sát không khí xung quanh)</t>
        </is>
      </c>
      <c r="D119" s="2" t="inlineStr">
        <is>
          <t>Ngoại nghiệp + Nội nghiệp</t>
        </is>
      </c>
      <c r="E119" s="2" t="inlineStr">
        <is>
          <t>-</t>
        </is>
      </c>
      <c r="F119" s="2" t="n">
        <v>0.8</v>
      </c>
      <c r="G119" s="2" t="n">
        <v>250000</v>
      </c>
      <c r="H119" s="2" t="n">
        <v>35000</v>
      </c>
      <c r="I119" s="2" t="n">
        <v>120000</v>
      </c>
    </row>
    <row r="120">
      <c r="A120" s="3" t="n">
        <v>116</v>
      </c>
      <c r="B120" s="3" t="inlineStr">
        <is>
          <t>KK2a</t>
        </is>
      </c>
      <c r="C120" s="3" t="inlineStr">
        <is>
          <t>Tốc độ gió (Giám sát không khí xung quanh)</t>
        </is>
      </c>
      <c r="D120" s="3" t="inlineStr">
        <is>
          <t>Ngoại nghiệp + Nội nghiệp</t>
        </is>
      </c>
      <c r="E120" s="3" t="inlineStr">
        <is>
          <t>m/s</t>
        </is>
      </c>
      <c r="F120" s="3" t="n">
        <v>0.8</v>
      </c>
      <c r="G120" s="3" t="n">
        <v>250000</v>
      </c>
      <c r="H120" s="3" t="n">
        <v>35000</v>
      </c>
      <c r="I120" s="3" t="n">
        <v>120000</v>
      </c>
    </row>
    <row r="121">
      <c r="A121" s="2" t="n">
        <v>117</v>
      </c>
      <c r="B121" s="2" t="inlineStr">
        <is>
          <t>TO1a</t>
        </is>
      </c>
      <c r="C121" s="2" t="inlineStr">
        <is>
          <t>Tiếng ồn (Giám sát không khí xung quanh)</t>
        </is>
      </c>
      <c r="D121" s="2" t="inlineStr">
        <is>
          <t>Ngoại nghiệp + Nội nghiệp</t>
        </is>
      </c>
      <c r="E121" s="2" t="inlineStr">
        <is>
          <t>dBA</t>
        </is>
      </c>
      <c r="F121" s="2" t="n">
        <v>0.8</v>
      </c>
      <c r="G121" s="2" t="n">
        <v>250000</v>
      </c>
      <c r="H121" s="2" t="n">
        <v>35000</v>
      </c>
      <c r="I121" s="2" t="n">
        <v>120000</v>
      </c>
    </row>
    <row r="122">
      <c r="A122" s="3" t="n">
        <v>118</v>
      </c>
      <c r="B122" s="3" t="inlineStr">
        <is>
          <t>ĐR01</t>
        </is>
      </c>
      <c r="C122" s="3" t="inlineStr">
        <is>
          <t>Độ rung (Giám sát không khí xung quanh)</t>
        </is>
      </c>
      <c r="D122" s="3" t="inlineStr">
        <is>
          <t>Ngoại nghiệp + Nội nghiệp</t>
        </is>
      </c>
      <c r="E122" s="3" t="inlineStr">
        <is>
          <t>dB</t>
        </is>
      </c>
      <c r="F122" s="3" t="n">
        <v>0.8</v>
      </c>
      <c r="G122" s="3" t="n">
        <v>250000</v>
      </c>
      <c r="H122" s="3" t="n">
        <v>35000</v>
      </c>
      <c r="I122" s="3" t="n">
        <v>120000</v>
      </c>
    </row>
    <row r="123">
      <c r="A123" s="2" t="n">
        <v>119</v>
      </c>
      <c r="B123" s="2" t="inlineStr">
        <is>
          <t>KK4a</t>
        </is>
      </c>
      <c r="C123" s="2" t="inlineStr">
        <is>
          <t>Tổng bụi lơ lửng (Giám sát không khí xung quanh)</t>
        </is>
      </c>
      <c r="D123" s="2" t="inlineStr">
        <is>
          <t>Ngoại nghiệp + Nội nghiệp</t>
        </is>
      </c>
      <c r="E123" s="2" t="inlineStr">
        <is>
          <t>µg/Nm3</t>
        </is>
      </c>
      <c r="F123" s="2" t="n">
        <v>0.8</v>
      </c>
      <c r="G123" s="2" t="n">
        <v>250000</v>
      </c>
      <c r="H123" s="2" t="n">
        <v>35000</v>
      </c>
      <c r="I123" s="2" t="n">
        <v>120000</v>
      </c>
    </row>
    <row r="124">
      <c r="A124" s="3" t="n">
        <v>120</v>
      </c>
      <c r="B124" s="3" t="inlineStr">
        <is>
          <t>KK4c</t>
        </is>
      </c>
      <c r="C124" s="3" t="inlineStr">
        <is>
          <t>Bụi PM10 (Giám sát không khí xung quanh)</t>
        </is>
      </c>
      <c r="D124" s="3" t="inlineStr">
        <is>
          <t>Ngoại nghiệp + Nội nghiệp</t>
        </is>
      </c>
      <c r="E124" s="3" t="inlineStr">
        <is>
          <t>µg/Nm3</t>
        </is>
      </c>
      <c r="F124" s="3" t="n">
        <v>0.8</v>
      </c>
      <c r="G124" s="3" t="n">
        <v>250000</v>
      </c>
      <c r="H124" s="3" t="n">
        <v>35000</v>
      </c>
      <c r="I124" s="3" t="n">
        <v>120000</v>
      </c>
    </row>
    <row r="125">
      <c r="A125" s="2" t="n">
        <v>121</v>
      </c>
      <c r="B125" s="2" t="inlineStr">
        <is>
          <t>KK7</t>
        </is>
      </c>
      <c r="C125" s="2" t="inlineStr">
        <is>
          <t>SO 2 (Giám sát không khí xung quanh)</t>
        </is>
      </c>
      <c r="D125" s="2" t="inlineStr">
        <is>
          <t>Ngoại nghiệp + Nội nghiệp</t>
        </is>
      </c>
      <c r="E125" s="2" t="inlineStr">
        <is>
          <t>µg/Nm3</t>
        </is>
      </c>
      <c r="F125" s="2" t="n">
        <v>0.8</v>
      </c>
      <c r="G125" s="2" t="n">
        <v>250000</v>
      </c>
      <c r="H125" s="2" t="n">
        <v>35000</v>
      </c>
      <c r="I125" s="2" t="n">
        <v>120000</v>
      </c>
    </row>
    <row r="126">
      <c r="A126" s="3" t="n">
        <v>122</v>
      </c>
      <c r="B126" s="3" t="inlineStr">
        <is>
          <t>KK6</t>
        </is>
      </c>
      <c r="C126" s="3" t="inlineStr">
        <is>
          <t>NO 2 (Giám sát không khí xung quanh)</t>
        </is>
      </c>
      <c r="D126" s="3" t="inlineStr">
        <is>
          <t>Ngoại nghiệp + Nội nghiệp</t>
        </is>
      </c>
      <c r="E126" s="3" t="inlineStr">
        <is>
          <t>µg/Nm3</t>
        </is>
      </c>
      <c r="F126" s="3" t="n">
        <v>0.8</v>
      </c>
      <c r="G126" s="3" t="n">
        <v>250000</v>
      </c>
      <c r="H126" s="3" t="n">
        <v>35000</v>
      </c>
      <c r="I126" s="3" t="n">
        <v>120000</v>
      </c>
    </row>
    <row r="127">
      <c r="A127" s="2" t="n">
        <v>123</v>
      </c>
      <c r="B127" s="2" t="inlineStr">
        <is>
          <t>KK5a</t>
        </is>
      </c>
      <c r="C127" s="2" t="inlineStr">
        <is>
          <t>CO (Giám sát không khí xung quanh)</t>
        </is>
      </c>
      <c r="D127" s="2" t="inlineStr">
        <is>
          <t>Ngoại nghiệp + Nội nghiệp</t>
        </is>
      </c>
      <c r="E127" s="2" t="inlineStr">
        <is>
          <t>µg/Nm3</t>
        </is>
      </c>
      <c r="F127" s="2" t="n">
        <v>0.8</v>
      </c>
      <c r="G127" s="2" t="n">
        <v>250000</v>
      </c>
      <c r="H127" s="2" t="n">
        <v>35000</v>
      </c>
      <c r="I127" s="2" t="n">
        <v>120000</v>
      </c>
    </row>
    <row r="128">
      <c r="A128" s="3" t="n">
        <v>124</v>
      </c>
      <c r="B128" s="3" t="inlineStr">
        <is>
          <t>KT16</t>
        </is>
      </c>
      <c r="C128" s="3" t="inlineStr">
        <is>
          <t>Lưu lượng (Giám sát khí thải)</t>
        </is>
      </c>
      <c r="D128" s="3" t="inlineStr">
        <is>
          <t>Ngoại nghiệp + Nội nghiệp</t>
        </is>
      </c>
      <c r="E128" s="3" t="inlineStr">
        <is>
          <t>m3/h</t>
        </is>
      </c>
      <c r="F128" s="3" t="n">
        <v>0.8</v>
      </c>
      <c r="G128" s="3" t="n">
        <v>250000</v>
      </c>
      <c r="H128" s="3" t="n">
        <v>35000</v>
      </c>
      <c r="I128" s="3" t="n">
        <v>120000</v>
      </c>
    </row>
    <row r="129">
      <c r="A129" s="2" t="n">
        <v>125</v>
      </c>
      <c r="B129" s="2" t="inlineStr">
        <is>
          <t>KT4</t>
        </is>
      </c>
      <c r="C129" s="2" t="inlineStr">
        <is>
          <t>Nhiệt độ (Giám sát khí thải)</t>
        </is>
      </c>
      <c r="D129" s="2" t="inlineStr">
        <is>
          <t>Ngoại nghiệp + Nội nghiệp</t>
        </is>
      </c>
      <c r="E129" s="2" t="inlineStr">
        <is>
          <t>0C</t>
        </is>
      </c>
      <c r="F129" s="2" t="n">
        <v>0.8</v>
      </c>
      <c r="G129" s="2" t="n">
        <v>250000</v>
      </c>
      <c r="H129" s="2" t="n">
        <v>35000</v>
      </c>
      <c r="I129" s="2" t="n">
        <v>120000</v>
      </c>
    </row>
    <row r="130">
      <c r="A130" s="3" t="n">
        <v>126</v>
      </c>
      <c r="B130" s="3" t="inlineStr">
        <is>
          <t>KT10a</t>
        </is>
      </c>
      <c r="C130" s="3" t="inlineStr">
        <is>
          <t>Bụi tổng (Giám sát khí thải)</t>
        </is>
      </c>
      <c r="D130" s="3" t="inlineStr">
        <is>
          <t>Ngoại nghiệp + Nội nghiệp</t>
        </is>
      </c>
      <c r="E130" s="3" t="inlineStr">
        <is>
          <t>mg/Nm3</t>
        </is>
      </c>
      <c r="F130" s="3" t="n">
        <v>0.8</v>
      </c>
      <c r="G130" s="3" t="n">
        <v>250000</v>
      </c>
      <c r="H130" s="3" t="n">
        <v>35000</v>
      </c>
      <c r="I130" s="3" t="n">
        <v>120000</v>
      </c>
    </row>
    <row r="131">
      <c r="A131" s="2" t="n">
        <v>127</v>
      </c>
      <c r="B131" s="2" t="inlineStr">
        <is>
          <t>KT9b</t>
        </is>
      </c>
      <c r="C131" s="2" t="inlineStr">
        <is>
          <t>CO (Giám sát khí thải)</t>
        </is>
      </c>
      <c r="D131" s="2" t="inlineStr">
        <is>
          <t>Ngoại nghiệp + Nội nghiệp</t>
        </is>
      </c>
      <c r="E131" s="2" t="inlineStr">
        <is>
          <t>mg/Nm3</t>
        </is>
      </c>
      <c r="F131" s="2" t="n">
        <v>0.8</v>
      </c>
      <c r="G131" s="2" t="n">
        <v>250000</v>
      </c>
      <c r="H131" s="2" t="n">
        <v>35000</v>
      </c>
      <c r="I131" s="2" t="n">
        <v>120000</v>
      </c>
    </row>
    <row r="132">
      <c r="A132" s="3" t="n">
        <v>128</v>
      </c>
      <c r="B132" s="3" t="inlineStr">
        <is>
          <t>KT9e</t>
        </is>
      </c>
      <c r="C132" s="3" t="inlineStr">
        <is>
          <t>NOx (tính theo NO2) (Giám sát khí thải)</t>
        </is>
      </c>
      <c r="D132" s="3" t="inlineStr">
        <is>
          <t>Ngoại nghiệp + Nội nghiệp</t>
        </is>
      </c>
      <c r="E132" s="3" t="inlineStr">
        <is>
          <t>mg/Nm3</t>
        </is>
      </c>
      <c r="F132" s="3" t="n">
        <v>0.8</v>
      </c>
      <c r="G132" s="3" t="n">
        <v>250000</v>
      </c>
      <c r="H132" s="3" t="n">
        <v>35000</v>
      </c>
      <c r="I132" s="3" t="n">
        <v>120000</v>
      </c>
    </row>
    <row r="133">
      <c r="A133" s="2" t="n">
        <v>129</v>
      </c>
      <c r="B133" s="2" t="inlineStr">
        <is>
          <t>KT9đ</t>
        </is>
      </c>
      <c r="C133" s="2" t="inlineStr">
        <is>
          <t>SO 2 (Giám sát khí thải)</t>
        </is>
      </c>
      <c r="D133" s="2" t="inlineStr">
        <is>
          <t>Ngoại nghiệp + Nội nghiệp</t>
        </is>
      </c>
      <c r="E133" s="2" t="inlineStr">
        <is>
          <t>mg/Nm3</t>
        </is>
      </c>
      <c r="F133" s="2" t="n">
        <v>0.8</v>
      </c>
      <c r="G133" s="2" t="n">
        <v>250000</v>
      </c>
      <c r="H133" s="2" t="n">
        <v>35000</v>
      </c>
      <c r="I133" s="2" t="n">
        <v>120000</v>
      </c>
    </row>
    <row r="134">
      <c r="A134" s="3" t="n">
        <v>130</v>
      </c>
      <c r="B134" s="3" t="inlineStr">
        <is>
          <t>KT9a</t>
        </is>
      </c>
      <c r="C134" s="3" t="inlineStr">
        <is>
          <t>O2 (Giám sát khí thải)</t>
        </is>
      </c>
      <c r="D134" s="3" t="inlineStr">
        <is>
          <t>Ngoại nghiệp + Nội nghiệp</t>
        </is>
      </c>
      <c r="E134" s="3" t="inlineStr">
        <is>
          <t>%</t>
        </is>
      </c>
      <c r="F134" s="3" t="n">
        <v>0.8</v>
      </c>
      <c r="G134" s="3" t="n">
        <v>250000</v>
      </c>
      <c r="H134" s="3" t="n">
        <v>35000</v>
      </c>
      <c r="I134" s="3" t="n">
        <v>120000</v>
      </c>
    </row>
    <row r="135">
      <c r="A135" s="2" t="n">
        <v>131</v>
      </c>
      <c r="B135" s="2" t="inlineStr">
        <is>
          <t>NT1</t>
        </is>
      </c>
      <c r="C135" s="2" t="inlineStr">
        <is>
          <t>Nhiệt độ (Nước làm mát, nước thải từ hệ thống khử lưu huỳnh bằng nước biển, nước thải từ hệ thống lọc nước biển)</t>
        </is>
      </c>
      <c r="D135" s="2" t="inlineStr">
        <is>
          <t>Ngoại nghiệp + Nội nghiệp</t>
        </is>
      </c>
      <c r="E135" s="2" t="inlineStr">
        <is>
          <t>0C</t>
        </is>
      </c>
      <c r="F135" s="2" t="n">
        <v>0.8</v>
      </c>
      <c r="G135" s="2" t="n">
        <v>250000</v>
      </c>
      <c r="H135" s="2" t="n">
        <v>35000</v>
      </c>
      <c r="I135" s="2" t="n">
        <v>120000</v>
      </c>
    </row>
    <row r="136">
      <c r="A136" s="3" t="n">
        <v>132</v>
      </c>
      <c r="B136" s="3" t="inlineStr">
        <is>
          <t>NT2</t>
        </is>
      </c>
      <c r="C136" s="3" t="inlineStr">
        <is>
          <t>pH (Nước làm mát, nước thải từ hệ thống khử lưu huỳnh bằng nước biển, nước thải từ hệ thống lọc nước biển)</t>
        </is>
      </c>
      <c r="D136" s="3" t="inlineStr">
        <is>
          <t>Ngoại nghiệp + Nội nghiệp</t>
        </is>
      </c>
      <c r="E136" s="3" t="inlineStr">
        <is>
          <t>-</t>
        </is>
      </c>
      <c r="F136" s="3" t="n">
        <v>0.8</v>
      </c>
      <c r="G136" s="3" t="n">
        <v>250000</v>
      </c>
      <c r="H136" s="3" t="n">
        <v>35000</v>
      </c>
      <c r="I136" s="3" t="n">
        <v>120000</v>
      </c>
    </row>
    <row r="137">
      <c r="A137" s="2" t="n">
        <v>133</v>
      </c>
      <c r="B137" s="2" t="inlineStr">
        <is>
          <t>NT10j</t>
        </is>
      </c>
      <c r="C137" s="2" t="inlineStr">
        <is>
          <t>Clo dư (Nước làm mát, nước thải từ hệ thống khử lưu huỳnh bằng nước biển, nước thải từ hệ thống lọc nước biển)</t>
        </is>
      </c>
      <c r="D137" s="2" t="inlineStr">
        <is>
          <t>Ngoại nghiệp + Nội nghiệp</t>
        </is>
      </c>
      <c r="E137" s="2" t="inlineStr">
        <is>
          <t>mg/l</t>
        </is>
      </c>
      <c r="F137" s="2" t="n">
        <v>0.8</v>
      </c>
      <c r="G137" s="2" t="n">
        <v>250000</v>
      </c>
      <c r="H137" s="2" t="n">
        <v>35000</v>
      </c>
      <c r="I137" s="2" t="n">
        <v>120000</v>
      </c>
    </row>
    <row r="138">
      <c r="A138" s="3" t="n">
        <v>134</v>
      </c>
      <c r="B138" s="3" t="inlineStr">
        <is>
          <t>NT5b</t>
        </is>
      </c>
      <c r="C138" s="3" t="inlineStr">
        <is>
          <t>COD (Nước làm mát, nước thải từ hệ thống khử lưu huỳnh bằng nước biển, nước thải từ hệ thống lọc nước biển)</t>
        </is>
      </c>
      <c r="D138" s="3" t="inlineStr">
        <is>
          <t>Ngoại nghiệp + Nội nghiệp</t>
        </is>
      </c>
      <c r="E138" s="3" t="inlineStr">
        <is>
          <t>mg/l</t>
        </is>
      </c>
      <c r="F138" s="3" t="n">
        <v>0.8</v>
      </c>
      <c r="G138" s="3" t="n">
        <v>250000</v>
      </c>
      <c r="H138" s="3" t="n">
        <v>35000</v>
      </c>
      <c r="I138" s="3" t="n">
        <v>120000</v>
      </c>
    </row>
    <row r="139">
      <c r="A139" s="2" t="n">
        <v>135</v>
      </c>
      <c r="B139" s="2" t="inlineStr">
        <is>
          <t>NT6</t>
        </is>
      </c>
      <c r="C139" s="2" t="inlineStr">
        <is>
          <t>TSS (Nước làm mát, nước thải từ hệ thống khử lưu huỳnh bằng nước biển, nước thải từ hệ thống lọc nước biển)</t>
        </is>
      </c>
      <c r="D139" s="2" t="inlineStr">
        <is>
          <t>Ngoại nghiệp + Nội nghiệp</t>
        </is>
      </c>
      <c r="E139" s="2" t="inlineStr">
        <is>
          <t>mg/l</t>
        </is>
      </c>
      <c r="F139" s="2" t="n">
        <v>0.8</v>
      </c>
      <c r="G139" s="2" t="n">
        <v>250000</v>
      </c>
      <c r="H139" s="2" t="n">
        <v>35000</v>
      </c>
      <c r="I139" s="2" t="n">
        <v>120000</v>
      </c>
    </row>
    <row r="140">
      <c r="A140" s="3" t="n">
        <v>136</v>
      </c>
      <c r="B140" s="3" t="inlineStr">
        <is>
          <t>MỤC 2</t>
        </is>
      </c>
      <c r="C140" s="3" t="inlineStr">
        <is>
          <t>Tiêu đề: Nước thải sau xử lý của HTXLNT tập trung (Nước làm mát, nước thải từ hệ thống khử lưu huỳnh bằng nước biển, nước thải từ hệ thống lọc nước biển)</t>
        </is>
      </c>
      <c r="D140" s="3" t="inlineStr">
        <is>
          <t>Ngoại nghiệp + Nội nghiệp</t>
        </is>
      </c>
      <c r="E140" s="3" t="inlineStr">
        <is>
          <t>Header</t>
        </is>
      </c>
      <c r="F140" s="3" t="n">
        <v>0.8</v>
      </c>
      <c r="G140" s="3" t="n">
        <v>250000</v>
      </c>
      <c r="H140" s="3" t="n">
        <v>35000</v>
      </c>
      <c r="I140" s="3" t="n">
        <v>120000</v>
      </c>
    </row>
    <row r="141">
      <c r="A141" s="2" t="n">
        <v>137</v>
      </c>
      <c r="B141" s="2" t="inlineStr">
        <is>
          <t>NT1</t>
        </is>
      </c>
      <c r="C141" s="2" t="inlineStr">
        <is>
          <t>Nhiệt độ (Nước làm mát, nước thải từ hệ thống khử lưu huỳnh bằng nước biển, nước thải từ hệ thống lọc nước biển)</t>
        </is>
      </c>
      <c r="D141" s="2" t="inlineStr">
        <is>
          <t>Ngoại nghiệp + Nội nghiệp</t>
        </is>
      </c>
      <c r="E141" s="2" t="inlineStr">
        <is>
          <t>0C</t>
        </is>
      </c>
      <c r="F141" s="2" t="n">
        <v>0.8</v>
      </c>
      <c r="G141" s="2" t="n">
        <v>250000</v>
      </c>
      <c r="H141" s="2" t="n">
        <v>35000</v>
      </c>
      <c r="I141" s="2" t="n">
        <v>120000</v>
      </c>
    </row>
    <row r="142">
      <c r="A142" s="3" t="n">
        <v>138</v>
      </c>
      <c r="B142" s="3" t="inlineStr">
        <is>
          <t>NT2</t>
        </is>
      </c>
      <c r="C142" s="3" t="inlineStr">
        <is>
          <t>pH (Nước làm mát, nước thải từ hệ thống khử lưu huỳnh bằng nước biển, nước thải từ hệ thống lọc nước biển)</t>
        </is>
      </c>
      <c r="D142" s="3" t="inlineStr">
        <is>
          <t>Ngoại nghiệp + Nội nghiệp</t>
        </is>
      </c>
      <c r="E142" s="3" t="inlineStr">
        <is>
          <t>-</t>
        </is>
      </c>
      <c r="F142" s="3" t="n">
        <v>0.8</v>
      </c>
      <c r="G142" s="3" t="n">
        <v>250000</v>
      </c>
      <c r="H142" s="3" t="n">
        <v>35000</v>
      </c>
      <c r="I142" s="3" t="n">
        <v>120000</v>
      </c>
    </row>
    <row r="143">
      <c r="A143" s="2" t="n">
        <v>139</v>
      </c>
      <c r="B143" s="2" t="inlineStr">
        <is>
          <t>NT4b</t>
        </is>
      </c>
      <c r="C143" s="2" t="inlineStr">
        <is>
          <t>Độ màu (Nước làm mát, nước thải từ hệ thống khử lưu huỳnh bằng nước biển, nước thải từ hệ thống lọc nước biển)</t>
        </is>
      </c>
      <c r="D143" s="2" t="inlineStr">
        <is>
          <t>Ngoại nghiệp + Nội nghiệp</t>
        </is>
      </c>
      <c r="E143" s="2" t="inlineStr">
        <is>
          <t>Pt/Co</t>
        </is>
      </c>
      <c r="F143" s="2" t="n">
        <v>0.8</v>
      </c>
      <c r="G143" s="2" t="n">
        <v>250000</v>
      </c>
      <c r="H143" s="2" t="n">
        <v>35000</v>
      </c>
      <c r="I143" s="2" t="n">
        <v>120000</v>
      </c>
    </row>
    <row r="144">
      <c r="A144" s="3" t="n">
        <v>140</v>
      </c>
      <c r="B144" s="3" t="inlineStr">
        <is>
          <t>NT5a</t>
        </is>
      </c>
      <c r="C144" s="3" t="inlineStr">
        <is>
          <t>BOD5 (Nước làm mát, nước thải từ hệ thống khử lưu huỳnh bằng nước biển, nước thải từ hệ thống lọc nước biển)</t>
        </is>
      </c>
      <c r="D144" s="3" t="inlineStr">
        <is>
          <t>Ngoại nghiệp + Nội nghiệp</t>
        </is>
      </c>
      <c r="E144" s="3" t="inlineStr">
        <is>
          <t>mg/l</t>
        </is>
      </c>
      <c r="F144" s="3" t="n">
        <v>0.8</v>
      </c>
      <c r="G144" s="3" t="n">
        <v>250000</v>
      </c>
      <c r="H144" s="3" t="n">
        <v>35000</v>
      </c>
      <c r="I144" s="3" t="n">
        <v>120000</v>
      </c>
    </row>
    <row r="145">
      <c r="A145" s="2" t="n">
        <v>141</v>
      </c>
      <c r="B145" s="2" t="inlineStr">
        <is>
          <t>NT5b</t>
        </is>
      </c>
      <c r="C145" s="2" t="inlineStr">
        <is>
          <t>COD (Nước làm mát, nước thải từ hệ thống khử lưu huỳnh bằng nước biển, nước thải từ hệ thống lọc nước biển)</t>
        </is>
      </c>
      <c r="D145" s="2" t="inlineStr">
        <is>
          <t>Ngoại nghiệp + Nội nghiệp</t>
        </is>
      </c>
      <c r="E145" s="2" t="inlineStr">
        <is>
          <t>mg/l</t>
        </is>
      </c>
      <c r="F145" s="2" t="n">
        <v>0.8</v>
      </c>
      <c r="G145" s="2" t="n">
        <v>250000</v>
      </c>
      <c r="H145" s="2" t="n">
        <v>35000</v>
      </c>
      <c r="I145" s="2" t="n">
        <v>120000</v>
      </c>
    </row>
    <row r="146">
      <c r="A146" s="3" t="n">
        <v>142</v>
      </c>
      <c r="B146" s="3" t="inlineStr">
        <is>
          <t>NT6</t>
        </is>
      </c>
      <c r="C146" s="3" t="inlineStr">
        <is>
          <t>TSS (Nước làm mát, nước thải từ hệ thống khử lưu huỳnh bằng nước biển, nước thải từ hệ thống lọc nước biển)</t>
        </is>
      </c>
      <c r="D146" s="3" t="inlineStr">
        <is>
          <t>Ngoại nghiệp + Nội nghiệp</t>
        </is>
      </c>
      <c r="E146" s="3" t="inlineStr">
        <is>
          <t>mg/l</t>
        </is>
      </c>
      <c r="F146" s="3" t="n">
        <v>0.8</v>
      </c>
      <c r="G146" s="3" t="n">
        <v>250000</v>
      </c>
      <c r="H146" s="3" t="n">
        <v>35000</v>
      </c>
      <c r="I146" s="3" t="n">
        <v>120000</v>
      </c>
    </row>
    <row r="147">
      <c r="A147" s="2" t="n">
        <v>143</v>
      </c>
      <c r="B147" s="2" t="inlineStr">
        <is>
          <t>NT10c</t>
        </is>
      </c>
      <c r="C147" s="2" t="inlineStr">
        <is>
          <t>Amoni (tính theo N) (Nước làm mát, nước thải từ hệ thống khử lưu huỳnh bằng nước biển, nước thải từ hệ thống lọc nước biển)</t>
        </is>
      </c>
      <c r="D147" s="2" t="inlineStr">
        <is>
          <t>Ngoại nghiệp + Nội nghiệp</t>
        </is>
      </c>
      <c r="E147" s="2" t="inlineStr">
        <is>
          <t>mg/l</t>
        </is>
      </c>
      <c r="F147" s="2" t="n">
        <v>0.8</v>
      </c>
      <c r="G147" s="2" t="n">
        <v>250000</v>
      </c>
      <c r="H147" s="2" t="n">
        <v>35000</v>
      </c>
      <c r="I147" s="2" t="n">
        <v>120000</v>
      </c>
    </row>
    <row r="148">
      <c r="A148" s="3" t="n">
        <v>144</v>
      </c>
      <c r="B148" s="3" t="inlineStr">
        <is>
          <t>NT10l1</t>
        </is>
      </c>
      <c r="C148" s="3" t="inlineStr">
        <is>
          <t>Asen (Nước làm mát, nước thải từ hệ thống khử lưu huỳnh bằng nước biển, nước thải từ hệ thống lọc nước biển)</t>
        </is>
      </c>
      <c r="D148" s="3" t="inlineStr">
        <is>
          <t>Ngoại nghiệp + Nội nghiệp</t>
        </is>
      </c>
      <c r="E148" s="3" t="inlineStr">
        <is>
          <t>mg/l</t>
        </is>
      </c>
      <c r="F148" s="3" t="n">
        <v>0.8</v>
      </c>
      <c r="G148" s="3" t="n">
        <v>250000</v>
      </c>
      <c r="H148" s="3" t="n">
        <v>35000</v>
      </c>
      <c r="I148" s="3" t="n">
        <v>120000</v>
      </c>
    </row>
    <row r="149">
      <c r="A149" s="2" t="n">
        <v>145</v>
      </c>
      <c r="B149" s="2" t="inlineStr">
        <is>
          <t>NT10l2</t>
        </is>
      </c>
      <c r="C149" s="2" t="inlineStr">
        <is>
          <t>Thủy ngân (Nước làm mát, nước thải từ hệ thống khử lưu huỳnh bằng nước biển, nước thải từ hệ thống lọc nước biển)</t>
        </is>
      </c>
      <c r="D149" s="2" t="inlineStr">
        <is>
          <t>Ngoại nghiệp + Nội nghiệp</t>
        </is>
      </c>
      <c r="E149" s="2" t="inlineStr">
        <is>
          <t>mg/l</t>
        </is>
      </c>
      <c r="F149" s="2" t="n">
        <v>0.8</v>
      </c>
      <c r="G149" s="2" t="n">
        <v>250000</v>
      </c>
      <c r="H149" s="2" t="n">
        <v>35000</v>
      </c>
      <c r="I149" s="2" t="n">
        <v>120000</v>
      </c>
    </row>
    <row r="150">
      <c r="A150" s="3" t="n">
        <v>146</v>
      </c>
      <c r="B150" s="3" t="inlineStr">
        <is>
          <t>NT10đ</t>
        </is>
      </c>
      <c r="C150" s="3" t="inlineStr">
        <is>
          <t>Crom (VI) (Nước làm mát, nước thải từ hệ thống khử lưu huỳnh bằng nước biển, nước thải từ hệ thống lọc nước biển)</t>
        </is>
      </c>
      <c r="D150" s="3" t="inlineStr">
        <is>
          <t>Ngoại nghiệp + Nội nghiệp</t>
        </is>
      </c>
      <c r="E150" s="3" t="inlineStr">
        <is>
          <t>mg/l</t>
        </is>
      </c>
      <c r="F150" s="3" t="n">
        <v>0.8</v>
      </c>
      <c r="G150" s="3" t="n">
        <v>250000</v>
      </c>
      <c r="H150" s="3" t="n">
        <v>35000</v>
      </c>
      <c r="I150" s="3" t="n">
        <v>120000</v>
      </c>
    </row>
    <row r="151">
      <c r="A151" s="2" t="n">
        <v>147</v>
      </c>
      <c r="B151" s="2" t="inlineStr">
        <is>
          <t>NT10m5</t>
        </is>
      </c>
      <c r="C151" s="2" t="inlineStr">
        <is>
          <t>Crom (III) (Nước làm mát, nước thải từ hệ thống khử lưu huỳnh bằng nước biển, nước thải từ hệ thống lọc nước biển)</t>
        </is>
      </c>
      <c r="D151" s="2" t="inlineStr">
        <is>
          <t>Ngoại nghiệp + Nội nghiệp</t>
        </is>
      </c>
      <c r="E151" s="2" t="inlineStr">
        <is>
          <t>mg/l</t>
        </is>
      </c>
      <c r="F151" s="2" t="n">
        <v>0.8</v>
      </c>
      <c r="G151" s="2" t="n">
        <v>250000</v>
      </c>
      <c r="H151" s="2" t="n">
        <v>35000</v>
      </c>
      <c r="I151" s="2" t="n">
        <v>120000</v>
      </c>
    </row>
    <row r="152">
      <c r="A152" s="3" t="n">
        <v>148</v>
      </c>
      <c r="B152" s="3" t="inlineStr">
        <is>
          <t>NT10k1</t>
        </is>
      </c>
      <c r="C152" s="3" t="inlineStr">
        <is>
          <t>Chì (Nước làm mát, nước thải từ hệ thống khử lưu huỳnh bằng nước biển, nước thải từ hệ thống lọc nước biển)</t>
        </is>
      </c>
      <c r="D152" s="3" t="inlineStr">
        <is>
          <t>Ngoại nghiệp + Nội nghiệp</t>
        </is>
      </c>
      <c r="E152" s="3" t="inlineStr">
        <is>
          <t>mg/l</t>
        </is>
      </c>
      <c r="F152" s="3" t="n">
        <v>0.8</v>
      </c>
      <c r="G152" s="3" t="n">
        <v>250000</v>
      </c>
      <c r="H152" s="3" t="n">
        <v>35000</v>
      </c>
      <c r="I152" s="3" t="n">
        <v>120000</v>
      </c>
    </row>
    <row r="153">
      <c r="A153" s="2" t="n">
        <v>149</v>
      </c>
      <c r="B153" s="2" t="inlineStr">
        <is>
          <t>NT10k2</t>
        </is>
      </c>
      <c r="C153" s="2" t="inlineStr">
        <is>
          <t>Cadimi (Nước làm mát, nước thải từ hệ thống khử lưu huỳnh bằng nước biển, nước thải từ hệ thống lọc nước biển)</t>
        </is>
      </c>
      <c r="D153" s="2" t="inlineStr">
        <is>
          <t>Ngoại nghiệp + Nội nghiệp</t>
        </is>
      </c>
      <c r="E153" s="2" t="inlineStr">
        <is>
          <t>mg/l</t>
        </is>
      </c>
      <c r="F153" s="2" t="n">
        <v>0.8</v>
      </c>
      <c r="G153" s="2" t="n">
        <v>250000</v>
      </c>
      <c r="H153" s="2" t="n">
        <v>35000</v>
      </c>
      <c r="I153" s="2" t="n">
        <v>120000</v>
      </c>
    </row>
    <row r="154">
      <c r="A154" s="3" t="n">
        <v>150</v>
      </c>
      <c r="B154" s="3" t="inlineStr">
        <is>
          <t>NT10m1</t>
        </is>
      </c>
      <c r="C154" s="3" t="inlineStr">
        <is>
          <t>Đồng (Nước làm mát, nước thải từ hệ thống khử lưu huỳnh bằng nước biển, nước thải từ hệ thống lọc nước biển)</t>
        </is>
      </c>
      <c r="D154" s="3" t="inlineStr">
        <is>
          <t>Ngoại nghiệp + Nội nghiệp</t>
        </is>
      </c>
      <c r="E154" s="3" t="inlineStr">
        <is>
          <t>mg/l</t>
        </is>
      </c>
      <c r="F154" s="3" t="n">
        <v>0.8</v>
      </c>
      <c r="G154" s="3" t="n">
        <v>250000</v>
      </c>
      <c r="H154" s="3" t="n">
        <v>35000</v>
      </c>
      <c r="I154" s="3" t="n">
        <v>120000</v>
      </c>
    </row>
    <row r="155">
      <c r="A155" s="2" t="n">
        <v>151</v>
      </c>
      <c r="B155" s="2" t="inlineStr">
        <is>
          <t>NT10m2</t>
        </is>
      </c>
      <c r="C155" s="2" t="inlineStr">
        <is>
          <t>Kẽm (Nước làm mát, nước thải từ hệ thống khử lưu huỳnh bằng nước biển, nước thải từ hệ thống lọc nước biển)</t>
        </is>
      </c>
      <c r="D155" s="2" t="inlineStr">
        <is>
          <t>Ngoại nghiệp + Nội nghiệp</t>
        </is>
      </c>
      <c r="E155" s="2" t="inlineStr">
        <is>
          <t>mg/l</t>
        </is>
      </c>
      <c r="F155" s="2" t="n">
        <v>0.8</v>
      </c>
      <c r="G155" s="2" t="n">
        <v>250000</v>
      </c>
      <c r="H155" s="2" t="n">
        <v>35000</v>
      </c>
      <c r="I155" s="2" t="n">
        <v>120000</v>
      </c>
    </row>
    <row r="156">
      <c r="A156" s="3" t="n">
        <v>152</v>
      </c>
      <c r="B156" s="3" t="inlineStr">
        <is>
          <t>NT10m6</t>
        </is>
      </c>
      <c r="C156" s="3" t="inlineStr">
        <is>
          <t>Niken (Nước làm mát, nước thải từ hệ thống khử lưu huỳnh bằng nước biển, nước thải từ hệ thống lọc nước biển)</t>
        </is>
      </c>
      <c r="D156" s="3" t="inlineStr">
        <is>
          <t>Ngoại nghiệp + Nội nghiệp</t>
        </is>
      </c>
      <c r="E156" s="3" t="inlineStr">
        <is>
          <t>mg/l</t>
        </is>
      </c>
      <c r="F156" s="3" t="n">
        <v>0.8</v>
      </c>
      <c r="G156" s="3" t="n">
        <v>250000</v>
      </c>
      <c r="H156" s="3" t="n">
        <v>35000</v>
      </c>
      <c r="I156" s="3" t="n">
        <v>120000</v>
      </c>
    </row>
    <row r="157">
      <c r="A157" s="2" t="n">
        <v>153</v>
      </c>
      <c r="B157" s="2" t="inlineStr">
        <is>
          <t>NT10m3</t>
        </is>
      </c>
      <c r="C157" s="2" t="inlineStr">
        <is>
          <t>Mangan (Nước làm mát, nước thải từ hệ thống khử lưu huỳnh bằng nước biển, nước thải từ hệ thống lọc nước biển)</t>
        </is>
      </c>
      <c r="D157" s="2" t="inlineStr">
        <is>
          <t>Ngoại nghiệp + Nội nghiệp</t>
        </is>
      </c>
      <c r="E157" s="2" t="inlineStr">
        <is>
          <t>mg/l</t>
        </is>
      </c>
      <c r="F157" s="2" t="n">
        <v>0.8</v>
      </c>
      <c r="G157" s="2" t="n">
        <v>250000</v>
      </c>
      <c r="H157" s="2" t="n">
        <v>35000</v>
      </c>
      <c r="I157" s="2" t="n">
        <v>120000</v>
      </c>
    </row>
    <row r="158">
      <c r="A158" s="3" t="n">
        <v>154</v>
      </c>
      <c r="B158" s="3" t="inlineStr">
        <is>
          <t>NT10m4</t>
        </is>
      </c>
      <c r="C158" s="3" t="inlineStr">
        <is>
          <t>Sắt (Nước làm mát, nước thải từ hệ thống khử lưu huỳnh bằng nước biển, nước thải từ hệ thống lọc nước biển)</t>
        </is>
      </c>
      <c r="D158" s="3" t="inlineStr">
        <is>
          <t>Ngoại nghiệp + Nội nghiệp</t>
        </is>
      </c>
      <c r="E158" s="3" t="inlineStr">
        <is>
          <t>mg/l</t>
        </is>
      </c>
      <c r="F158" s="3" t="n">
        <v>0.8</v>
      </c>
      <c r="G158" s="3" t="n">
        <v>250000</v>
      </c>
      <c r="H158" s="3" t="n">
        <v>35000</v>
      </c>
      <c r="I158" s="3" t="n">
        <v>120000</v>
      </c>
    </row>
    <row r="159">
      <c r="A159" s="2" t="n">
        <v>155</v>
      </c>
      <c r="B159" s="2" t="inlineStr">
        <is>
          <t>NT9</t>
        </is>
      </c>
      <c r="C159" s="2" t="inlineStr">
        <is>
          <t>Tổng xianua (Nước làm mát, nước thải từ hệ thống khử lưu huỳnh bằng nước biển, nước thải từ hệ thống lọc nước biển)</t>
        </is>
      </c>
      <c r="D159" s="2" t="inlineStr">
        <is>
          <t>Ngoại nghiệp + Nội nghiệp</t>
        </is>
      </c>
      <c r="E159" s="2" t="inlineStr">
        <is>
          <t>mg/l</t>
        </is>
      </c>
      <c r="F159" s="2" t="n">
        <v>0.8</v>
      </c>
      <c r="G159" s="2" t="n">
        <v>250000</v>
      </c>
      <c r="H159" s="2" t="n">
        <v>35000</v>
      </c>
      <c r="I159" s="2" t="n">
        <v>120000</v>
      </c>
    </row>
    <row r="160">
      <c r="A160" s="3" t="n">
        <v>156</v>
      </c>
      <c r="B160" s="3" t="inlineStr">
        <is>
          <t>NT2</t>
        </is>
      </c>
      <c r="C160" s="3" t="inlineStr">
        <is>
          <t>Tổng Phenol (Nước làm mát, nước thải từ hệ thống khử lưu huỳnh bằng nước biển, nước thải từ hệ thống lọc nước biển)</t>
        </is>
      </c>
      <c r="D160" s="3" t="inlineStr">
        <is>
          <t>Ngoại nghiệp + Nội nghiệp</t>
        </is>
      </c>
      <c r="E160" s="3" t="inlineStr">
        <is>
          <t>mg/l</t>
        </is>
      </c>
      <c r="F160" s="3" t="n">
        <v>0.8</v>
      </c>
      <c r="G160" s="3" t="n">
        <v>250000</v>
      </c>
      <c r="H160" s="3" t="n">
        <v>35000</v>
      </c>
      <c r="I160" s="3" t="n">
        <v>120000</v>
      </c>
    </row>
    <row r="161">
      <c r="A161" s="2" t="n">
        <v>157</v>
      </c>
      <c r="B161" s="2" t="inlineStr">
        <is>
          <t>NT8</t>
        </is>
      </c>
      <c r="C161" s="2" t="inlineStr">
        <is>
          <t>Tổng dầu mỡ khoáng (Nước làm mát, nước thải từ hệ thống khử lưu huỳnh bằng nước biển, nước thải từ hệ thống lọc nước biển)</t>
        </is>
      </c>
      <c r="D161" s="2" t="inlineStr">
        <is>
          <t>Ngoại nghiệp + Nội nghiệp</t>
        </is>
      </c>
      <c r="E161" s="2" t="inlineStr">
        <is>
          <t>mg/l</t>
        </is>
      </c>
      <c r="F161" s="2" t="n">
        <v>0.8</v>
      </c>
      <c r="G161" s="2" t="n">
        <v>250000</v>
      </c>
      <c r="H161" s="2" t="n">
        <v>35000</v>
      </c>
      <c r="I161" s="2" t="n">
        <v>120000</v>
      </c>
    </row>
    <row r="162">
      <c r="A162" s="3" t="n">
        <v>158</v>
      </c>
      <c r="B162" s="3" t="inlineStr">
        <is>
          <t>NT10d</t>
        </is>
      </c>
      <c r="C162" s="3" t="inlineStr">
        <is>
          <t>Sunfua (Nước làm mát, nước thải từ hệ thống khử lưu huỳnh bằng nước biển, nước thải từ hệ thống lọc nước biển)</t>
        </is>
      </c>
      <c r="D162" s="3" t="inlineStr">
        <is>
          <t>Ngoại nghiệp + Nội nghiệp</t>
        </is>
      </c>
      <c r="E162" s="3" t="inlineStr">
        <is>
          <t>mg/l</t>
        </is>
      </c>
      <c r="F162" s="3" t="n">
        <v>0.8</v>
      </c>
      <c r="G162" s="3" t="n">
        <v>250000</v>
      </c>
      <c r="H162" s="3" t="n">
        <v>35000</v>
      </c>
      <c r="I162" s="3" t="n">
        <v>120000</v>
      </c>
    </row>
    <row r="163">
      <c r="A163" s="2" t="n">
        <v>159</v>
      </c>
      <c r="B163" s="2" t="inlineStr">
        <is>
          <t>NT10h</t>
        </is>
      </c>
      <c r="C163" s="2" t="inlineStr">
        <is>
          <t>Florua (Nước làm mát, nước thải từ hệ thống khử lưu huỳnh bằng nước biển, nước thải từ hệ thống lọc nước biển)</t>
        </is>
      </c>
      <c r="D163" s="2" t="inlineStr">
        <is>
          <t>Ngoại nghiệp + Nội nghiệp</t>
        </is>
      </c>
      <c r="E163" s="2" t="inlineStr">
        <is>
          <t>mg/l</t>
        </is>
      </c>
      <c r="F163" s="2" t="n">
        <v>0.8</v>
      </c>
      <c r="G163" s="2" t="n">
        <v>250000</v>
      </c>
      <c r="H163" s="2" t="n">
        <v>35000</v>
      </c>
      <c r="I163" s="2" t="n">
        <v>120000</v>
      </c>
    </row>
    <row r="164">
      <c r="A164" s="3" t="n">
        <v>160</v>
      </c>
      <c r="B164" s="3" t="inlineStr">
        <is>
          <t>NT10b</t>
        </is>
      </c>
      <c r="C164" s="3" t="inlineStr">
        <is>
          <t>Tổng Nitơ (Nước làm mát, nước thải từ hệ thống khử lưu huỳnh bằng nước biển, nước thải từ hệ thống lọc nước biển)</t>
        </is>
      </c>
      <c r="D164" s="3" t="inlineStr">
        <is>
          <t>Ngoại nghiệp + Nội nghiệp</t>
        </is>
      </c>
      <c r="E164" s="3" t="inlineStr">
        <is>
          <t>mg/l</t>
        </is>
      </c>
      <c r="F164" s="3" t="n">
        <v>0.8</v>
      </c>
      <c r="G164" s="3" t="n">
        <v>250000</v>
      </c>
      <c r="H164" s="3" t="n">
        <v>35000</v>
      </c>
      <c r="I164" s="3" t="n">
        <v>120000</v>
      </c>
    </row>
    <row r="165">
      <c r="A165" s="2" t="n">
        <v>161</v>
      </c>
      <c r="B165" s="2" t="inlineStr">
        <is>
          <t>NT2</t>
        </is>
      </c>
      <c r="C165" s="2" t="inlineStr">
        <is>
          <t>Tổng photpho (tính theo P) (Nước làm mát, nước thải từ hệ thống khử lưu huỳnh bằng nước biển, nước thải từ hệ thống lọc nước biển)</t>
        </is>
      </c>
      <c r="D165" s="2" t="inlineStr">
        <is>
          <t>Ngoại nghiệp + Nội nghiệp</t>
        </is>
      </c>
      <c r="E165" s="2" t="inlineStr">
        <is>
          <t>mg/l</t>
        </is>
      </c>
      <c r="F165" s="2" t="n">
        <v>0.8</v>
      </c>
      <c r="G165" s="2" t="n">
        <v>250000</v>
      </c>
      <c r="H165" s="2" t="n">
        <v>35000</v>
      </c>
      <c r="I165" s="2" t="n">
        <v>120000</v>
      </c>
    </row>
    <row r="166">
      <c r="A166" s="3" t="n">
        <v>162</v>
      </c>
      <c r="B166" s="3" t="inlineStr">
        <is>
          <t>NT10i</t>
        </is>
      </c>
      <c r="C166" s="3" t="inlineStr">
        <is>
          <t>Clorua (Nước làm mát, nước thải từ hệ thống khử lưu huỳnh bằng nước biển, nước thải từ hệ thống lọc nước biển)</t>
        </is>
      </c>
      <c r="D166" s="3" t="inlineStr">
        <is>
          <t>Ngoại nghiệp + Nội nghiệp</t>
        </is>
      </c>
      <c r="E166" s="3" t="inlineStr">
        <is>
          <t>mg/l</t>
        </is>
      </c>
      <c r="F166" s="3" t="n">
        <v>0.8</v>
      </c>
      <c r="G166" s="3" t="n">
        <v>250000</v>
      </c>
      <c r="H166" s="3" t="n">
        <v>35000</v>
      </c>
      <c r="I166" s="3" t="n">
        <v>120000</v>
      </c>
    </row>
    <row r="167">
      <c r="A167" s="2" t="n">
        <v>163</v>
      </c>
      <c r="B167" s="2" t="inlineStr">
        <is>
          <t>NT10j</t>
        </is>
      </c>
      <c r="C167" s="2" t="inlineStr">
        <is>
          <t>Clo dư (Nước làm mát, nước thải từ hệ thống khử lưu huỳnh bằng nước biển, nước thải từ hệ thống lọc nước biển)</t>
        </is>
      </c>
      <c r="D167" s="2" t="inlineStr">
        <is>
          <t>Ngoại nghiệp + Nội nghiệp</t>
        </is>
      </c>
      <c r="E167" s="2" t="inlineStr">
        <is>
          <t>mg/l</t>
        </is>
      </c>
      <c r="F167" s="2" t="n">
        <v>0.8</v>
      </c>
      <c r="G167" s="2" t="n">
        <v>250000</v>
      </c>
      <c r="H167" s="2" t="n">
        <v>35000</v>
      </c>
      <c r="I167" s="2" t="n">
        <v>120000</v>
      </c>
    </row>
    <row r="168">
      <c r="A168" s="3" t="n">
        <v>164</v>
      </c>
      <c r="B168" s="3" t="inlineStr">
        <is>
          <t>NT7a</t>
        </is>
      </c>
      <c r="C168" s="3" t="inlineStr">
        <is>
          <t>Coliform (Nước làm mát, nước thải từ hệ thống khử lưu huỳnh bằng nước biển, nước thải từ hệ thống lọc nước biển)</t>
        </is>
      </c>
      <c r="D168" s="3" t="inlineStr">
        <is>
          <t>Ngoại nghiệp + Nội nghiệp</t>
        </is>
      </c>
      <c r="E168" s="3" t="inlineStr">
        <is>
          <t>MPN/100ml</t>
        </is>
      </c>
      <c r="F168" s="3" t="n">
        <v>0.8</v>
      </c>
      <c r="G168" s="3" t="n">
        <v>250000</v>
      </c>
      <c r="H168" s="3" t="n">
        <v>35000</v>
      </c>
      <c r="I168" s="3" t="n">
        <v>120000</v>
      </c>
    </row>
    <row r="169">
      <c r="A169" s="2" t="n">
        <v>165</v>
      </c>
      <c r="B169" s="2" t="inlineStr">
        <is>
          <t>NB10</t>
        </is>
      </c>
      <c r="C169" s="2" t="inlineStr">
        <is>
          <t>pH (Giám sát nước biển)</t>
        </is>
      </c>
      <c r="D169" s="2" t="inlineStr">
        <is>
          <t>Ngoại nghiệp + Nội nghiệp</t>
        </is>
      </c>
      <c r="E169" s="2" t="inlineStr">
        <is>
          <t>-</t>
        </is>
      </c>
      <c r="F169" s="2" t="n">
        <v>0.8</v>
      </c>
      <c r="G169" s="2" t="n">
        <v>250000</v>
      </c>
      <c r="H169" s="2" t="n">
        <v>35000</v>
      </c>
      <c r="I169" s="2" t="n">
        <v>120000</v>
      </c>
    </row>
    <row r="170">
      <c r="A170" s="3" t="n">
        <v>166</v>
      </c>
      <c r="B170" s="3" t="inlineStr">
        <is>
          <t>NB5</t>
        </is>
      </c>
      <c r="C170" s="3" t="inlineStr">
        <is>
          <t>Nhiệt độ (Giám sát nước biển)</t>
        </is>
      </c>
      <c r="D170" s="3" t="inlineStr">
        <is>
          <t>Ngoại nghiệp + Nội nghiệp</t>
        </is>
      </c>
      <c r="E170" s="3" t="inlineStr">
        <is>
          <t>0C</t>
        </is>
      </c>
      <c r="F170" s="3" t="n">
        <v>0.8</v>
      </c>
      <c r="G170" s="3" t="n">
        <v>250000</v>
      </c>
      <c r="H170" s="3" t="n">
        <v>35000</v>
      </c>
      <c r="I170" s="3" t="n">
        <v>120000</v>
      </c>
    </row>
    <row r="171">
      <c r="A171" s="2" t="n">
        <v>167</v>
      </c>
      <c r="B171" s="2" t="inlineStr">
        <is>
          <t>NB11</t>
        </is>
      </c>
      <c r="C171" s="2" t="inlineStr">
        <is>
          <t>DO (Giám sát nước biển)</t>
        </is>
      </c>
      <c r="D171" s="2" t="inlineStr">
        <is>
          <t>Ngoại nghiệp + Nội nghiệp</t>
        </is>
      </c>
      <c r="E171" s="2" t="inlineStr">
        <is>
          <t>mg/l</t>
        </is>
      </c>
      <c r="F171" s="2" t="n">
        <v>0.8</v>
      </c>
      <c r="G171" s="2" t="n">
        <v>250000</v>
      </c>
      <c r="H171" s="2" t="n">
        <v>35000</v>
      </c>
      <c r="I171" s="2" t="n">
        <v>120000</v>
      </c>
    </row>
    <row r="172">
      <c r="A172" s="3" t="n">
        <v>168</v>
      </c>
      <c r="B172" s="3" t="inlineStr">
        <is>
          <t>NB17a</t>
        </is>
      </c>
      <c r="C172" s="3" t="inlineStr">
        <is>
          <t>TSS (Giám sát nước biển)</t>
        </is>
      </c>
      <c r="D172" s="3" t="inlineStr">
        <is>
          <t>Ngoại nghiệp + Nội nghiệp</t>
        </is>
      </c>
      <c r="E172" s="3" t="inlineStr">
        <is>
          <t>mg/l</t>
        </is>
      </c>
      <c r="F172" s="3" t="n">
        <v>0.8</v>
      </c>
      <c r="G172" s="3" t="n">
        <v>250000</v>
      </c>
      <c r="H172" s="3" t="n">
        <v>35000</v>
      </c>
      <c r="I172" s="3" t="n">
        <v>120000</v>
      </c>
    </row>
    <row r="173">
      <c r="A173" s="2" t="n">
        <v>169</v>
      </c>
      <c r="B173" s="2" t="inlineStr">
        <is>
          <t>NB15</t>
        </is>
      </c>
      <c r="C173" s="2" t="inlineStr">
        <is>
          <t>Amoni (tính theo N) (Giám sát nước biển)</t>
        </is>
      </c>
      <c r="D173" s="2" t="inlineStr">
        <is>
          <t>Ngoại nghiệp + Nội nghiệp</t>
        </is>
      </c>
      <c r="E173" s="2" t="inlineStr">
        <is>
          <t>mg/l</t>
        </is>
      </c>
      <c r="F173" s="2" t="n">
        <v>0.8</v>
      </c>
      <c r="G173" s="2" t="n">
        <v>250000</v>
      </c>
      <c r="H173" s="2" t="n">
        <v>35000</v>
      </c>
      <c r="I173" s="2" t="n">
        <v>120000</v>
      </c>
    </row>
    <row r="174">
      <c r="A174" s="3" t="n">
        <v>170</v>
      </c>
      <c r="B174" s="3" t="inlineStr">
        <is>
          <t>NB10</t>
        </is>
      </c>
      <c r="C174" s="3" t="inlineStr">
        <is>
          <t>Phosphat (Giám sát nước biển)</t>
        </is>
      </c>
      <c r="D174" s="3" t="inlineStr">
        <is>
          <t>Ngoại nghiệp + Nội nghiệp</t>
        </is>
      </c>
      <c r="E174" s="3" t="inlineStr">
        <is>
          <t>mg/l</t>
        </is>
      </c>
      <c r="F174" s="3" t="n">
        <v>0.8</v>
      </c>
      <c r="G174" s="3" t="n">
        <v>250000</v>
      </c>
      <c r="H174" s="3" t="n">
        <v>35000</v>
      </c>
      <c r="I174" s="3" t="n">
        <v>120000</v>
      </c>
    </row>
    <row r="175">
      <c r="A175" s="2" t="n">
        <v>171</v>
      </c>
      <c r="B175" s="2" t="inlineStr">
        <is>
          <t>NB15</t>
        </is>
      </c>
      <c r="C175" s="2" t="inlineStr">
        <is>
          <t>Florua (Giám sát nước biển)</t>
        </is>
      </c>
      <c r="D175" s="2" t="inlineStr">
        <is>
          <t>Ngoại nghiệp + Nội nghiệp</t>
        </is>
      </c>
      <c r="E175" s="2" t="inlineStr">
        <is>
          <t>mg/l</t>
        </is>
      </c>
      <c r="F175" s="2" t="n">
        <v>0.8</v>
      </c>
      <c r="G175" s="2" t="n">
        <v>250000</v>
      </c>
      <c r="H175" s="2" t="n">
        <v>35000</v>
      </c>
      <c r="I175" s="2" t="n">
        <v>120000</v>
      </c>
    </row>
    <row r="176">
      <c r="A176" s="3" t="n">
        <v>172</v>
      </c>
      <c r="B176" s="3" t="inlineStr">
        <is>
          <t>NB20</t>
        </is>
      </c>
      <c r="C176" s="3" t="inlineStr">
        <is>
          <t>Xyanua (Giám sát nước biển)</t>
        </is>
      </c>
      <c r="D176" s="3" t="inlineStr">
        <is>
          <t>Ngoại nghiệp + Nội nghiệp</t>
        </is>
      </c>
      <c r="E176" s="3" t="inlineStr">
        <is>
          <t>mg/l</t>
        </is>
      </c>
      <c r="F176" s="3" t="n">
        <v>0.8</v>
      </c>
      <c r="G176" s="3" t="n">
        <v>250000</v>
      </c>
      <c r="H176" s="3" t="n">
        <v>35000</v>
      </c>
      <c r="I176" s="3" t="n">
        <v>120000</v>
      </c>
    </row>
    <row r="177">
      <c r="A177" s="2" t="n">
        <v>173</v>
      </c>
      <c r="B177" s="2" t="inlineStr">
        <is>
          <t>NB21</t>
        </is>
      </c>
      <c r="C177" s="2" t="inlineStr">
        <is>
          <t>Cd (Giám sát nước biển)</t>
        </is>
      </c>
      <c r="D177" s="2" t="inlineStr">
        <is>
          <t>Ngoại nghiệp + Nội nghiệp</t>
        </is>
      </c>
      <c r="E177" s="2" t="inlineStr">
        <is>
          <t>mg/l</t>
        </is>
      </c>
      <c r="F177" s="2" t="n">
        <v>0.8</v>
      </c>
      <c r="G177" s="2" t="n">
        <v>250000</v>
      </c>
      <c r="H177" s="2" t="n">
        <v>35000</v>
      </c>
      <c r="I177" s="2" t="n">
        <v>120000</v>
      </c>
    </row>
    <row r="178">
      <c r="A178" s="3" t="n">
        <v>174</v>
      </c>
      <c r="B178" s="3" t="inlineStr">
        <is>
          <t>NB21</t>
        </is>
      </c>
      <c r="C178" s="3" t="inlineStr">
        <is>
          <t>As (Giám sát nước biển)</t>
        </is>
      </c>
      <c r="D178" s="3" t="inlineStr">
        <is>
          <t>Ngoại nghiệp + Nội nghiệp</t>
        </is>
      </c>
      <c r="E178" s="3" t="inlineStr">
        <is>
          <t>mg/l</t>
        </is>
      </c>
      <c r="F178" s="3" t="n">
        <v>0.8</v>
      </c>
      <c r="G178" s="3" t="n">
        <v>250000</v>
      </c>
      <c r="H178" s="3" t="n">
        <v>35000</v>
      </c>
      <c r="I178" s="3" t="n">
        <v>120000</v>
      </c>
    </row>
    <row r="179">
      <c r="A179" s="2" t="n">
        <v>175</v>
      </c>
      <c r="B179" s="2" t="inlineStr">
        <is>
          <t>NB21</t>
        </is>
      </c>
      <c r="C179" s="2" t="inlineStr">
        <is>
          <t>Hg (Giám sát nước biển)</t>
        </is>
      </c>
      <c r="D179" s="2" t="inlineStr">
        <is>
          <t>Ngoại nghiệp + Nội nghiệp</t>
        </is>
      </c>
      <c r="E179" s="2" t="inlineStr">
        <is>
          <t>mg/l</t>
        </is>
      </c>
      <c r="F179" s="2" t="n">
        <v>0.8</v>
      </c>
      <c r="G179" s="2" t="n">
        <v>250000</v>
      </c>
      <c r="H179" s="2" t="n">
        <v>35000</v>
      </c>
      <c r="I179" s="2" t="n">
        <v>120000</v>
      </c>
    </row>
    <row r="180">
      <c r="A180" s="3" t="n">
        <v>176</v>
      </c>
      <c r="B180" s="3" t="inlineStr">
        <is>
          <t>NB21</t>
        </is>
      </c>
      <c r="C180" s="3" t="inlineStr">
        <is>
          <t>Cu (Giám sát nước biển)</t>
        </is>
      </c>
      <c r="D180" s="3" t="inlineStr">
        <is>
          <t>Ngoại nghiệp + Nội nghiệp</t>
        </is>
      </c>
      <c r="E180" s="3" t="inlineStr">
        <is>
          <t>mg/l</t>
        </is>
      </c>
      <c r="F180" s="3" t="n">
        <v>0.8</v>
      </c>
      <c r="G180" s="3" t="n">
        <v>250000</v>
      </c>
      <c r="H180" s="3" t="n">
        <v>35000</v>
      </c>
      <c r="I180" s="3" t="n">
        <v>120000</v>
      </c>
    </row>
    <row r="181">
      <c r="A181" s="2" t="n">
        <v>177</v>
      </c>
      <c r="B181" s="2" t="inlineStr">
        <is>
          <t>NB21</t>
        </is>
      </c>
      <c r="C181" s="2" t="inlineStr">
        <is>
          <t>Pb (Giám sát nước biển)</t>
        </is>
      </c>
      <c r="D181" s="2" t="inlineStr">
        <is>
          <t>Ngoại nghiệp + Nội nghiệp</t>
        </is>
      </c>
      <c r="E181" s="2" t="inlineStr">
        <is>
          <t>mg/l</t>
        </is>
      </c>
      <c r="F181" s="2" t="n">
        <v>0.8</v>
      </c>
      <c r="G181" s="2" t="n">
        <v>250000</v>
      </c>
      <c r="H181" s="2" t="n">
        <v>35000</v>
      </c>
      <c r="I181" s="2" t="n">
        <v>120000</v>
      </c>
    </row>
    <row r="182">
      <c r="A182" s="3" t="n">
        <v>178</v>
      </c>
      <c r="B182" s="3" t="inlineStr">
        <is>
          <t>NB21</t>
        </is>
      </c>
      <c r="C182" s="3" t="inlineStr">
        <is>
          <t>Fe (Giám sát nước biển)</t>
        </is>
      </c>
      <c r="D182" s="3" t="inlineStr">
        <is>
          <t>Ngoại nghiệp + Nội nghiệp</t>
        </is>
      </c>
      <c r="E182" s="3" t="inlineStr">
        <is>
          <t>mg/l</t>
        </is>
      </c>
      <c r="F182" s="3" t="n">
        <v>0.8</v>
      </c>
      <c r="G182" s="3" t="n">
        <v>250000</v>
      </c>
      <c r="H182" s="3" t="n">
        <v>35000</v>
      </c>
      <c r="I182" s="3" t="n">
        <v>120000</v>
      </c>
    </row>
    <row r="183">
      <c r="A183" s="2" t="n">
        <v>179</v>
      </c>
      <c r="B183" s="2" t="inlineStr">
        <is>
          <t>NB21</t>
        </is>
      </c>
      <c r="C183" s="2" t="inlineStr">
        <is>
          <t>Zn (Giám sát nước biển)</t>
        </is>
      </c>
      <c r="D183" s="2" t="inlineStr">
        <is>
          <t>Ngoại nghiệp + Nội nghiệp</t>
        </is>
      </c>
      <c r="E183" s="2" t="inlineStr">
        <is>
          <t>mg/l</t>
        </is>
      </c>
      <c r="F183" s="2" t="n">
        <v>0.8</v>
      </c>
      <c r="G183" s="2" t="n">
        <v>250000</v>
      </c>
      <c r="H183" s="2" t="n">
        <v>35000</v>
      </c>
      <c r="I183" s="2" t="n">
        <v>120000</v>
      </c>
    </row>
    <row r="184">
      <c r="A184" s="3" t="n">
        <v>180</v>
      </c>
      <c r="B184" s="3" t="inlineStr">
        <is>
          <t>NB21</t>
        </is>
      </c>
      <c r="C184" s="3" t="inlineStr">
        <is>
          <t>Tổng Cr (Giám sát nước biển)</t>
        </is>
      </c>
      <c r="D184" s="3" t="inlineStr">
        <is>
          <t>Ngoại nghiệp + Nội nghiệp</t>
        </is>
      </c>
      <c r="E184" s="3" t="inlineStr">
        <is>
          <t>mg/l</t>
        </is>
      </c>
      <c r="F184" s="3" t="n">
        <v>0.8</v>
      </c>
      <c r="G184" s="3" t="n">
        <v>250000</v>
      </c>
      <c r="H184" s="3" t="n">
        <v>35000</v>
      </c>
      <c r="I184" s="3" t="n">
        <v>120000</v>
      </c>
    </row>
    <row r="185">
      <c r="A185" s="2" t="n">
        <v>181</v>
      </c>
      <c r="B185" s="2" t="inlineStr">
        <is>
          <t>NB21</t>
        </is>
      </c>
      <c r="C185" s="2" t="inlineStr">
        <is>
          <t>Mn (Giám sát nước biển)</t>
        </is>
      </c>
      <c r="D185" s="2" t="inlineStr">
        <is>
          <t>Ngoại nghiệp + Nội nghiệp</t>
        </is>
      </c>
      <c r="E185" s="2" t="inlineStr">
        <is>
          <t>mg/l</t>
        </is>
      </c>
      <c r="F185" s="2" t="n">
        <v>0.8</v>
      </c>
      <c r="G185" s="2" t="n">
        <v>250000</v>
      </c>
      <c r="H185" s="2" t="n">
        <v>35000</v>
      </c>
      <c r="I185" s="2" t="n">
        <v>120000</v>
      </c>
    </row>
    <row r="186">
      <c r="A186" s="3" t="n">
        <v>182</v>
      </c>
      <c r="B186" s="3" t="inlineStr">
        <is>
          <t>NB21</t>
        </is>
      </c>
      <c r="C186" s="3" t="inlineStr">
        <is>
          <t>Cr VI (Giám sát nước biển)</t>
        </is>
      </c>
      <c r="D186" s="3" t="inlineStr">
        <is>
          <t>Ngoại nghiệp + Nội nghiệp</t>
        </is>
      </c>
      <c r="E186" s="3" t="inlineStr">
        <is>
          <t>mg/l</t>
        </is>
      </c>
      <c r="F186" s="3" t="n">
        <v>0.8</v>
      </c>
      <c r="G186" s="3" t="n">
        <v>250000</v>
      </c>
      <c r="H186" s="3" t="n">
        <v>35000</v>
      </c>
      <c r="I186" s="3" t="n">
        <v>120000</v>
      </c>
    </row>
    <row r="187">
      <c r="A187" s="2" t="n">
        <v>183</v>
      </c>
      <c r="B187" s="2" t="inlineStr">
        <is>
          <t>NB10</t>
        </is>
      </c>
      <c r="C187" s="2" t="inlineStr">
        <is>
          <t>Tổng Phenol (Giám sát nước biển)</t>
        </is>
      </c>
      <c r="D187" s="2" t="inlineStr">
        <is>
          <t>Ngoại nghiệp + Nội nghiệp</t>
        </is>
      </c>
      <c r="E187" s="2" t="inlineStr">
        <is>
          <t>mg/l</t>
        </is>
      </c>
      <c r="F187" s="2" t="n">
        <v>0.8</v>
      </c>
      <c r="G187" s="2" t="n">
        <v>250000</v>
      </c>
      <c r="H187" s="2" t="n">
        <v>35000</v>
      </c>
      <c r="I187" s="2" t="n">
        <v>120000</v>
      </c>
    </row>
    <row r="188">
      <c r="A188" s="3" t="n">
        <v>184</v>
      </c>
      <c r="B188" s="3" t="inlineStr">
        <is>
          <t>NB22</t>
        </is>
      </c>
      <c r="C188" s="3" t="inlineStr">
        <is>
          <t>Tổng dầu mỡ khoáng (Giám sát nước biển)</t>
        </is>
      </c>
      <c r="D188" s="3" t="inlineStr">
        <is>
          <t>Ngoại nghiệp + Nội nghiệp</t>
        </is>
      </c>
      <c r="E188" s="3" t="inlineStr">
        <is>
          <t>mg/l</t>
        </is>
      </c>
      <c r="F188" s="3" t="n">
        <v>0.8</v>
      </c>
      <c r="G188" s="3" t="n">
        <v>250000</v>
      </c>
      <c r="H188" s="3" t="n">
        <v>35000</v>
      </c>
      <c r="I188" s="3" t="n">
        <v>120000</v>
      </c>
    </row>
    <row r="189">
      <c r="A189" s="2" t="n">
        <v>185</v>
      </c>
      <c r="B189" s="2" t="inlineStr">
        <is>
          <t>NB18</t>
        </is>
      </c>
      <c r="C189" s="2" t="inlineStr">
        <is>
          <t>Coliform (Giám sát nước biển)</t>
        </is>
      </c>
      <c r="D189" s="2" t="inlineStr">
        <is>
          <t>Ngoại nghiệp + Nội nghiệp</t>
        </is>
      </c>
      <c r="E189" s="2" t="inlineStr">
        <is>
          <t>MPN/100ml</t>
        </is>
      </c>
      <c r="F189" s="2" t="n">
        <v>0.8</v>
      </c>
      <c r="G189" s="2" t="n">
        <v>250000</v>
      </c>
      <c r="H189" s="2" t="n">
        <v>35000</v>
      </c>
      <c r="I189" s="2" t="n">
        <v>120000</v>
      </c>
    </row>
    <row r="190">
      <c r="A190" s="3" t="n">
        <v>186</v>
      </c>
      <c r="B190" s="3" t="inlineStr">
        <is>
          <t>CT2</t>
        </is>
      </c>
      <c r="C190" s="3" t="inlineStr">
        <is>
          <t>pH (Giám sát bùn thải)</t>
        </is>
      </c>
      <c r="D190" s="3" t="inlineStr">
        <is>
          <t>Ngoại nghiệp + Nội nghiệp</t>
        </is>
      </c>
      <c r="E190" s="3" t="inlineStr">
        <is>
          <t>-</t>
        </is>
      </c>
      <c r="F190" s="3" t="n">
        <v>0.8</v>
      </c>
      <c r="G190" s="3" t="n">
        <v>250000</v>
      </c>
      <c r="H190" s="3" t="n">
        <v>35000</v>
      </c>
      <c r="I190" s="3" t="n">
        <v>120000</v>
      </c>
    </row>
    <row r="191">
      <c r="A191" s="2" t="n">
        <v>187</v>
      </c>
      <c r="B191" s="2" t="inlineStr">
        <is>
          <t>CT3</t>
        </is>
      </c>
      <c r="C191" s="2" t="inlineStr">
        <is>
          <t>Cyanua (CN-) (Giám sát bùn thải)</t>
        </is>
      </c>
      <c r="D191" s="2" t="inlineStr">
        <is>
          <t>Ngoại nghiệp + Nội nghiệp</t>
        </is>
      </c>
      <c r="E191" s="2" t="inlineStr">
        <is>
          <t>ppm</t>
        </is>
      </c>
      <c r="F191" s="2" t="n">
        <v>0.8</v>
      </c>
      <c r="G191" s="2" t="n">
        <v>250000</v>
      </c>
      <c r="H191" s="2" t="n">
        <v>35000</v>
      </c>
      <c r="I191" s="2" t="n">
        <v>120000</v>
      </c>
    </row>
    <row r="192">
      <c r="A192" s="3" t="n">
        <v>188</v>
      </c>
      <c r="B192" s="3" t="inlineStr">
        <is>
          <t>CT4</t>
        </is>
      </c>
      <c r="C192" s="3" t="inlineStr">
        <is>
          <t>Crom (VI) (Giám sát bùn thải)</t>
        </is>
      </c>
      <c r="D192" s="3" t="inlineStr">
        <is>
          <t>Ngoại nghiệp + Nội nghiệp</t>
        </is>
      </c>
      <c r="E192" s="3" t="inlineStr">
        <is>
          <t>mg/l</t>
        </is>
      </c>
      <c r="F192" s="3" t="n">
        <v>0.8</v>
      </c>
      <c r="G192" s="3" t="n">
        <v>250000</v>
      </c>
      <c r="H192" s="3" t="n">
        <v>35000</v>
      </c>
      <c r="I192" s="3" t="n">
        <v>120000</v>
      </c>
    </row>
    <row r="193">
      <c r="A193" s="2" t="n">
        <v>189</v>
      </c>
      <c r="B193" s="2" t="inlineStr">
        <is>
          <t>CT7a</t>
        </is>
      </c>
      <c r="C193" s="2" t="inlineStr">
        <is>
          <t>As (Giám sát bùn thải)</t>
        </is>
      </c>
      <c r="D193" s="2" t="inlineStr">
        <is>
          <t>Ngoại nghiệp + Nội nghiệp</t>
        </is>
      </c>
      <c r="E193" s="2" t="inlineStr">
        <is>
          <t>mg/l</t>
        </is>
      </c>
      <c r="F193" s="2" t="n">
        <v>0.8</v>
      </c>
      <c r="G193" s="2" t="n">
        <v>250000</v>
      </c>
      <c r="H193" s="2" t="n">
        <v>35000</v>
      </c>
      <c r="I193" s="2" t="n">
        <v>120000</v>
      </c>
    </row>
    <row r="194">
      <c r="A194" s="3" t="n">
        <v>190</v>
      </c>
      <c r="B194" s="3" t="inlineStr">
        <is>
          <t>CT7b</t>
        </is>
      </c>
      <c r="C194" s="3" t="inlineStr">
        <is>
          <t>Hg (Giám sát bùn thải)</t>
        </is>
      </c>
      <c r="D194" s="3" t="inlineStr">
        <is>
          <t>Ngoại nghiệp + Nội nghiệp</t>
        </is>
      </c>
      <c r="E194" s="3" t="inlineStr">
        <is>
          <t>mg/l</t>
        </is>
      </c>
      <c r="F194" s="3" t="n">
        <v>0.8</v>
      </c>
      <c r="G194" s="3" t="n">
        <v>250000</v>
      </c>
      <c r="H194" s="3" t="n">
        <v>35000</v>
      </c>
      <c r="I194" s="3" t="n">
        <v>120000</v>
      </c>
    </row>
    <row r="195">
      <c r="A195" s="2" t="n">
        <v>191</v>
      </c>
      <c r="B195" s="2" t="inlineStr">
        <is>
          <t>CT2</t>
        </is>
      </c>
      <c r="C195" s="2" t="inlineStr">
        <is>
          <t>Phenol (Giám sát bùn thải)</t>
        </is>
      </c>
      <c r="D195" s="2" t="inlineStr">
        <is>
          <t>Ngoại nghiệp + Nội nghiệp</t>
        </is>
      </c>
      <c r="E195" s="2" t="inlineStr">
        <is>
          <t>mg/l</t>
        </is>
      </c>
      <c r="F195" s="2" t="n">
        <v>0.8</v>
      </c>
      <c r="G195" s="2" t="n">
        <v>250000</v>
      </c>
      <c r="H195" s="2" t="n">
        <v>35000</v>
      </c>
      <c r="I195" s="2" t="n">
        <v>120000</v>
      </c>
    </row>
    <row r="196">
      <c r="A196" s="3" t="n">
        <v>192</v>
      </c>
      <c r="B196" s="3" t="inlineStr">
        <is>
          <t>CT6a</t>
        </is>
      </c>
      <c r="C196" s="3" t="inlineStr">
        <is>
          <t>Pb (Giám sát bùn thải)</t>
        </is>
      </c>
      <c r="D196" s="3" t="inlineStr">
        <is>
          <t>Ngoại nghiệp + Nội nghiệp</t>
        </is>
      </c>
      <c r="E196" s="3" t="inlineStr">
        <is>
          <t>mg/l</t>
        </is>
      </c>
      <c r="F196" s="3" t="n">
        <v>0.8</v>
      </c>
      <c r="G196" s="3" t="n">
        <v>250000</v>
      </c>
      <c r="H196" s="3" t="n">
        <v>35000</v>
      </c>
      <c r="I196" s="3" t="n">
        <v>120000</v>
      </c>
    </row>
    <row r="197">
      <c r="A197" s="2" t="n">
        <v>193</v>
      </c>
      <c r="B197" s="2" t="inlineStr">
        <is>
          <t>CT6b</t>
        </is>
      </c>
      <c r="C197" s="2" t="inlineStr">
        <is>
          <t>Cd (Giám sát bùn thải)</t>
        </is>
      </c>
      <c r="D197" s="2" t="inlineStr">
        <is>
          <t>Ngoại nghiệp + Nội nghiệp</t>
        </is>
      </c>
      <c r="E197" s="2" t="inlineStr">
        <is>
          <t>mg/l</t>
        </is>
      </c>
      <c r="F197" s="2" t="n">
        <v>0.8</v>
      </c>
      <c r="G197" s="2" t="n">
        <v>250000</v>
      </c>
      <c r="H197" s="2" t="n">
        <v>35000</v>
      </c>
      <c r="I197" s="2" t="n">
        <v>120000</v>
      </c>
    </row>
    <row r="198">
      <c r="A198" s="3" t="n">
        <v>194</v>
      </c>
      <c r="B198" s="3" t="inlineStr">
        <is>
          <t>CT8b</t>
        </is>
      </c>
      <c r="C198" s="3" t="inlineStr">
        <is>
          <t>Zn (Giám sát bùn thải)</t>
        </is>
      </c>
      <c r="D198" s="3" t="inlineStr">
        <is>
          <t>Ngoại nghiệp + Nội nghiệp</t>
        </is>
      </c>
      <c r="E198" s="3" t="inlineStr">
        <is>
          <t>mg/l</t>
        </is>
      </c>
      <c r="F198" s="3" t="n">
        <v>0.8</v>
      </c>
      <c r="G198" s="3" t="n">
        <v>250000</v>
      </c>
      <c r="H198" s="3" t="n">
        <v>35000</v>
      </c>
      <c r="I198" s="3" t="n">
        <v>120000</v>
      </c>
    </row>
    <row r="199">
      <c r="A199" s="2" t="n">
        <v>195</v>
      </c>
      <c r="B199" s="2" t="inlineStr">
        <is>
          <t>CT8e</t>
        </is>
      </c>
      <c r="C199" s="2" t="inlineStr">
        <is>
          <t>Ni (Giám sát bùn thải)</t>
        </is>
      </c>
      <c r="D199" s="2" t="inlineStr">
        <is>
          <t>Ngoại nghiệp + Nội nghiệp</t>
        </is>
      </c>
      <c r="E199" s="2" t="inlineStr">
        <is>
          <t>mg/l</t>
        </is>
      </c>
      <c r="F199" s="2" t="n">
        <v>0.8</v>
      </c>
      <c r="G199" s="2" t="n">
        <v>250000</v>
      </c>
      <c r="H199" s="2" t="n">
        <v>35000</v>
      </c>
      <c r="I199" s="2" t="n">
        <v>120000</v>
      </c>
    </row>
    <row r="200">
      <c r="A200" s="3" t="n">
        <v>196</v>
      </c>
      <c r="B200" s="3" t="inlineStr">
        <is>
          <t>CT8f</t>
        </is>
      </c>
      <c r="C200" s="3" t="inlineStr">
        <is>
          <t>Ba (Giám sát bùn thải)</t>
        </is>
      </c>
      <c r="D200" s="3" t="inlineStr">
        <is>
          <t>Ngoại nghiệp + Nội nghiệp</t>
        </is>
      </c>
      <c r="E200" s="3" t="inlineStr">
        <is>
          <t>mg/l</t>
        </is>
      </c>
      <c r="F200" s="3" t="n">
        <v>0.8</v>
      </c>
      <c r="G200" s="3" t="n">
        <v>250000</v>
      </c>
      <c r="H200" s="3" t="n">
        <v>35000</v>
      </c>
      <c r="I200" s="3" t="n">
        <v>120000</v>
      </c>
    </row>
    <row r="201">
      <c r="A201" s="2" t="n">
        <v>197</v>
      </c>
      <c r="B201" s="2" t="inlineStr">
        <is>
          <t>CT8g</t>
        </is>
      </c>
      <c r="C201" s="2" t="inlineStr">
        <is>
          <t>Se (Giám sát bùn thải)</t>
        </is>
      </c>
      <c r="D201" s="2" t="inlineStr">
        <is>
          <t>Ngoại nghiệp + Nội nghiệp</t>
        </is>
      </c>
      <c r="E201" s="2" t="inlineStr">
        <is>
          <t>mg/l</t>
        </is>
      </c>
      <c r="F201" s="2" t="n">
        <v>0.8</v>
      </c>
      <c r="G201" s="2" t="n">
        <v>250000</v>
      </c>
      <c r="H201" s="2" t="n">
        <v>35000</v>
      </c>
      <c r="I201" s="2" t="n">
        <v>120000</v>
      </c>
    </row>
    <row r="202">
      <c r="A202" s="3" t="n">
        <v>198</v>
      </c>
      <c r="B202" s="3" t="inlineStr">
        <is>
          <t>CT8m</t>
        </is>
      </c>
      <c r="C202" s="3" t="inlineStr">
        <is>
          <t>Ag (Giám sát bùn thải)</t>
        </is>
      </c>
      <c r="D202" s="3" t="inlineStr">
        <is>
          <t>Ngoại nghiệp + Nội nghiệp</t>
        </is>
      </c>
      <c r="E202" s="3" t="inlineStr">
        <is>
          <t>mg/l</t>
        </is>
      </c>
      <c r="F202" s="3" t="n">
        <v>0.8</v>
      </c>
      <c r="G202" s="3" t="n">
        <v>250000</v>
      </c>
      <c r="H202" s="3" t="n">
        <v>35000</v>
      </c>
      <c r="I202" s="3" t="n">
        <v>120000</v>
      </c>
    </row>
    <row r="203">
      <c r="A203" s="2" t="n">
        <v>199</v>
      </c>
      <c r="B203" s="2" t="inlineStr">
        <is>
          <t>KT16</t>
        </is>
      </c>
      <c r="C203" s="2" t="inlineStr">
        <is>
          <t>Lưu lượng (Giám sát khí thải)</t>
        </is>
      </c>
      <c r="D203" s="2" t="inlineStr">
        <is>
          <t>Ngoại nghiệp + Nội nghiệp</t>
        </is>
      </c>
      <c r="E203" s="2" t="inlineStr">
        <is>
          <t>m3/h</t>
        </is>
      </c>
      <c r="F203" s="2" t="n">
        <v>0.8</v>
      </c>
      <c r="G203" s="2" t="n">
        <v>250000</v>
      </c>
      <c r="H203" s="2" t="n">
        <v>35000</v>
      </c>
      <c r="I203" s="2" t="n">
        <v>120000</v>
      </c>
    </row>
    <row r="204">
      <c r="A204" s="3" t="n">
        <v>200</v>
      </c>
      <c r="B204" s="3" t="inlineStr">
        <is>
          <t>KT4</t>
        </is>
      </c>
      <c r="C204" s="3" t="inlineStr">
        <is>
          <t>Nhiệt độ (Giám sát khí thải)</t>
        </is>
      </c>
      <c r="D204" s="3" t="inlineStr">
        <is>
          <t>Ngoại nghiệp + Nội nghiệp</t>
        </is>
      </c>
      <c r="E204" s="3" t="inlineStr">
        <is>
          <t>0C</t>
        </is>
      </c>
      <c r="F204" s="3" t="n">
        <v>0.8</v>
      </c>
      <c r="G204" s="3" t="n">
        <v>250000</v>
      </c>
      <c r="H204" s="3" t="n">
        <v>35000</v>
      </c>
      <c r="I204" s="3" t="n">
        <v>120000</v>
      </c>
    </row>
    <row r="205">
      <c r="A205" s="2" t="n">
        <v>201</v>
      </c>
      <c r="B205" s="2" t="inlineStr">
        <is>
          <t>KT10a</t>
        </is>
      </c>
      <c r="C205" s="2" t="inlineStr">
        <is>
          <t>Bụi tổng (Giám sát khí thải)</t>
        </is>
      </c>
      <c r="D205" s="2" t="inlineStr">
        <is>
          <t>Ngoại nghiệp + Nội nghiệp</t>
        </is>
      </c>
      <c r="E205" s="2" t="inlineStr">
        <is>
          <t>mg/Nm3</t>
        </is>
      </c>
      <c r="F205" s="2" t="n">
        <v>0.8</v>
      </c>
      <c r="G205" s="2" t="n">
        <v>250000</v>
      </c>
      <c r="H205" s="2" t="n">
        <v>35000</v>
      </c>
      <c r="I205" s="2" t="n">
        <v>120000</v>
      </c>
    </row>
    <row r="206">
      <c r="A206" s="3" t="n">
        <v>202</v>
      </c>
      <c r="B206" s="3" t="inlineStr">
        <is>
          <t>KT9b</t>
        </is>
      </c>
      <c r="C206" s="3" t="inlineStr">
        <is>
          <t>CO (Giám sát khí thải)</t>
        </is>
      </c>
      <c r="D206" s="3" t="inlineStr">
        <is>
          <t>Ngoại nghiệp + Nội nghiệp</t>
        </is>
      </c>
      <c r="E206" s="3" t="inlineStr">
        <is>
          <t>mg/Nm3</t>
        </is>
      </c>
      <c r="F206" s="3" t="n">
        <v>0.8</v>
      </c>
      <c r="G206" s="3" t="n">
        <v>250000</v>
      </c>
      <c r="H206" s="3" t="n">
        <v>35000</v>
      </c>
      <c r="I206" s="3" t="n">
        <v>120000</v>
      </c>
    </row>
    <row r="207">
      <c r="A207" s="2" t="n">
        <v>203</v>
      </c>
      <c r="B207" s="2" t="inlineStr">
        <is>
          <t>KT9e</t>
        </is>
      </c>
      <c r="C207" s="2" t="inlineStr">
        <is>
          <t>NOx (tính theo NO2) (Giám sát khí thải)</t>
        </is>
      </c>
      <c r="D207" s="2" t="inlineStr">
        <is>
          <t>Ngoại nghiệp + Nội nghiệp</t>
        </is>
      </c>
      <c r="E207" s="2" t="inlineStr">
        <is>
          <t>mg/Nm3</t>
        </is>
      </c>
      <c r="F207" s="2" t="n">
        <v>0.8</v>
      </c>
      <c r="G207" s="2" t="n">
        <v>250000</v>
      </c>
      <c r="H207" s="2" t="n">
        <v>35000</v>
      </c>
      <c r="I207" s="2" t="n">
        <v>120000</v>
      </c>
    </row>
    <row r="208">
      <c r="A208" s="3" t="n">
        <v>204</v>
      </c>
      <c r="B208" s="3" t="inlineStr">
        <is>
          <t>KT9đ</t>
        </is>
      </c>
      <c r="C208" s="3" t="inlineStr">
        <is>
          <t>SO 2 (Giám sát khí thải)</t>
        </is>
      </c>
      <c r="D208" s="3" t="inlineStr">
        <is>
          <t>Ngoại nghiệp + Nội nghiệp</t>
        </is>
      </c>
      <c r="E208" s="3" t="inlineStr">
        <is>
          <t>mg/Nm3</t>
        </is>
      </c>
      <c r="F208" s="3" t="n">
        <v>0.8</v>
      </c>
      <c r="G208" s="3" t="n">
        <v>250000</v>
      </c>
      <c r="H208" s="3" t="n">
        <v>35000</v>
      </c>
      <c r="I208" s="3" t="n">
        <v>120000</v>
      </c>
    </row>
    <row r="209">
      <c r="A209" s="2" t="n">
        <v>205</v>
      </c>
      <c r="B209" s="2" t="inlineStr">
        <is>
          <t>KT9c</t>
        </is>
      </c>
      <c r="C209" s="2" t="inlineStr">
        <is>
          <t>Amoniac (Giám sát khí thải)</t>
        </is>
      </c>
      <c r="D209" s="2" t="inlineStr">
        <is>
          <t>Ngoại nghiệp + Nội nghiệp</t>
        </is>
      </c>
      <c r="E209" s="2" t="inlineStr">
        <is>
          <t>mg/Nm3</t>
        </is>
      </c>
      <c r="F209" s="2" t="n">
        <v>0.8</v>
      </c>
      <c r="G209" s="2" t="n">
        <v>250000</v>
      </c>
      <c r="H209" s="2" t="n">
        <v>35000</v>
      </c>
      <c r="I209" s="2" t="n">
        <v>120000</v>
      </c>
    </row>
    <row r="210">
      <c r="A210" s="3" t="n">
        <v>206</v>
      </c>
      <c r="B210" s="3" t="inlineStr">
        <is>
          <t>KT9a</t>
        </is>
      </c>
      <c r="C210" s="3" t="inlineStr">
        <is>
          <t>O2 (Giám sát khí thải)</t>
        </is>
      </c>
      <c r="D210" s="3" t="inlineStr">
        <is>
          <t>Ngoại nghiệp + Nội nghiệp</t>
        </is>
      </c>
      <c r="E210" s="3" t="inlineStr">
        <is>
          <t>%</t>
        </is>
      </c>
      <c r="F210" s="3" t="n">
        <v>0.8</v>
      </c>
      <c r="G210" s="3" t="n">
        <v>250000</v>
      </c>
      <c r="H210" s="3" t="n">
        <v>35000</v>
      </c>
      <c r="I210" s="3" t="n">
        <v>120000</v>
      </c>
    </row>
    <row r="211">
      <c r="A211" s="2" t="n">
        <v>207</v>
      </c>
      <c r="B211" s="2" t="inlineStr">
        <is>
          <t>NT1</t>
        </is>
      </c>
      <c r="C211" s="2" t="inlineStr">
        <is>
          <t>Nhiệt độ (Nước làm mát, nước thải từ hệ thống khử lưu huỳnh bằng nước biển, nước thải từ hệ thống lọc nước biển)</t>
        </is>
      </c>
      <c r="D211" s="2" t="inlineStr">
        <is>
          <t>Ngoại nghiệp + Nội nghiệp</t>
        </is>
      </c>
      <c r="E211" s="2" t="inlineStr">
        <is>
          <t>0C</t>
        </is>
      </c>
      <c r="F211" s="2" t="n">
        <v>0.8</v>
      </c>
      <c r="G211" s="2" t="n">
        <v>250000</v>
      </c>
      <c r="H211" s="2" t="n">
        <v>35000</v>
      </c>
      <c r="I211" s="2" t="n">
        <v>120000</v>
      </c>
    </row>
    <row r="212">
      <c r="A212" s="3" t="n">
        <v>208</v>
      </c>
      <c r="B212" s="3" t="inlineStr">
        <is>
          <t>NT2</t>
        </is>
      </c>
      <c r="C212" s="3" t="inlineStr">
        <is>
          <t>pH (Nước làm mát, nước thải từ hệ thống khử lưu huỳnh bằng nước biển, nước thải từ hệ thống lọc nước biển)</t>
        </is>
      </c>
      <c r="D212" s="3" t="inlineStr">
        <is>
          <t>Ngoại nghiệp + Nội nghiệp</t>
        </is>
      </c>
      <c r="E212" s="3" t="inlineStr">
        <is>
          <t>-</t>
        </is>
      </c>
      <c r="F212" s="3" t="n">
        <v>0.8</v>
      </c>
      <c r="G212" s="3" t="n">
        <v>250000</v>
      </c>
      <c r="H212" s="3" t="n">
        <v>35000</v>
      </c>
      <c r="I212" s="3" t="n">
        <v>120000</v>
      </c>
    </row>
    <row r="213">
      <c r="A213" s="2" t="n">
        <v>209</v>
      </c>
      <c r="B213" s="2" t="inlineStr">
        <is>
          <t>NT10j</t>
        </is>
      </c>
      <c r="C213" s="2" t="inlineStr">
        <is>
          <t>Clo dư (Nước làm mát, nước thải từ hệ thống khử lưu huỳnh bằng nước biển, nước thải từ hệ thống lọc nước biển)</t>
        </is>
      </c>
      <c r="D213" s="2" t="inlineStr">
        <is>
          <t>Ngoại nghiệp + Nội nghiệp</t>
        </is>
      </c>
      <c r="E213" s="2" t="inlineStr">
        <is>
          <t>mg/l</t>
        </is>
      </c>
      <c r="F213" s="2" t="n">
        <v>0.8</v>
      </c>
      <c r="G213" s="2" t="n">
        <v>250000</v>
      </c>
      <c r="H213" s="2" t="n">
        <v>35000</v>
      </c>
      <c r="I213" s="2" t="n">
        <v>120000</v>
      </c>
    </row>
    <row r="214">
      <c r="A214" s="3" t="n">
        <v>210</v>
      </c>
      <c r="B214" s="3" t="inlineStr">
        <is>
          <t>NT5b</t>
        </is>
      </c>
      <c r="C214" s="3" t="inlineStr">
        <is>
          <t>COD (Nước làm mát, nước thải từ hệ thống khử lưu huỳnh bằng nước biển, nước thải từ hệ thống lọc nước biển)</t>
        </is>
      </c>
      <c r="D214" s="3" t="inlineStr">
        <is>
          <t>Ngoại nghiệp + Nội nghiệp</t>
        </is>
      </c>
      <c r="E214" s="3" t="inlineStr">
        <is>
          <t>mg/l</t>
        </is>
      </c>
      <c r="F214" s="3" t="n">
        <v>0.8</v>
      </c>
      <c r="G214" s="3" t="n">
        <v>250000</v>
      </c>
      <c r="H214" s="3" t="n">
        <v>35000</v>
      </c>
      <c r="I214" s="3" t="n">
        <v>120000</v>
      </c>
    </row>
    <row r="215">
      <c r="A215" s="2" t="n">
        <v>211</v>
      </c>
      <c r="B215" s="2" t="inlineStr">
        <is>
          <t>NT6</t>
        </is>
      </c>
      <c r="C215" s="2" t="inlineStr">
        <is>
          <t>TSS (Nước làm mát, nước thải từ hệ thống khử lưu huỳnh bằng nước biển, nước thải từ hệ thống lọc nước biển)</t>
        </is>
      </c>
      <c r="D215" s="2" t="inlineStr">
        <is>
          <t>Ngoại nghiệp + Nội nghiệp</t>
        </is>
      </c>
      <c r="E215" s="2" t="inlineStr">
        <is>
          <t>mg/l</t>
        </is>
      </c>
      <c r="F215" s="2" t="n">
        <v>0.8</v>
      </c>
      <c r="G215" s="2" t="n">
        <v>250000</v>
      </c>
      <c r="H215" s="2" t="n">
        <v>35000</v>
      </c>
      <c r="I215" s="2" t="n">
        <v>120000</v>
      </c>
    </row>
    <row r="216">
      <c r="A216" s="3" t="n">
        <v>212</v>
      </c>
      <c r="B216" s="3" t="inlineStr">
        <is>
          <t>MỤC 2</t>
        </is>
      </c>
      <c r="C216" s="3" t="inlineStr">
        <is>
          <t>Tiêu đề: Nước thải sau xử lý của HTXLNT tập trung (Nước làm mát, nước thải từ hệ thống khử lưu huỳnh bằng nước biển, nước thải từ hệ thống lọc nước biển)</t>
        </is>
      </c>
      <c r="D216" s="3" t="inlineStr">
        <is>
          <t>Ngoại nghiệp + Nội nghiệp</t>
        </is>
      </c>
      <c r="E216" s="3" t="inlineStr">
        <is>
          <t>Header</t>
        </is>
      </c>
      <c r="F216" s="3" t="n">
        <v>0.8</v>
      </c>
      <c r="G216" s="3" t="n">
        <v>250000</v>
      </c>
      <c r="H216" s="3" t="n">
        <v>35000</v>
      </c>
      <c r="I216" s="3" t="n">
        <v>120000</v>
      </c>
    </row>
    <row r="217">
      <c r="A217" s="2" t="n">
        <v>213</v>
      </c>
      <c r="B217" s="2" t="inlineStr">
        <is>
          <t>NT1</t>
        </is>
      </c>
      <c r="C217" s="2" t="inlineStr">
        <is>
          <t>Nhiệt độ (Nước làm mát, nước thải từ hệ thống khử lưu huỳnh bằng nước biển, nước thải từ hệ thống lọc nước biển)</t>
        </is>
      </c>
      <c r="D217" s="2" t="inlineStr">
        <is>
          <t>Ngoại nghiệp + Nội nghiệp</t>
        </is>
      </c>
      <c r="E217" s="2" t="inlineStr">
        <is>
          <t>0C</t>
        </is>
      </c>
      <c r="F217" s="2" t="n">
        <v>0.8</v>
      </c>
      <c r="G217" s="2" t="n">
        <v>250000</v>
      </c>
      <c r="H217" s="2" t="n">
        <v>35000</v>
      </c>
      <c r="I217" s="2" t="n">
        <v>120000</v>
      </c>
    </row>
    <row r="218">
      <c r="A218" s="3" t="n">
        <v>214</v>
      </c>
      <c r="B218" s="3" t="inlineStr">
        <is>
          <t>NT2</t>
        </is>
      </c>
      <c r="C218" s="3" t="inlineStr">
        <is>
          <t>pH (Nước làm mát, nước thải từ hệ thống khử lưu huỳnh bằng nước biển, nước thải từ hệ thống lọc nước biển)</t>
        </is>
      </c>
      <c r="D218" s="3" t="inlineStr">
        <is>
          <t>Ngoại nghiệp + Nội nghiệp</t>
        </is>
      </c>
      <c r="E218" s="3" t="inlineStr">
        <is>
          <t>-</t>
        </is>
      </c>
      <c r="F218" s="3" t="n">
        <v>0.8</v>
      </c>
      <c r="G218" s="3" t="n">
        <v>250000</v>
      </c>
      <c r="H218" s="3" t="n">
        <v>35000</v>
      </c>
      <c r="I218" s="3" t="n">
        <v>120000</v>
      </c>
    </row>
    <row r="219">
      <c r="A219" s="2" t="n">
        <v>215</v>
      </c>
      <c r="B219" s="2" t="inlineStr">
        <is>
          <t>NT4b</t>
        </is>
      </c>
      <c r="C219" s="2" t="inlineStr">
        <is>
          <t>Độ màu (Nước làm mát, nước thải từ hệ thống khử lưu huỳnh bằng nước biển, nước thải từ hệ thống lọc nước biển)</t>
        </is>
      </c>
      <c r="D219" s="2" t="inlineStr">
        <is>
          <t>Ngoại nghiệp + Nội nghiệp</t>
        </is>
      </c>
      <c r="E219" s="2" t="inlineStr">
        <is>
          <t>Pt/Co</t>
        </is>
      </c>
      <c r="F219" s="2" t="n">
        <v>0.8</v>
      </c>
      <c r="G219" s="2" t="n">
        <v>250000</v>
      </c>
      <c r="H219" s="2" t="n">
        <v>35000</v>
      </c>
      <c r="I219" s="2" t="n">
        <v>120000</v>
      </c>
    </row>
    <row r="220">
      <c r="A220" s="3" t="n">
        <v>216</v>
      </c>
      <c r="B220" s="3" t="inlineStr">
        <is>
          <t>NT5a</t>
        </is>
      </c>
      <c r="C220" s="3" t="inlineStr">
        <is>
          <t>BOD5 (Nước làm mát, nước thải từ hệ thống khử lưu huỳnh bằng nước biển, nước thải từ hệ thống lọc nước biển)</t>
        </is>
      </c>
      <c r="D220" s="3" t="inlineStr">
        <is>
          <t>Ngoại nghiệp + Nội nghiệp</t>
        </is>
      </c>
      <c r="E220" s="3" t="inlineStr">
        <is>
          <t>mg/l</t>
        </is>
      </c>
      <c r="F220" s="3" t="n">
        <v>0.8</v>
      </c>
      <c r="G220" s="3" t="n">
        <v>250000</v>
      </c>
      <c r="H220" s="3" t="n">
        <v>35000</v>
      </c>
      <c r="I220" s="3" t="n">
        <v>120000</v>
      </c>
    </row>
    <row r="221">
      <c r="A221" s="2" t="n">
        <v>217</v>
      </c>
      <c r="B221" s="2" t="inlineStr">
        <is>
          <t>NT5b</t>
        </is>
      </c>
      <c r="C221" s="2" t="inlineStr">
        <is>
          <t>COD (Nước làm mát, nước thải từ hệ thống khử lưu huỳnh bằng nước biển, nước thải từ hệ thống lọc nước biển)</t>
        </is>
      </c>
      <c r="D221" s="2" t="inlineStr">
        <is>
          <t>Ngoại nghiệp + Nội nghiệp</t>
        </is>
      </c>
      <c r="E221" s="2" t="inlineStr">
        <is>
          <t>mg/l</t>
        </is>
      </c>
      <c r="F221" s="2" t="n">
        <v>0.8</v>
      </c>
      <c r="G221" s="2" t="n">
        <v>250000</v>
      </c>
      <c r="H221" s="2" t="n">
        <v>35000</v>
      </c>
      <c r="I221" s="2" t="n">
        <v>120000</v>
      </c>
    </row>
    <row r="222">
      <c r="A222" s="3" t="n">
        <v>218</v>
      </c>
      <c r="B222" s="3" t="inlineStr">
        <is>
          <t>NT6</t>
        </is>
      </c>
      <c r="C222" s="3" t="inlineStr">
        <is>
          <t>TSS (Nước làm mát, nước thải từ hệ thống khử lưu huỳnh bằng nước biển, nước thải từ hệ thống lọc nước biển)</t>
        </is>
      </c>
      <c r="D222" s="3" t="inlineStr">
        <is>
          <t>Ngoại nghiệp + Nội nghiệp</t>
        </is>
      </c>
      <c r="E222" s="3" t="inlineStr">
        <is>
          <t>mg/l</t>
        </is>
      </c>
      <c r="F222" s="3" t="n">
        <v>0.8</v>
      </c>
      <c r="G222" s="3" t="n">
        <v>250000</v>
      </c>
      <c r="H222" s="3" t="n">
        <v>35000</v>
      </c>
      <c r="I222" s="3" t="n">
        <v>120000</v>
      </c>
    </row>
    <row r="223">
      <c r="A223" s="2" t="n">
        <v>219</v>
      </c>
      <c r="B223" s="2" t="inlineStr">
        <is>
          <t>NT10c</t>
        </is>
      </c>
      <c r="C223" s="2" t="inlineStr">
        <is>
          <t>Amoni (tính theo N) (Nước làm mát, nước thải từ hệ thống khử lưu huỳnh bằng nước biển, nước thải từ hệ thống lọc nước biển)</t>
        </is>
      </c>
      <c r="D223" s="2" t="inlineStr">
        <is>
          <t>Ngoại nghiệp + Nội nghiệp</t>
        </is>
      </c>
      <c r="E223" s="2" t="inlineStr">
        <is>
          <t>mg/l</t>
        </is>
      </c>
      <c r="F223" s="2" t="n">
        <v>0.8</v>
      </c>
      <c r="G223" s="2" t="n">
        <v>250000</v>
      </c>
      <c r="H223" s="2" t="n">
        <v>35000</v>
      </c>
      <c r="I223" s="2" t="n">
        <v>120000</v>
      </c>
    </row>
    <row r="224">
      <c r="A224" s="3" t="n">
        <v>220</v>
      </c>
      <c r="B224" s="3" t="inlineStr">
        <is>
          <t>NT10l1</t>
        </is>
      </c>
      <c r="C224" s="3" t="inlineStr">
        <is>
          <t>Asen (Nước làm mát, nước thải từ hệ thống khử lưu huỳnh bằng nước biển, nước thải từ hệ thống lọc nước biển)</t>
        </is>
      </c>
      <c r="D224" s="3" t="inlineStr">
        <is>
          <t>Ngoại nghiệp + Nội nghiệp</t>
        </is>
      </c>
      <c r="E224" s="3" t="inlineStr">
        <is>
          <t>mg/l</t>
        </is>
      </c>
      <c r="F224" s="3" t="n">
        <v>0.8</v>
      </c>
      <c r="G224" s="3" t="n">
        <v>250000</v>
      </c>
      <c r="H224" s="3" t="n">
        <v>35000</v>
      </c>
      <c r="I224" s="3" t="n">
        <v>120000</v>
      </c>
    </row>
    <row r="225">
      <c r="A225" s="2" t="n">
        <v>221</v>
      </c>
      <c r="B225" s="2" t="inlineStr">
        <is>
          <t>NT10l2</t>
        </is>
      </c>
      <c r="C225" s="2" t="inlineStr">
        <is>
          <t>Thủy ngân (Nước làm mát, nước thải từ hệ thống khử lưu huỳnh bằng nước biển, nước thải từ hệ thống lọc nước biển)</t>
        </is>
      </c>
      <c r="D225" s="2" t="inlineStr">
        <is>
          <t>Ngoại nghiệp + Nội nghiệp</t>
        </is>
      </c>
      <c r="E225" s="2" t="inlineStr">
        <is>
          <t>mg/l</t>
        </is>
      </c>
      <c r="F225" s="2" t="n">
        <v>0.8</v>
      </c>
      <c r="G225" s="2" t="n">
        <v>250000</v>
      </c>
      <c r="H225" s="2" t="n">
        <v>35000</v>
      </c>
      <c r="I225" s="2" t="n">
        <v>120000</v>
      </c>
    </row>
    <row r="226">
      <c r="A226" s="3" t="n">
        <v>222</v>
      </c>
      <c r="B226" s="3" t="inlineStr">
        <is>
          <t>NT10đ</t>
        </is>
      </c>
      <c r="C226" s="3" t="inlineStr">
        <is>
          <t>Crom (VI) (Nước làm mát, nước thải từ hệ thống khử lưu huỳnh bằng nước biển, nước thải từ hệ thống lọc nước biển)</t>
        </is>
      </c>
      <c r="D226" s="3" t="inlineStr">
        <is>
          <t>Ngoại nghiệp + Nội nghiệp</t>
        </is>
      </c>
      <c r="E226" s="3" t="inlineStr">
        <is>
          <t>mg/l</t>
        </is>
      </c>
      <c r="F226" s="3" t="n">
        <v>0.8</v>
      </c>
      <c r="G226" s="3" t="n">
        <v>250000</v>
      </c>
      <c r="H226" s="3" t="n">
        <v>35000</v>
      </c>
      <c r="I226" s="3" t="n">
        <v>120000</v>
      </c>
    </row>
    <row r="227">
      <c r="A227" s="2" t="n">
        <v>223</v>
      </c>
      <c r="B227" s="2" t="inlineStr">
        <is>
          <t>NT10m5</t>
        </is>
      </c>
      <c r="C227" s="2" t="inlineStr">
        <is>
          <t>Crom (III) (Nước làm mát, nước thải từ hệ thống khử lưu huỳnh bằng nước biển, nước thải từ hệ thống lọc nước biển)</t>
        </is>
      </c>
      <c r="D227" s="2" t="inlineStr">
        <is>
          <t>Ngoại nghiệp + Nội nghiệp</t>
        </is>
      </c>
      <c r="E227" s="2" t="inlineStr">
        <is>
          <t>mg/l</t>
        </is>
      </c>
      <c r="F227" s="2" t="n">
        <v>0.8</v>
      </c>
      <c r="G227" s="2" t="n">
        <v>250000</v>
      </c>
      <c r="H227" s="2" t="n">
        <v>35000</v>
      </c>
      <c r="I227" s="2" t="n">
        <v>120000</v>
      </c>
    </row>
    <row r="228">
      <c r="A228" s="3" t="n">
        <v>224</v>
      </c>
      <c r="B228" s="3" t="inlineStr">
        <is>
          <t>NT10k1</t>
        </is>
      </c>
      <c r="C228" s="3" t="inlineStr">
        <is>
          <t>Chì (Nước làm mát, nước thải từ hệ thống khử lưu huỳnh bằng nước biển, nước thải từ hệ thống lọc nước biển)</t>
        </is>
      </c>
      <c r="D228" s="3" t="inlineStr">
        <is>
          <t>Ngoại nghiệp + Nội nghiệp</t>
        </is>
      </c>
      <c r="E228" s="3" t="inlineStr">
        <is>
          <t>mg/l</t>
        </is>
      </c>
      <c r="F228" s="3" t="n">
        <v>0.8</v>
      </c>
      <c r="G228" s="3" t="n">
        <v>250000</v>
      </c>
      <c r="H228" s="3" t="n">
        <v>35000</v>
      </c>
      <c r="I228" s="3" t="n">
        <v>120000</v>
      </c>
    </row>
    <row r="229">
      <c r="A229" s="2" t="n">
        <v>225</v>
      </c>
      <c r="B229" s="2" t="inlineStr">
        <is>
          <t>NT10k2</t>
        </is>
      </c>
      <c r="C229" s="2" t="inlineStr">
        <is>
          <t>Cadimi (Nước làm mát, nước thải từ hệ thống khử lưu huỳnh bằng nước biển, nước thải từ hệ thống lọc nước biển)</t>
        </is>
      </c>
      <c r="D229" s="2" t="inlineStr">
        <is>
          <t>Ngoại nghiệp + Nội nghiệp</t>
        </is>
      </c>
      <c r="E229" s="2" t="inlineStr">
        <is>
          <t>mg/l</t>
        </is>
      </c>
      <c r="F229" s="2" t="n">
        <v>0.8</v>
      </c>
      <c r="G229" s="2" t="n">
        <v>250000</v>
      </c>
      <c r="H229" s="2" t="n">
        <v>35000</v>
      </c>
      <c r="I229" s="2" t="n">
        <v>120000</v>
      </c>
    </row>
    <row r="230">
      <c r="A230" s="3" t="n">
        <v>226</v>
      </c>
      <c r="B230" s="3" t="inlineStr">
        <is>
          <t>NT10m1</t>
        </is>
      </c>
      <c r="C230" s="3" t="inlineStr">
        <is>
          <t>Đồng (Nước làm mát, nước thải từ hệ thống khử lưu huỳnh bằng nước biển, nước thải từ hệ thống lọc nước biển)</t>
        </is>
      </c>
      <c r="D230" s="3" t="inlineStr">
        <is>
          <t>Ngoại nghiệp + Nội nghiệp</t>
        </is>
      </c>
      <c r="E230" s="3" t="inlineStr">
        <is>
          <t>mg/l</t>
        </is>
      </c>
      <c r="F230" s="3" t="n">
        <v>0.8</v>
      </c>
      <c r="G230" s="3" t="n">
        <v>250000</v>
      </c>
      <c r="H230" s="3" t="n">
        <v>35000</v>
      </c>
      <c r="I230" s="3" t="n">
        <v>120000</v>
      </c>
    </row>
    <row r="231">
      <c r="A231" s="2" t="n">
        <v>227</v>
      </c>
      <c r="B231" s="2" t="inlineStr">
        <is>
          <t>NT10m2</t>
        </is>
      </c>
      <c r="C231" s="2" t="inlineStr">
        <is>
          <t>Kẽm (Nước làm mát, nước thải từ hệ thống khử lưu huỳnh bằng nước biển, nước thải từ hệ thống lọc nước biển)</t>
        </is>
      </c>
      <c r="D231" s="2" t="inlineStr">
        <is>
          <t>Ngoại nghiệp + Nội nghiệp</t>
        </is>
      </c>
      <c r="E231" s="2" t="inlineStr">
        <is>
          <t>mg/l</t>
        </is>
      </c>
      <c r="F231" s="2" t="n">
        <v>0.8</v>
      </c>
      <c r="G231" s="2" t="n">
        <v>250000</v>
      </c>
      <c r="H231" s="2" t="n">
        <v>35000</v>
      </c>
      <c r="I231" s="2" t="n">
        <v>120000</v>
      </c>
    </row>
    <row r="232">
      <c r="A232" s="3" t="n">
        <v>228</v>
      </c>
      <c r="B232" s="3" t="inlineStr">
        <is>
          <t>NT10m6</t>
        </is>
      </c>
      <c r="C232" s="3" t="inlineStr">
        <is>
          <t>Niken (Nước làm mát, nước thải từ hệ thống khử lưu huỳnh bằng nước biển, nước thải từ hệ thống lọc nước biển)</t>
        </is>
      </c>
      <c r="D232" s="3" t="inlineStr">
        <is>
          <t>Ngoại nghiệp + Nội nghiệp</t>
        </is>
      </c>
      <c r="E232" s="3" t="inlineStr">
        <is>
          <t>mg/l</t>
        </is>
      </c>
      <c r="F232" s="3" t="n">
        <v>0.8</v>
      </c>
      <c r="G232" s="3" t="n">
        <v>250000</v>
      </c>
      <c r="H232" s="3" t="n">
        <v>35000</v>
      </c>
      <c r="I232" s="3" t="n">
        <v>120000</v>
      </c>
    </row>
    <row r="233">
      <c r="A233" s="2" t="n">
        <v>229</v>
      </c>
      <c r="B233" s="2" t="inlineStr">
        <is>
          <t>NT10m3</t>
        </is>
      </c>
      <c r="C233" s="2" t="inlineStr">
        <is>
          <t>Mangan (Nước làm mát, nước thải từ hệ thống khử lưu huỳnh bằng nước biển, nước thải từ hệ thống lọc nước biển)</t>
        </is>
      </c>
      <c r="D233" s="2" t="inlineStr">
        <is>
          <t>Ngoại nghiệp + Nội nghiệp</t>
        </is>
      </c>
      <c r="E233" s="2" t="inlineStr">
        <is>
          <t>mg/l</t>
        </is>
      </c>
      <c r="F233" s="2" t="n">
        <v>0.8</v>
      </c>
      <c r="G233" s="2" t="n">
        <v>250000</v>
      </c>
      <c r="H233" s="2" t="n">
        <v>35000</v>
      </c>
      <c r="I233" s="2" t="n">
        <v>120000</v>
      </c>
    </row>
    <row r="234">
      <c r="A234" s="3" t="n">
        <v>230</v>
      </c>
      <c r="B234" s="3" t="inlineStr">
        <is>
          <t>NT10m4</t>
        </is>
      </c>
      <c r="C234" s="3" t="inlineStr">
        <is>
          <t>Sắt (Nước làm mát, nước thải từ hệ thống khử lưu huỳnh bằng nước biển, nước thải từ hệ thống lọc nước biển)</t>
        </is>
      </c>
      <c r="D234" s="3" t="inlineStr">
        <is>
          <t>Ngoại nghiệp + Nội nghiệp</t>
        </is>
      </c>
      <c r="E234" s="3" t="inlineStr">
        <is>
          <t>mg/l</t>
        </is>
      </c>
      <c r="F234" s="3" t="n">
        <v>0.8</v>
      </c>
      <c r="G234" s="3" t="n">
        <v>250000</v>
      </c>
      <c r="H234" s="3" t="n">
        <v>35000</v>
      </c>
      <c r="I234" s="3" t="n">
        <v>120000</v>
      </c>
    </row>
    <row r="235">
      <c r="A235" s="2" t="n">
        <v>231</v>
      </c>
      <c r="B235" s="2" t="inlineStr">
        <is>
          <t>NT9</t>
        </is>
      </c>
      <c r="C235" s="2" t="inlineStr">
        <is>
          <t>Tổng xianua (Nước làm mát, nước thải từ hệ thống khử lưu huỳnh bằng nước biển, nước thải từ hệ thống lọc nước biển)</t>
        </is>
      </c>
      <c r="D235" s="2" t="inlineStr">
        <is>
          <t>Ngoại nghiệp + Nội nghiệp</t>
        </is>
      </c>
      <c r="E235" s="2" t="inlineStr">
        <is>
          <t>mg/l</t>
        </is>
      </c>
      <c r="F235" s="2" t="n">
        <v>0.8</v>
      </c>
      <c r="G235" s="2" t="n">
        <v>250000</v>
      </c>
      <c r="H235" s="2" t="n">
        <v>35000</v>
      </c>
      <c r="I235" s="2" t="n">
        <v>120000</v>
      </c>
    </row>
    <row r="236">
      <c r="A236" s="3" t="n">
        <v>232</v>
      </c>
      <c r="B236" s="3" t="inlineStr">
        <is>
          <t>NT2</t>
        </is>
      </c>
      <c r="C236" s="3" t="inlineStr">
        <is>
          <t>Tổng Phenol (Nước làm mát, nước thải từ hệ thống khử lưu huỳnh bằng nước biển, nước thải từ hệ thống lọc nước biển)</t>
        </is>
      </c>
      <c r="D236" s="3" t="inlineStr">
        <is>
          <t>Ngoại nghiệp + Nội nghiệp</t>
        </is>
      </c>
      <c r="E236" s="3" t="inlineStr">
        <is>
          <t>mg/l</t>
        </is>
      </c>
      <c r="F236" s="3" t="n">
        <v>0.8</v>
      </c>
      <c r="G236" s="3" t="n">
        <v>250000</v>
      </c>
      <c r="H236" s="3" t="n">
        <v>35000</v>
      </c>
      <c r="I236" s="3" t="n">
        <v>120000</v>
      </c>
    </row>
    <row r="237">
      <c r="A237" s="2" t="n">
        <v>233</v>
      </c>
      <c r="B237" s="2" t="inlineStr">
        <is>
          <t>NT8</t>
        </is>
      </c>
      <c r="C237" s="2" t="inlineStr">
        <is>
          <t>Tổng dầu mỡ khoáng (Nước làm mát, nước thải từ hệ thống khử lưu huỳnh bằng nước biển, nước thải từ hệ thống lọc nước biển)</t>
        </is>
      </c>
      <c r="D237" s="2" t="inlineStr">
        <is>
          <t>Ngoại nghiệp + Nội nghiệp</t>
        </is>
      </c>
      <c r="E237" s="2" t="inlineStr">
        <is>
          <t>mg/l</t>
        </is>
      </c>
      <c r="F237" s="2" t="n">
        <v>0.8</v>
      </c>
      <c r="G237" s="2" t="n">
        <v>250000</v>
      </c>
      <c r="H237" s="2" t="n">
        <v>35000</v>
      </c>
      <c r="I237" s="2" t="n">
        <v>120000</v>
      </c>
    </row>
    <row r="238">
      <c r="A238" s="3" t="n">
        <v>234</v>
      </c>
      <c r="B238" s="3" t="inlineStr">
        <is>
          <t>NT10d</t>
        </is>
      </c>
      <c r="C238" s="3" t="inlineStr">
        <is>
          <t>Sunfua (Nước làm mát, nước thải từ hệ thống khử lưu huỳnh bằng nước biển, nước thải từ hệ thống lọc nước biển)</t>
        </is>
      </c>
      <c r="D238" s="3" t="inlineStr">
        <is>
          <t>Ngoại nghiệp + Nội nghiệp</t>
        </is>
      </c>
      <c r="E238" s="3" t="inlineStr">
        <is>
          <t>mg/l</t>
        </is>
      </c>
      <c r="F238" s="3" t="n">
        <v>0.8</v>
      </c>
      <c r="G238" s="3" t="n">
        <v>250000</v>
      </c>
      <c r="H238" s="3" t="n">
        <v>35000</v>
      </c>
      <c r="I238" s="3" t="n">
        <v>120000</v>
      </c>
    </row>
    <row r="239">
      <c r="A239" s="2" t="n">
        <v>235</v>
      </c>
      <c r="B239" s="2" t="inlineStr">
        <is>
          <t>NT10h</t>
        </is>
      </c>
      <c r="C239" s="2" t="inlineStr">
        <is>
          <t>Florua (Nước làm mát, nước thải từ hệ thống khử lưu huỳnh bằng nước biển, nước thải từ hệ thống lọc nước biển)</t>
        </is>
      </c>
      <c r="D239" s="2" t="inlineStr">
        <is>
          <t>Ngoại nghiệp + Nội nghiệp</t>
        </is>
      </c>
      <c r="E239" s="2" t="inlineStr">
        <is>
          <t>mg/l</t>
        </is>
      </c>
      <c r="F239" s="2" t="n">
        <v>0.8</v>
      </c>
      <c r="G239" s="2" t="n">
        <v>250000</v>
      </c>
      <c r="H239" s="2" t="n">
        <v>35000</v>
      </c>
      <c r="I239" s="2" t="n">
        <v>120000</v>
      </c>
    </row>
    <row r="240">
      <c r="A240" s="3" t="n">
        <v>236</v>
      </c>
      <c r="B240" s="3" t="inlineStr">
        <is>
          <t>NT10b</t>
        </is>
      </c>
      <c r="C240" s="3" t="inlineStr">
        <is>
          <t>Tổng Nitơ (Nước làm mát, nước thải từ hệ thống khử lưu huỳnh bằng nước biển, nước thải từ hệ thống lọc nước biển)</t>
        </is>
      </c>
      <c r="D240" s="3" t="inlineStr">
        <is>
          <t>Ngoại nghiệp + Nội nghiệp</t>
        </is>
      </c>
      <c r="E240" s="3" t="inlineStr">
        <is>
          <t>mg/l</t>
        </is>
      </c>
      <c r="F240" s="3" t="n">
        <v>0.8</v>
      </c>
      <c r="G240" s="3" t="n">
        <v>250000</v>
      </c>
      <c r="H240" s="3" t="n">
        <v>35000</v>
      </c>
      <c r="I240" s="3" t="n">
        <v>120000</v>
      </c>
    </row>
    <row r="241">
      <c r="A241" s="2" t="n">
        <v>237</v>
      </c>
      <c r="B241" s="2" t="inlineStr">
        <is>
          <t>NT2</t>
        </is>
      </c>
      <c r="C241" s="2" t="inlineStr">
        <is>
          <t>Tổng photpho (tính theo P) (Nước làm mát, nước thải từ hệ thống khử lưu huỳnh bằng nước biển, nước thải từ hệ thống lọc nước biển)</t>
        </is>
      </c>
      <c r="D241" s="2" t="inlineStr">
        <is>
          <t>Ngoại nghiệp + Nội nghiệp</t>
        </is>
      </c>
      <c r="E241" s="2" t="inlineStr">
        <is>
          <t>mg/l</t>
        </is>
      </c>
      <c r="F241" s="2" t="n">
        <v>0.8</v>
      </c>
      <c r="G241" s="2" t="n">
        <v>250000</v>
      </c>
      <c r="H241" s="2" t="n">
        <v>35000</v>
      </c>
      <c r="I241" s="2" t="n">
        <v>120000</v>
      </c>
    </row>
    <row r="242">
      <c r="A242" s="3" t="n">
        <v>238</v>
      </c>
      <c r="B242" s="3" t="inlineStr">
        <is>
          <t>NT10i</t>
        </is>
      </c>
      <c r="C242" s="3" t="inlineStr">
        <is>
          <t>Clorua (Nước làm mát, nước thải từ hệ thống khử lưu huỳnh bằng nước biển, nước thải từ hệ thống lọc nước biển)</t>
        </is>
      </c>
      <c r="D242" s="3" t="inlineStr">
        <is>
          <t>Ngoại nghiệp + Nội nghiệp</t>
        </is>
      </c>
      <c r="E242" s="3" t="inlineStr">
        <is>
          <t>mg/l</t>
        </is>
      </c>
      <c r="F242" s="3" t="n">
        <v>0.8</v>
      </c>
      <c r="G242" s="3" t="n">
        <v>250000</v>
      </c>
      <c r="H242" s="3" t="n">
        <v>35000</v>
      </c>
      <c r="I242" s="3" t="n">
        <v>120000</v>
      </c>
    </row>
    <row r="243">
      <c r="A243" s="2" t="n">
        <v>239</v>
      </c>
      <c r="B243" s="2" t="inlineStr">
        <is>
          <t>NT10j</t>
        </is>
      </c>
      <c r="C243" s="2" t="inlineStr">
        <is>
          <t>Clo dư (Nước làm mát, nước thải từ hệ thống khử lưu huỳnh bằng nước biển, nước thải từ hệ thống lọc nước biển)</t>
        </is>
      </c>
      <c r="D243" s="2" t="inlineStr">
        <is>
          <t>Ngoại nghiệp + Nội nghiệp</t>
        </is>
      </c>
      <c r="E243" s="2" t="inlineStr">
        <is>
          <t>mg/l</t>
        </is>
      </c>
      <c r="F243" s="2" t="n">
        <v>0.8</v>
      </c>
      <c r="G243" s="2" t="n">
        <v>250000</v>
      </c>
      <c r="H243" s="2" t="n">
        <v>35000</v>
      </c>
      <c r="I243" s="2" t="n">
        <v>120000</v>
      </c>
    </row>
    <row r="244">
      <c r="A244" s="3" t="n">
        <v>240</v>
      </c>
      <c r="B244" s="3" t="inlineStr">
        <is>
          <t>NT7a</t>
        </is>
      </c>
      <c r="C244" s="3" t="inlineStr">
        <is>
          <t>Coliform (Nước làm mát, nước thải từ hệ thống khử lưu huỳnh bằng nước biển, nước thải từ hệ thống lọc nước biển)</t>
        </is>
      </c>
      <c r="D244" s="3" t="inlineStr">
        <is>
          <t>Ngoại nghiệp + Nội nghiệp</t>
        </is>
      </c>
      <c r="E244" s="3" t="inlineStr">
        <is>
          <t>MPN/100ml</t>
        </is>
      </c>
      <c r="F244" s="3" t="n">
        <v>0.8</v>
      </c>
      <c r="G244" s="3" t="n">
        <v>250000</v>
      </c>
      <c r="H244" s="3" t="n">
        <v>35000</v>
      </c>
      <c r="I244" s="3" t="n">
        <v>120000</v>
      </c>
    </row>
    <row r="245">
      <c r="A245" s="2" t="n">
        <v>241</v>
      </c>
      <c r="B245" s="2" t="inlineStr">
        <is>
          <t>CT2</t>
        </is>
      </c>
      <c r="C245" s="2" t="inlineStr">
        <is>
          <t>pH (Giám sát bùn thải)</t>
        </is>
      </c>
      <c r="D245" s="2" t="inlineStr">
        <is>
          <t>Ngoại nghiệp + Nội nghiệp</t>
        </is>
      </c>
      <c r="E245" s="2" t="inlineStr">
        <is>
          <t>-</t>
        </is>
      </c>
      <c r="F245" s="2" t="n">
        <v>0.8</v>
      </c>
      <c r="G245" s="2" t="n">
        <v>250000</v>
      </c>
      <c r="H245" s="2" t="n">
        <v>35000</v>
      </c>
      <c r="I245" s="2" t="n">
        <v>120000</v>
      </c>
    </row>
    <row r="246">
      <c r="A246" s="3" t="n">
        <v>242</v>
      </c>
      <c r="B246" s="3" t="inlineStr">
        <is>
          <t>CT3</t>
        </is>
      </c>
      <c r="C246" s="3" t="inlineStr">
        <is>
          <t>Cyanua (CN-) (Giám sát bùn thải)</t>
        </is>
      </c>
      <c r="D246" s="3" t="inlineStr">
        <is>
          <t>Ngoại nghiệp + Nội nghiệp</t>
        </is>
      </c>
      <c r="E246" s="3" t="inlineStr">
        <is>
          <t>ppm</t>
        </is>
      </c>
      <c r="F246" s="3" t="n">
        <v>0.8</v>
      </c>
      <c r="G246" s="3" t="n">
        <v>250000</v>
      </c>
      <c r="H246" s="3" t="n">
        <v>35000</v>
      </c>
      <c r="I246" s="3" t="n">
        <v>120000</v>
      </c>
    </row>
    <row r="247">
      <c r="A247" s="2" t="n">
        <v>243</v>
      </c>
      <c r="B247" s="2" t="inlineStr">
        <is>
          <t>CT4</t>
        </is>
      </c>
      <c r="C247" s="2" t="inlineStr">
        <is>
          <t>Crom (VI) (Giám sát bùn thải)</t>
        </is>
      </c>
      <c r="D247" s="2" t="inlineStr">
        <is>
          <t>Ngoại nghiệp + Nội nghiệp</t>
        </is>
      </c>
      <c r="E247" s="2" t="inlineStr">
        <is>
          <t>mg/l</t>
        </is>
      </c>
      <c r="F247" s="2" t="n">
        <v>0.8</v>
      </c>
      <c r="G247" s="2" t="n">
        <v>250000</v>
      </c>
      <c r="H247" s="2" t="n">
        <v>35000</v>
      </c>
      <c r="I247" s="2" t="n">
        <v>120000</v>
      </c>
    </row>
    <row r="248">
      <c r="A248" s="3" t="n">
        <v>244</v>
      </c>
      <c r="B248" s="3" t="inlineStr">
        <is>
          <t>CT7a</t>
        </is>
      </c>
      <c r="C248" s="3" t="inlineStr">
        <is>
          <t>As (Giám sát bùn thải)</t>
        </is>
      </c>
      <c r="D248" s="3" t="inlineStr">
        <is>
          <t>Ngoại nghiệp + Nội nghiệp</t>
        </is>
      </c>
      <c r="E248" s="3" t="inlineStr">
        <is>
          <t>mg/l</t>
        </is>
      </c>
      <c r="F248" s="3" t="n">
        <v>0.8</v>
      </c>
      <c r="G248" s="3" t="n">
        <v>250000</v>
      </c>
      <c r="H248" s="3" t="n">
        <v>35000</v>
      </c>
      <c r="I248" s="3" t="n">
        <v>120000</v>
      </c>
    </row>
    <row r="249">
      <c r="A249" s="2" t="n">
        <v>245</v>
      </c>
      <c r="B249" s="2" t="inlineStr">
        <is>
          <t>CT7b</t>
        </is>
      </c>
      <c r="C249" s="2" t="inlineStr">
        <is>
          <t>Hg (Giám sát bùn thải)</t>
        </is>
      </c>
      <c r="D249" s="2" t="inlineStr">
        <is>
          <t>Ngoại nghiệp + Nội nghiệp</t>
        </is>
      </c>
      <c r="E249" s="2" t="inlineStr">
        <is>
          <t>mg/l</t>
        </is>
      </c>
      <c r="F249" s="2" t="n">
        <v>0.8</v>
      </c>
      <c r="G249" s="2" t="n">
        <v>250000</v>
      </c>
      <c r="H249" s="2" t="n">
        <v>35000</v>
      </c>
      <c r="I249" s="2" t="n">
        <v>120000</v>
      </c>
    </row>
    <row r="250">
      <c r="A250" s="3" t="n">
        <v>246</v>
      </c>
      <c r="B250" s="3" t="inlineStr">
        <is>
          <t>CT2</t>
        </is>
      </c>
      <c r="C250" s="3" t="inlineStr">
        <is>
          <t>Phenol (Giám sát bùn thải)</t>
        </is>
      </c>
      <c r="D250" s="3" t="inlineStr">
        <is>
          <t>Ngoại nghiệp + Nội nghiệp</t>
        </is>
      </c>
      <c r="E250" s="3" t="inlineStr">
        <is>
          <t>mg/l</t>
        </is>
      </c>
      <c r="F250" s="3" t="n">
        <v>0.8</v>
      </c>
      <c r="G250" s="3" t="n">
        <v>250000</v>
      </c>
      <c r="H250" s="3" t="n">
        <v>35000</v>
      </c>
      <c r="I250" s="3" t="n">
        <v>120000</v>
      </c>
    </row>
    <row r="251">
      <c r="A251" s="2" t="n">
        <v>247</v>
      </c>
      <c r="B251" s="2" t="inlineStr">
        <is>
          <t>CT6a</t>
        </is>
      </c>
      <c r="C251" s="2" t="inlineStr">
        <is>
          <t>Pb (Giám sát bùn thải)</t>
        </is>
      </c>
      <c r="D251" s="2" t="inlineStr">
        <is>
          <t>Ngoại nghiệp + Nội nghiệp</t>
        </is>
      </c>
      <c r="E251" s="2" t="inlineStr">
        <is>
          <t>mg/l</t>
        </is>
      </c>
      <c r="F251" s="2" t="n">
        <v>0.8</v>
      </c>
      <c r="G251" s="2" t="n">
        <v>250000</v>
      </c>
      <c r="H251" s="2" t="n">
        <v>35000</v>
      </c>
      <c r="I251" s="2" t="n">
        <v>120000</v>
      </c>
    </row>
    <row r="252">
      <c r="A252" s="3" t="n">
        <v>248</v>
      </c>
      <c r="B252" s="3" t="inlineStr">
        <is>
          <t>CT6b</t>
        </is>
      </c>
      <c r="C252" s="3" t="inlineStr">
        <is>
          <t>Cd (Giám sát bùn thải)</t>
        </is>
      </c>
      <c r="D252" s="3" t="inlineStr">
        <is>
          <t>Ngoại nghiệp + Nội nghiệp</t>
        </is>
      </c>
      <c r="E252" s="3" t="inlineStr">
        <is>
          <t>mg/l</t>
        </is>
      </c>
      <c r="F252" s="3" t="n">
        <v>0.8</v>
      </c>
      <c r="G252" s="3" t="n">
        <v>250000</v>
      </c>
      <c r="H252" s="3" t="n">
        <v>35000</v>
      </c>
      <c r="I252" s="3" t="n">
        <v>120000</v>
      </c>
    </row>
    <row r="253">
      <c r="A253" s="2" t="n">
        <v>249</v>
      </c>
      <c r="B253" s="2" t="inlineStr">
        <is>
          <t>CT8b</t>
        </is>
      </c>
      <c r="C253" s="2" t="inlineStr">
        <is>
          <t>Zn (Giám sát bùn thải)</t>
        </is>
      </c>
      <c r="D253" s="2" t="inlineStr">
        <is>
          <t>Ngoại nghiệp + Nội nghiệp</t>
        </is>
      </c>
      <c r="E253" s="2" t="inlineStr">
        <is>
          <t>mg/l</t>
        </is>
      </c>
      <c r="F253" s="2" t="n">
        <v>0.8</v>
      </c>
      <c r="G253" s="2" t="n">
        <v>250000</v>
      </c>
      <c r="H253" s="2" t="n">
        <v>35000</v>
      </c>
      <c r="I253" s="2" t="n">
        <v>120000</v>
      </c>
    </row>
    <row r="254">
      <c r="A254" s="3" t="n">
        <v>250</v>
      </c>
      <c r="B254" s="3" t="inlineStr">
        <is>
          <t>CT8e</t>
        </is>
      </c>
      <c r="C254" s="3" t="inlineStr">
        <is>
          <t>Ni (Giám sát bùn thải)</t>
        </is>
      </c>
      <c r="D254" s="3" t="inlineStr">
        <is>
          <t>Ngoại nghiệp + Nội nghiệp</t>
        </is>
      </c>
      <c r="E254" s="3" t="inlineStr">
        <is>
          <t>mg/l</t>
        </is>
      </c>
      <c r="F254" s="3" t="n">
        <v>0.8</v>
      </c>
      <c r="G254" s="3" t="n">
        <v>250000</v>
      </c>
      <c r="H254" s="3" t="n">
        <v>35000</v>
      </c>
      <c r="I254" s="3" t="n">
        <v>120000</v>
      </c>
    </row>
    <row r="255">
      <c r="A255" s="2" t="n">
        <v>251</v>
      </c>
      <c r="B255" s="2" t="inlineStr">
        <is>
          <t>CT8f</t>
        </is>
      </c>
      <c r="C255" s="2" t="inlineStr">
        <is>
          <t>Ba (Giám sát bùn thải)</t>
        </is>
      </c>
      <c r="D255" s="2" t="inlineStr">
        <is>
          <t>Ngoại nghiệp + Nội nghiệp</t>
        </is>
      </c>
      <c r="E255" s="2" t="inlineStr">
        <is>
          <t>mg/l</t>
        </is>
      </c>
      <c r="F255" s="2" t="n">
        <v>0.8</v>
      </c>
      <c r="G255" s="2" t="n">
        <v>250000</v>
      </c>
      <c r="H255" s="2" t="n">
        <v>35000</v>
      </c>
      <c r="I255" s="2" t="n">
        <v>120000</v>
      </c>
    </row>
    <row r="256">
      <c r="A256" s="3" t="n">
        <v>252</v>
      </c>
      <c r="B256" s="3" t="inlineStr">
        <is>
          <t>CT8g</t>
        </is>
      </c>
      <c r="C256" s="3" t="inlineStr">
        <is>
          <t>Se (Giám sát bùn thải)</t>
        </is>
      </c>
      <c r="D256" s="3" t="inlineStr">
        <is>
          <t>Ngoại nghiệp + Nội nghiệp</t>
        </is>
      </c>
      <c r="E256" s="3" t="inlineStr">
        <is>
          <t>mg/l</t>
        </is>
      </c>
      <c r="F256" s="3" t="n">
        <v>0.8</v>
      </c>
      <c r="G256" s="3" t="n">
        <v>250000</v>
      </c>
      <c r="H256" s="3" t="n">
        <v>35000</v>
      </c>
      <c r="I256" s="3" t="n">
        <v>120000</v>
      </c>
    </row>
    <row r="257">
      <c r="A257" s="2" t="n">
        <v>253</v>
      </c>
      <c r="B257" s="2" t="inlineStr">
        <is>
          <t>CT8m</t>
        </is>
      </c>
      <c r="C257" s="2" t="inlineStr">
        <is>
          <t>Ag (Giám sát bùn thải)</t>
        </is>
      </c>
      <c r="D257" s="2" t="inlineStr">
        <is>
          <t>Ngoại nghiệp + Nội nghiệp</t>
        </is>
      </c>
      <c r="E257" s="2" t="inlineStr">
        <is>
          <t>mg/l</t>
        </is>
      </c>
      <c r="F257" s="2" t="n">
        <v>0.8</v>
      </c>
      <c r="G257" s="2" t="n">
        <v>250000</v>
      </c>
      <c r="H257" s="2" t="n">
        <v>35000</v>
      </c>
      <c r="I257" s="2" t="n">
        <v>120000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07"/>
  <sheetViews>
    <sheetView workbookViewId="0">
      <selection activeCell="A1" sqref="A1"/>
    </sheetView>
  </sheetViews>
  <sheetFormatPr baseColWidth="8" defaultRowHeight="15"/>
  <cols>
    <col width="45" customWidth="1" min="1" max="1"/>
    <col width="45" customWidth="1" min="2" max="2"/>
    <col width="14" customWidth="1" min="3" max="3"/>
    <col width="29" customWidth="1" min="4" max="4"/>
    <col width="31" customWidth="1" min="5" max="5"/>
    <col width="34" customWidth="1" min="6" max="6"/>
    <col width="16" customWidth="1" min="7" max="7"/>
    <col width="17" customWidth="1" min="8" max="8"/>
    <col width="19" customWidth="1" min="9" max="9"/>
  </cols>
  <sheetData>
    <row r="1">
      <c r="A1" t="inlineStr">
        <is>
          <t>BẢNG GIÁ GỐC &amp; THÔNG BÁO GIÁ QUAN TRẮC MÔI TRƯỜNG NĂM 2026</t>
        </is>
      </c>
    </row>
    <row r="2">
      <c r="A2" t="inlineStr">
        <is>
          <t>(Căn cứ: QĐ 80/2026/QĐ-UBND 22 ngày/tháng, KQLCNT IB2600096765 chia 1.08 trước thuế &amp; TT 45/2013)</t>
        </is>
      </c>
    </row>
    <row r="3"/>
    <row r="4">
      <c r="A4" t="inlineStr">
        <is>
          <t>BẢNG 1: ĐƠN GIÁ TIỀN LƯƠNG NHÂN CÔNG VIÊN CHỨC (22 NGÀY LÀM VIỆC CHUẨN)</t>
        </is>
      </c>
    </row>
    <row r="5">
      <c r="A5" s="4" t="inlineStr">
        <is>
          <t>Mã Bậc</t>
        </is>
      </c>
      <c r="B5" s="4" t="inlineStr">
        <is>
          <t>Chức Danh Chuyên Môn (TTLT 56)</t>
        </is>
      </c>
      <c r="C5" s="4" t="inlineStr">
        <is>
          <t>Hệ Số Lương</t>
        </is>
      </c>
      <c r="D5" s="4" t="inlineStr">
        <is>
          <t>Lương Cơ Bản (VNĐ/tháng)</t>
        </is>
      </c>
      <c r="E5" s="4" t="inlineStr">
        <is>
          <t>Đơn Giá Ngày Công (/22 ngày)</t>
        </is>
      </c>
      <c r="F5" s="4" t="inlineStr">
        <is>
          <t>Ghi Chú</t>
        </is>
      </c>
      <c r="G5" s="4" t="n"/>
      <c r="H5" s="4" t="n"/>
      <c r="I5" s="4" t="n"/>
    </row>
    <row r="6">
      <c r="A6" s="3" t="inlineStr">
        <is>
          <t>NC_III_1</t>
        </is>
      </c>
      <c r="B6" s="3" t="inlineStr">
        <is>
          <t>Quan trắc viên tài nguyên môi trường Bậc 1</t>
        </is>
      </c>
      <c r="C6" s="3" t="n">
        <v>2.34</v>
      </c>
      <c r="D6" s="3" t="n">
        <v>5475600</v>
      </c>
      <c r="E6" s="3" t="n">
        <v>248891</v>
      </c>
      <c r="F6" s="3" t="inlineStr">
        <is>
          <t>Chuẩn TTLT 56/2015 chia 22 ngày</t>
        </is>
      </c>
      <c r="G6" s="3" t="n"/>
      <c r="H6" s="3" t="n"/>
      <c r="I6" s="3" t="n"/>
    </row>
    <row r="7">
      <c r="A7" s="2" t="inlineStr">
        <is>
          <t>NC_III_2</t>
        </is>
      </c>
      <c r="B7" s="2" t="inlineStr">
        <is>
          <t>Quan trắc viên tài nguyên môi trường Bậc 2</t>
        </is>
      </c>
      <c r="C7" s="2" t="n">
        <v>2.67</v>
      </c>
      <c r="D7" s="2" t="n">
        <v>6247800</v>
      </c>
      <c r="E7" s="2" t="n">
        <v>283991</v>
      </c>
      <c r="F7" s="2" t="inlineStr">
        <is>
          <t>Chuẩn TTLT 56/2015 chia 22 ngày</t>
        </is>
      </c>
      <c r="G7" s="2" t="n"/>
      <c r="H7" s="2" t="n"/>
      <c r="I7" s="2" t="n"/>
    </row>
    <row r="8">
      <c r="A8" s="3" t="inlineStr">
        <is>
          <t>NC_III_3</t>
        </is>
      </c>
      <c r="B8" s="3" t="inlineStr">
        <is>
          <t>Quan trắc viên tài nguyên môi trường Bậc 3</t>
        </is>
      </c>
      <c r="C8" s="3" t="n">
        <v>3</v>
      </c>
      <c r="D8" s="3" t="n">
        <v>7020000</v>
      </c>
      <c r="E8" s="3" t="n">
        <v>319091</v>
      </c>
      <c r="F8" s="3" t="inlineStr">
        <is>
          <t>Chuẩn TTLT 56/2015 chia 22 ngày</t>
        </is>
      </c>
      <c r="G8" s="3" t="n"/>
      <c r="H8" s="3" t="n"/>
      <c r="I8" s="3" t="n"/>
    </row>
    <row r="9">
      <c r="A9" s="2" t="inlineStr">
        <is>
          <t>NC_III_4</t>
        </is>
      </c>
      <c r="B9" s="2" t="inlineStr">
        <is>
          <t>Quan trắc viên tài nguyên môi trường Bậc 4</t>
        </is>
      </c>
      <c r="C9" s="2" t="n">
        <v>3.33</v>
      </c>
      <c r="D9" s="2" t="n">
        <v>7792200</v>
      </c>
      <c r="E9" s="2" t="n">
        <v>354191</v>
      </c>
      <c r="F9" s="2" t="inlineStr">
        <is>
          <t>Chuẩn TTLT 56/2015 chia 22 ngày</t>
        </is>
      </c>
      <c r="G9" s="2" t="n"/>
      <c r="H9" s="2" t="n"/>
      <c r="I9" s="2" t="n"/>
    </row>
    <row r="10">
      <c r="A10" s="3" t="inlineStr">
        <is>
          <t>NC_II_1</t>
        </is>
      </c>
      <c r="B10" s="3" t="inlineStr">
        <is>
          <t>Quan trắc viên chính tài nguyên môi trường Bậc 1</t>
        </is>
      </c>
      <c r="C10" s="3" t="n">
        <v>4.4</v>
      </c>
      <c r="D10" s="3" t="n">
        <v>10296000</v>
      </c>
      <c r="E10" s="3" t="n">
        <v>468000</v>
      </c>
      <c r="F10" s="3" t="inlineStr">
        <is>
          <t>Chuẩn TTLT 56/2015 chia 22 ngày</t>
        </is>
      </c>
      <c r="G10" s="3" t="n"/>
      <c r="H10" s="3" t="n"/>
      <c r="I10" s="3" t="n"/>
    </row>
    <row r="11">
      <c r="A11" s="2" t="inlineStr">
        <is>
          <t>NC_PT</t>
        </is>
      </c>
      <c r="B11" s="2" t="inlineStr">
        <is>
          <t>Lao động phổ thông / Phụ trợ ngoại nghiệp</t>
        </is>
      </c>
      <c r="C11" s="2" t="n">
        <v>1.86</v>
      </c>
      <c r="D11" s="2" t="n">
        <v>4352400</v>
      </c>
      <c r="E11" s="2" t="n">
        <v>197836</v>
      </c>
      <c r="F11" s="2" t="inlineStr">
        <is>
          <t>Hỗ trợ bốc vác, chèo thuyền</t>
        </is>
      </c>
      <c r="G11" s="2" t="n"/>
      <c r="H11" s="2" t="n"/>
      <c r="I11" s="2" t="n"/>
    </row>
    <row r="12">
      <c r="A12" s="3" t="n"/>
      <c r="B12" s="3" t="n"/>
      <c r="C12" s="3" t="n"/>
      <c r="D12" s="3" t="n"/>
      <c r="E12" s="3" t="n"/>
      <c r="F12" s="3" t="n"/>
      <c r="G12" s="3" t="n"/>
      <c r="H12" s="3" t="n"/>
      <c r="I12" s="3" t="n"/>
    </row>
    <row r="13">
      <c r="A13" s="2" t="inlineStr">
        <is>
          <t>BẢNG 2: ĐƠN GIÁ VẬT LIỆU, HÓA CHẤT, KHÍ CHUẨN (TRƯỚC THUẾ = KQLCNT IB2600096765 / 1.08)</t>
        </is>
      </c>
      <c r="B13" s="2" t="n"/>
      <c r="C13" s="2" t="n"/>
      <c r="D13" s="2" t="n"/>
      <c r="E13" s="2" t="n"/>
      <c r="F13" s="2" t="n"/>
      <c r="G13" s="2" t="n"/>
      <c r="H13" s="2" t="n"/>
      <c r="I13" s="2" t="n"/>
    </row>
    <row r="14">
      <c r="A14" s="3" t="inlineStr">
        <is>
          <t>Mã Vật Tư</t>
        </is>
      </c>
      <c r="B14" s="3" t="inlineStr">
        <is>
          <t>Tên Hóa Chất, Khí Chuẩn, Dung Môi</t>
        </is>
      </c>
      <c r="C14" s="3" t="inlineStr">
        <is>
          <t>ĐVT</t>
        </is>
      </c>
      <c r="D14" s="3" t="inlineStr">
        <is>
          <t>Đơn Giá Trước Thuế (/1.08)</t>
        </is>
      </c>
      <c r="E14" s="3" t="inlineStr">
        <is>
          <t>Mã TBMT / Nguồn Tra Cứu</t>
        </is>
      </c>
      <c r="F14" s="3" t="inlineStr">
        <is>
          <t>Hãng Sản Xuất &amp; Xuất Xứ</t>
        </is>
      </c>
      <c r="G14" s="3" t="n"/>
      <c r="H14" s="3" t="n"/>
      <c r="I14" s="3" t="n"/>
    </row>
    <row r="15">
      <c r="A15" s="2" t="inlineStr">
        <is>
          <t>VL_001</t>
        </is>
      </c>
      <c r="B15" s="2" t="inlineStr">
        <is>
          <t>(NH4)2Fe(SO4)2.6H2O</t>
        </is>
      </c>
      <c r="C15" s="2" t="inlineStr">
        <is>
          <t>gam</t>
        </is>
      </c>
      <c r="D15" s="2" t="n">
        <v>1180</v>
      </c>
      <c r="E15" s="2" t="inlineStr">
        <is>
          <t>IB2600096765</t>
        </is>
      </c>
      <c r="F15" s="2" t="inlineStr">
        <is>
          <t>Merck / Hach / Air Liquide</t>
        </is>
      </c>
      <c r="G15" s="2" t="n"/>
      <c r="H15" s="2" t="n"/>
      <c r="I15" s="2" t="n"/>
    </row>
    <row r="16">
      <c r="A16" s="3" t="inlineStr">
        <is>
          <t>VL_002</t>
        </is>
      </c>
      <c r="B16" s="3" t="inlineStr">
        <is>
          <t>(NH4)2HPO4</t>
        </is>
      </c>
      <c r="C16" s="3" t="inlineStr">
        <is>
          <t>gam</t>
        </is>
      </c>
      <c r="D16" s="3" t="n">
        <v>1180</v>
      </c>
      <c r="E16" s="3" t="inlineStr">
        <is>
          <t>IB2600096765</t>
        </is>
      </c>
      <c r="F16" s="3" t="inlineStr">
        <is>
          <t>Merck / Hach / Air Liquide</t>
        </is>
      </c>
      <c r="G16" s="3" t="n"/>
      <c r="H16" s="3" t="n"/>
      <c r="I16" s="3" t="n"/>
    </row>
    <row r="17">
      <c r="A17" s="2" t="inlineStr">
        <is>
          <t>VL_003</t>
        </is>
      </c>
      <c r="B17" s="2" t="inlineStr">
        <is>
          <t>(NH4)6Mo7O24.4H2O</t>
        </is>
      </c>
      <c r="C17" s="2" t="inlineStr">
        <is>
          <t>gam</t>
        </is>
      </c>
      <c r="D17" s="2" t="n">
        <v>1180</v>
      </c>
      <c r="E17" s="2" t="inlineStr">
        <is>
          <t>IB2600096765</t>
        </is>
      </c>
      <c r="F17" s="2" t="inlineStr">
        <is>
          <t>Merck / Hach / Air Liquide</t>
        </is>
      </c>
      <c r="G17" s="2" t="n"/>
      <c r="H17" s="2" t="n"/>
      <c r="I17" s="2" t="n"/>
    </row>
    <row r="18">
      <c r="A18" s="3" t="inlineStr">
        <is>
          <t>VL_004</t>
        </is>
      </c>
      <c r="B18" s="3" t="inlineStr">
        <is>
          <t>1,5-Diphenylcacbazid (C13H14N4O)</t>
        </is>
      </c>
      <c r="C18" s="3" t="inlineStr">
        <is>
          <t>gam</t>
        </is>
      </c>
      <c r="D18" s="3" t="n">
        <v>1180</v>
      </c>
      <c r="E18" s="3" t="inlineStr">
        <is>
          <t>IB2600096765</t>
        </is>
      </c>
      <c r="F18" s="3" t="inlineStr">
        <is>
          <t>Merck / Hach / Air Liquide</t>
        </is>
      </c>
      <c r="G18" s="3" t="n"/>
      <c r="H18" s="3" t="n"/>
      <c r="I18" s="3" t="n"/>
    </row>
    <row r="19">
      <c r="A19" s="2" t="inlineStr">
        <is>
          <t>VL_005</t>
        </is>
      </c>
      <c r="B19" s="2" t="inlineStr">
        <is>
          <t>Aceton</t>
        </is>
      </c>
      <c r="C19" s="2" t="inlineStr">
        <is>
          <t>Lít</t>
        </is>
      </c>
      <c r="D19" s="2" t="n">
        <v>191100</v>
      </c>
      <c r="E19" s="2" t="inlineStr">
        <is>
          <t>IB2600096765</t>
        </is>
      </c>
      <c r="F19" s="2" t="inlineStr">
        <is>
          <t>Merck / Hach / Air Liquide</t>
        </is>
      </c>
      <c r="G19" s="2" t="n"/>
      <c r="H19" s="2" t="n"/>
      <c r="I19" s="2" t="n"/>
    </row>
    <row r="20">
      <c r="A20" s="3" t="inlineStr">
        <is>
          <t>VL_006</t>
        </is>
      </c>
      <c r="B20" s="3" t="inlineStr">
        <is>
          <t>Aceton</t>
        </is>
      </c>
      <c r="C20" s="3" t="inlineStr">
        <is>
          <t>ml</t>
        </is>
      </c>
      <c r="D20" s="3" t="n">
        <v>235</v>
      </c>
      <c r="E20" s="3" t="inlineStr">
        <is>
          <t>IB2600096765</t>
        </is>
      </c>
      <c r="F20" s="3" t="inlineStr">
        <is>
          <t>Merck / Hach / Air Liquide</t>
        </is>
      </c>
      <c r="G20" s="3" t="n"/>
      <c r="H20" s="3" t="n"/>
      <c r="I20" s="3" t="n"/>
    </row>
    <row r="21">
      <c r="A21" s="2" t="inlineStr">
        <is>
          <t>VL_007</t>
        </is>
      </c>
      <c r="B21" s="2" t="inlineStr">
        <is>
          <t>Ag2SO4</t>
        </is>
      </c>
      <c r="C21" s="2" t="inlineStr">
        <is>
          <t>gam</t>
        </is>
      </c>
      <c r="D21" s="2" t="n">
        <v>31360</v>
      </c>
      <c r="E21" s="2" t="inlineStr">
        <is>
          <t>IB2600096765</t>
        </is>
      </c>
      <c r="F21" s="2" t="inlineStr">
        <is>
          <t>Merck / Hach / Air Liquide</t>
        </is>
      </c>
      <c r="G21" s="2" t="n"/>
      <c r="H21" s="2" t="n"/>
      <c r="I21" s="2" t="n"/>
    </row>
    <row r="22">
      <c r="A22" s="3" t="inlineStr">
        <is>
          <t>VL_008</t>
        </is>
      </c>
      <c r="B22" s="3" t="inlineStr">
        <is>
          <t>AgNO3</t>
        </is>
      </c>
      <c r="C22" s="3" t="inlineStr">
        <is>
          <t>Gram</t>
        </is>
      </c>
      <c r="D22" s="3" t="n">
        <v>31360</v>
      </c>
      <c r="E22" s="3" t="inlineStr">
        <is>
          <t>IB2600096765</t>
        </is>
      </c>
      <c r="F22" s="3" t="inlineStr">
        <is>
          <t>Merck / Hach / Air Liquide</t>
        </is>
      </c>
      <c r="G22" s="3" t="n"/>
      <c r="H22" s="3" t="n"/>
      <c r="I22" s="3" t="n"/>
    </row>
    <row r="23">
      <c r="A23" s="2" t="inlineStr">
        <is>
          <t>VL_009</t>
        </is>
      </c>
      <c r="B23" s="2" t="inlineStr">
        <is>
          <t>Axit Bacbituric</t>
        </is>
      </c>
      <c r="C23" s="2" t="inlineStr">
        <is>
          <t>Gram</t>
        </is>
      </c>
      <c r="D23" s="2" t="n">
        <v>1180</v>
      </c>
      <c r="E23" s="2" t="inlineStr">
        <is>
          <t>IB2600096765</t>
        </is>
      </c>
      <c r="F23" s="2" t="inlineStr">
        <is>
          <t>Merck / Hach / Air Liquide</t>
        </is>
      </c>
      <c r="G23" s="2" t="n"/>
      <c r="H23" s="2" t="n"/>
      <c r="I23" s="2" t="n"/>
    </row>
    <row r="24">
      <c r="A24" s="3" t="inlineStr">
        <is>
          <t>VL_010</t>
        </is>
      </c>
      <c r="B24" s="3" t="inlineStr">
        <is>
          <t>Axit ascorbic</t>
        </is>
      </c>
      <c r="C24" s="3" t="inlineStr">
        <is>
          <t>gam</t>
        </is>
      </c>
      <c r="D24" s="3" t="n">
        <v>1180</v>
      </c>
      <c r="E24" s="3" t="inlineStr">
        <is>
          <t>IB2600096765</t>
        </is>
      </c>
      <c r="F24" s="3" t="inlineStr">
        <is>
          <t>Merck / Hach / Air Liquide</t>
        </is>
      </c>
      <c r="G24" s="3" t="n"/>
      <c r="H24" s="3" t="n"/>
      <c r="I24" s="3" t="n"/>
    </row>
    <row r="25">
      <c r="A25" s="2" t="inlineStr">
        <is>
          <t>VL_011</t>
        </is>
      </c>
      <c r="B25" s="2" t="inlineStr">
        <is>
          <t>Axit sulphamic</t>
        </is>
      </c>
      <c r="C25" s="2" t="inlineStr">
        <is>
          <t>gam</t>
        </is>
      </c>
      <c r="D25" s="2" t="n">
        <v>1180</v>
      </c>
      <c r="E25" s="2" t="inlineStr">
        <is>
          <t>IB2600096765</t>
        </is>
      </c>
      <c r="F25" s="2" t="inlineStr">
        <is>
          <t>Merck / Hach / Air Liquide</t>
        </is>
      </c>
      <c r="G25" s="2" t="n"/>
      <c r="H25" s="2" t="n"/>
      <c r="I25" s="2" t="n"/>
    </row>
    <row r="26">
      <c r="A26" s="3" t="inlineStr">
        <is>
          <t>VL_012</t>
        </is>
      </c>
      <c r="B26" s="3" t="inlineStr">
        <is>
          <t>Axít acetic</t>
        </is>
      </c>
      <c r="C26" s="3" t="inlineStr">
        <is>
          <t>ml</t>
        </is>
      </c>
      <c r="D26" s="3" t="n">
        <v>314</v>
      </c>
      <c r="E26" s="3" t="inlineStr">
        <is>
          <t>IB2600096765</t>
        </is>
      </c>
      <c r="F26" s="3" t="inlineStr">
        <is>
          <t>Merck / Hach / Air Liquide</t>
        </is>
      </c>
      <c r="G26" s="3" t="n"/>
      <c r="H26" s="3" t="n"/>
      <c r="I26" s="3" t="n"/>
    </row>
    <row r="27">
      <c r="A27" s="2" t="inlineStr">
        <is>
          <t>VL_013</t>
        </is>
      </c>
      <c r="B27" s="2" t="inlineStr">
        <is>
          <t>Axít sulphanilic</t>
        </is>
      </c>
      <c r="C27" s="2" t="inlineStr">
        <is>
          <t>gam</t>
        </is>
      </c>
      <c r="D27" s="2" t="n">
        <v>1180</v>
      </c>
      <c r="E27" s="2" t="inlineStr">
        <is>
          <t>IB2600096765</t>
        </is>
      </c>
      <c r="F27" s="2" t="inlineStr">
        <is>
          <t>Merck / Hach / Air Liquide</t>
        </is>
      </c>
      <c r="G27" s="2" t="n"/>
      <c r="H27" s="2" t="n"/>
      <c r="I27" s="2" t="n"/>
    </row>
    <row r="28">
      <c r="A28" s="3" t="inlineStr">
        <is>
          <t>VL_014</t>
        </is>
      </c>
      <c r="B28" s="3" t="inlineStr">
        <is>
          <t>Bút ghi kính</t>
        </is>
      </c>
      <c r="C28" s="3" t="inlineStr">
        <is>
          <t>cái</t>
        </is>
      </c>
      <c r="D28" s="3" t="n">
        <v>6370</v>
      </c>
      <c r="E28" s="3" t="inlineStr">
        <is>
          <t>IB2600096765</t>
        </is>
      </c>
      <c r="F28" s="3" t="inlineStr">
        <is>
          <t>Merck / Hach / Air Liquide</t>
        </is>
      </c>
      <c r="G28" s="3" t="n"/>
      <c r="H28" s="3" t="n"/>
      <c r="I28" s="3" t="n"/>
    </row>
    <row r="29">
      <c r="A29" s="2" t="inlineStr">
        <is>
          <t>VL_015</t>
        </is>
      </c>
      <c r="B29" s="2" t="inlineStr">
        <is>
          <t>Băng giấy in</t>
        </is>
      </c>
      <c r="C29" s="2" t="inlineStr">
        <is>
          <t>gam</t>
        </is>
      </c>
      <c r="D29" s="2" t="n">
        <v>1180</v>
      </c>
      <c r="E29" s="2" t="inlineStr">
        <is>
          <t>IB2600096765</t>
        </is>
      </c>
      <c r="F29" s="2" t="inlineStr">
        <is>
          <t>Merck / Hach / Air Liquide</t>
        </is>
      </c>
      <c r="G29" s="2" t="n"/>
      <c r="H29" s="2" t="n"/>
      <c r="I29" s="2" t="n"/>
    </row>
    <row r="30">
      <c r="A30" s="3" t="inlineStr">
        <is>
          <t>VL_016</t>
        </is>
      </c>
      <c r="B30" s="3" t="inlineStr">
        <is>
          <t>Băng giấy in</t>
        </is>
      </c>
      <c r="C30" s="3" t="inlineStr">
        <is>
          <t>gram</t>
        </is>
      </c>
      <c r="D30" s="3" t="n">
        <v>1180</v>
      </c>
      <c r="E30" s="3" t="inlineStr">
        <is>
          <t>IB2600096765</t>
        </is>
      </c>
      <c r="F30" s="3" t="inlineStr">
        <is>
          <t>Merck / Hach / Air Liquide</t>
        </is>
      </c>
      <c r="G30" s="3" t="n"/>
      <c r="H30" s="3" t="n"/>
      <c r="I30" s="3" t="n"/>
    </row>
    <row r="31">
      <c r="A31" s="2" t="inlineStr">
        <is>
          <t>VL_017</t>
        </is>
      </c>
      <c r="B31" s="2" t="inlineStr">
        <is>
          <t>Bản đồ địa hình</t>
        </is>
      </c>
      <c r="C31" s="2" t="inlineStr">
        <is>
          <t>cái</t>
        </is>
      </c>
      <c r="D31" s="2" t="n">
        <v>14700</v>
      </c>
      <c r="E31" s="2" t="inlineStr">
        <is>
          <t>IB2600096765</t>
        </is>
      </c>
      <c r="F31" s="2" t="inlineStr">
        <is>
          <t>Merck / Hach / Air Liquide</t>
        </is>
      </c>
      <c r="G31" s="2" t="n"/>
      <c r="H31" s="2" t="n"/>
      <c r="I31" s="2" t="n"/>
    </row>
    <row r="32">
      <c r="A32" s="3" t="inlineStr">
        <is>
          <t>VL_018</t>
        </is>
      </c>
      <c r="B32" s="3" t="inlineStr">
        <is>
          <t>Bản đồ địa hình</t>
        </is>
      </c>
      <c r="C32" s="3" t="inlineStr">
        <is>
          <t>tờ</t>
        </is>
      </c>
      <c r="D32" s="3" t="n">
        <v>14700</v>
      </c>
      <c r="E32" s="3" t="inlineStr">
        <is>
          <t>IB2600096765</t>
        </is>
      </c>
      <c r="F32" s="3" t="inlineStr">
        <is>
          <t>Merck / Hach / Air Liquide</t>
        </is>
      </c>
      <c r="G32" s="3" t="n"/>
      <c r="H32" s="3" t="n"/>
      <c r="I32" s="3" t="n"/>
    </row>
    <row r="33">
      <c r="A33" s="2" t="inlineStr">
        <is>
          <t>VL_019</t>
        </is>
      </c>
      <c r="B33" s="2" t="inlineStr">
        <is>
          <t>Bộ màng bơm, van, gioăng đệm</t>
        </is>
      </c>
      <c r="C33" s="2" t="inlineStr">
        <is>
          <t>bộ</t>
        </is>
      </c>
      <c r="D33" s="2" t="n">
        <v>4900</v>
      </c>
      <c r="E33" s="2" t="inlineStr">
        <is>
          <t>IB2600096765</t>
        </is>
      </c>
      <c r="F33" s="2" t="inlineStr">
        <is>
          <t>Merck / Hach / Air Liquide</t>
        </is>
      </c>
      <c r="G33" s="2" t="n"/>
      <c r="H33" s="2" t="n"/>
      <c r="I33" s="2" t="n"/>
    </row>
    <row r="34">
      <c r="A34" s="3" t="inlineStr">
        <is>
          <t>VL_020</t>
        </is>
      </c>
      <c r="B34" s="3" t="inlineStr">
        <is>
          <t>Bột Niken</t>
        </is>
      </c>
      <c r="C34" s="3" t="inlineStr">
        <is>
          <t>gam</t>
        </is>
      </c>
      <c r="D34" s="3" t="n">
        <v>1180</v>
      </c>
      <c r="E34" s="3" t="inlineStr">
        <is>
          <t>IB2600096765</t>
        </is>
      </c>
      <c r="F34" s="3" t="inlineStr">
        <is>
          <t>Merck / Hach / Air Liquide</t>
        </is>
      </c>
      <c r="G34" s="3" t="n"/>
      <c r="H34" s="3" t="n"/>
      <c r="I34" s="3" t="n"/>
    </row>
    <row r="35">
      <c r="A35" s="2" t="inlineStr">
        <is>
          <t>VL_021</t>
        </is>
      </c>
      <c r="B35" s="2" t="inlineStr">
        <is>
          <t>Bột Pd</t>
        </is>
      </c>
      <c r="C35" s="2" t="inlineStr">
        <is>
          <t>gam</t>
        </is>
      </c>
      <c r="D35" s="2" t="n">
        <v>1180</v>
      </c>
      <c r="E35" s="2" t="inlineStr">
        <is>
          <t>IB2600096765</t>
        </is>
      </c>
      <c r="F35" s="2" t="inlineStr">
        <is>
          <t>Merck / Hach / Air Liquide</t>
        </is>
      </c>
      <c r="G35" s="2" t="n"/>
      <c r="H35" s="2" t="n"/>
      <c r="I35" s="2" t="n"/>
    </row>
    <row r="36">
      <c r="A36" s="3" t="inlineStr">
        <is>
          <t>VL_022</t>
        </is>
      </c>
      <c r="B36" s="3" t="inlineStr">
        <is>
          <t>C12H8N2.H2O</t>
        </is>
      </c>
      <c r="C36" s="3" t="inlineStr">
        <is>
          <t>gam</t>
        </is>
      </c>
      <c r="D36" s="3" t="n">
        <v>1180</v>
      </c>
      <c r="E36" s="3" t="inlineStr">
        <is>
          <t>IB2600096765</t>
        </is>
      </c>
      <c r="F36" s="3" t="inlineStr">
        <is>
          <t>Merck / Hach / Air Liquide</t>
        </is>
      </c>
      <c r="G36" s="3" t="n"/>
      <c r="H36" s="3" t="n"/>
      <c r="I36" s="3" t="n"/>
    </row>
    <row r="37">
      <c r="A37" s="2" t="inlineStr">
        <is>
          <t>VL_023</t>
        </is>
      </c>
      <c r="B37" s="2" t="inlineStr">
        <is>
          <t>C3N3O3Cl2Na.2H2O</t>
        </is>
      </c>
      <c r="C37" s="2" t="inlineStr">
        <is>
          <t>gam</t>
        </is>
      </c>
      <c r="D37" s="2" t="n">
        <v>1180</v>
      </c>
      <c r="E37" s="2" t="inlineStr">
        <is>
          <t>IB2600096765</t>
        </is>
      </c>
      <c r="F37" s="2" t="inlineStr">
        <is>
          <t>Merck / Hach / Air Liquide</t>
        </is>
      </c>
      <c r="G37" s="2" t="n"/>
      <c r="H37" s="2" t="n"/>
      <c r="I37" s="2" t="n"/>
    </row>
    <row r="38">
      <c r="A38" s="3" t="inlineStr">
        <is>
          <t>VL_024</t>
        </is>
      </c>
      <c r="B38" s="3" t="inlineStr">
        <is>
          <t>CDTA- C14H22N2O8</t>
        </is>
      </c>
      <c r="C38" s="3" t="inlineStr">
        <is>
          <t>gam</t>
        </is>
      </c>
      <c r="D38" s="3" t="n">
        <v>1180</v>
      </c>
      <c r="E38" s="3" t="inlineStr">
        <is>
          <t>IB2600096765</t>
        </is>
      </c>
      <c r="F38" s="3" t="inlineStr">
        <is>
          <t>Merck / Hach / Air Liquide</t>
        </is>
      </c>
      <c r="G38" s="3" t="n"/>
      <c r="H38" s="3" t="n"/>
      <c r="I38" s="3" t="n"/>
    </row>
    <row r="39">
      <c r="A39" s="2" t="inlineStr">
        <is>
          <t>VL_025</t>
        </is>
      </c>
      <c r="B39" s="2" t="inlineStr">
        <is>
          <t>CH3COOH</t>
        </is>
      </c>
      <c r="C39" s="2" t="inlineStr">
        <is>
          <t>ml</t>
        </is>
      </c>
      <c r="D39" s="2" t="n">
        <v>274</v>
      </c>
      <c r="E39" s="2" t="inlineStr">
        <is>
          <t>IB2600096765</t>
        </is>
      </c>
      <c r="F39" s="2" t="inlineStr">
        <is>
          <t>Merck / Hach / Air Liquide</t>
        </is>
      </c>
      <c r="G39" s="2" t="n"/>
      <c r="H39" s="2" t="n"/>
      <c r="I39" s="2" t="n"/>
    </row>
    <row r="40">
      <c r="A40" s="3" t="inlineStr">
        <is>
          <t>VL_026</t>
        </is>
      </c>
      <c r="B40" s="3" t="inlineStr">
        <is>
          <t>CH3COONa.3H2O</t>
        </is>
      </c>
      <c r="C40" s="3" t="inlineStr">
        <is>
          <t>Gram</t>
        </is>
      </c>
      <c r="D40" s="3" t="n">
        <v>1180</v>
      </c>
      <c r="E40" s="3" t="inlineStr">
        <is>
          <t>IB2600096765</t>
        </is>
      </c>
      <c r="F40" s="3" t="inlineStr">
        <is>
          <t>Merck / Hach / Air Liquide</t>
        </is>
      </c>
      <c r="G40" s="3" t="n"/>
      <c r="H40" s="3" t="n"/>
      <c r="I40" s="3" t="n"/>
    </row>
    <row r="41">
      <c r="A41" s="2" t="inlineStr">
        <is>
          <t>VL_027</t>
        </is>
      </c>
      <c r="B41" s="2" t="inlineStr">
        <is>
          <t>CHCl3</t>
        </is>
      </c>
      <c r="C41" s="2" t="inlineStr">
        <is>
          <t>ml</t>
        </is>
      </c>
      <c r="D41" s="2" t="n">
        <v>314</v>
      </c>
      <c r="E41" s="2" t="inlineStr">
        <is>
          <t>IB2600096765</t>
        </is>
      </c>
      <c r="F41" s="2" t="inlineStr">
        <is>
          <t>Merck / Hach / Air Liquide</t>
        </is>
      </c>
      <c r="G41" s="2" t="n"/>
      <c r="H41" s="2" t="n"/>
      <c r="I41" s="2" t="n"/>
    </row>
    <row r="42">
      <c r="A42" s="3" t="inlineStr">
        <is>
          <t>VL_028</t>
        </is>
      </c>
      <c r="B42" s="3" t="inlineStr">
        <is>
          <t>CaCO3</t>
        </is>
      </c>
      <c r="C42" s="3" t="inlineStr">
        <is>
          <t>gam</t>
        </is>
      </c>
      <c r="D42" s="3" t="n">
        <v>1180</v>
      </c>
      <c r="E42" s="3" t="inlineStr">
        <is>
          <t>IB2600096765</t>
        </is>
      </c>
      <c r="F42" s="3" t="inlineStr">
        <is>
          <t>Merck / Hach / Air Liquide</t>
        </is>
      </c>
      <c r="G42" s="3" t="n"/>
      <c r="H42" s="3" t="n"/>
      <c r="I42" s="3" t="n"/>
    </row>
    <row r="43">
      <c r="A43" s="2" t="inlineStr">
        <is>
          <t>VL_029</t>
        </is>
      </c>
      <c r="B43" s="2" t="inlineStr">
        <is>
          <t>CaCl2</t>
        </is>
      </c>
      <c r="C43" s="2" t="inlineStr">
        <is>
          <t>gam</t>
        </is>
      </c>
      <c r="D43" s="2" t="n">
        <v>1180</v>
      </c>
      <c r="E43" s="2" t="inlineStr">
        <is>
          <t>IB2600096765</t>
        </is>
      </c>
      <c r="F43" s="2" t="inlineStr">
        <is>
          <t>Merck / Hach / Air Liquide</t>
        </is>
      </c>
      <c r="G43" s="2" t="n"/>
      <c r="H43" s="2" t="n"/>
      <c r="I43" s="2" t="n"/>
    </row>
    <row r="44">
      <c r="A44" s="3" t="inlineStr">
        <is>
          <t>VL_030</t>
        </is>
      </c>
      <c r="B44" s="3" t="inlineStr">
        <is>
          <t>Cloramin T</t>
        </is>
      </c>
      <c r="C44" s="3" t="inlineStr">
        <is>
          <t>Gram</t>
        </is>
      </c>
      <c r="D44" s="3" t="n">
        <v>1180</v>
      </c>
      <c r="E44" s="3" t="inlineStr">
        <is>
          <t>IB2600096765</t>
        </is>
      </c>
      <c r="F44" s="3" t="inlineStr">
        <is>
          <t>Merck / Hach / Air Liquide</t>
        </is>
      </c>
      <c r="G44" s="3" t="n"/>
      <c r="H44" s="3" t="n"/>
      <c r="I44" s="3" t="n"/>
    </row>
    <row r="45">
      <c r="A45" s="2" t="inlineStr">
        <is>
          <t>VL_031</t>
        </is>
      </c>
      <c r="B45" s="2" t="inlineStr">
        <is>
          <t>Cồn lau dụng cụ (lít)</t>
        </is>
      </c>
      <c r="C45" s="2" t="inlineStr">
        <is>
          <t>lít</t>
        </is>
      </c>
      <c r="D45" s="2" t="n">
        <v>191100</v>
      </c>
      <c r="E45" s="2" t="inlineStr">
        <is>
          <t>IB2600096765</t>
        </is>
      </c>
      <c r="F45" s="2" t="inlineStr">
        <is>
          <t>Merck / Hach / Air Liquide</t>
        </is>
      </c>
      <c r="G45" s="2" t="n"/>
      <c r="H45" s="2" t="n"/>
      <c r="I45" s="2" t="n"/>
    </row>
    <row r="46">
      <c r="A46" s="3" t="inlineStr">
        <is>
          <t>VL_032</t>
        </is>
      </c>
      <c r="B46" s="3" t="inlineStr">
        <is>
          <t>Cồn lau dụng cụ</t>
        </is>
      </c>
      <c r="C46" s="3" t="inlineStr">
        <is>
          <t>lít</t>
        </is>
      </c>
      <c r="D46" s="3" t="n">
        <v>191100</v>
      </c>
      <c r="E46" s="3" t="inlineStr">
        <is>
          <t>IB2600096765</t>
        </is>
      </c>
      <c r="F46" s="3" t="inlineStr">
        <is>
          <t>Merck / Hach / Air Liquide</t>
        </is>
      </c>
      <c r="G46" s="3" t="n"/>
      <c r="H46" s="3" t="n"/>
      <c r="I46" s="3" t="n"/>
    </row>
    <row r="47">
      <c r="A47" s="2" t="inlineStr">
        <is>
          <t>VL_033</t>
        </is>
      </c>
      <c r="B47" s="2" t="inlineStr">
        <is>
          <t>Cồn lau dụng cụ</t>
        </is>
      </c>
      <c r="C47" s="2" t="inlineStr">
        <is>
          <t>ml</t>
        </is>
      </c>
      <c r="D47" s="2" t="n">
        <v>235</v>
      </c>
      <c r="E47" s="2" t="inlineStr">
        <is>
          <t>IB2600096765</t>
        </is>
      </c>
      <c r="F47" s="2" t="inlineStr">
        <is>
          <t>Merck / Hach / Air Liquide</t>
        </is>
      </c>
      <c r="G47" s="2" t="n"/>
      <c r="H47" s="2" t="n"/>
      <c r="I47" s="2" t="n"/>
    </row>
    <row r="48">
      <c r="A48" s="3" t="inlineStr">
        <is>
          <t>VL_034</t>
        </is>
      </c>
      <c r="B48" s="3" t="inlineStr">
        <is>
          <t>Cồn lau đầu đo</t>
        </is>
      </c>
      <c r="C48" s="3" t="inlineStr">
        <is>
          <t>ml</t>
        </is>
      </c>
      <c r="D48" s="3" t="n">
        <v>235</v>
      </c>
      <c r="E48" s="3" t="inlineStr">
        <is>
          <t>IB2600096765</t>
        </is>
      </c>
      <c r="F48" s="3" t="inlineStr">
        <is>
          <t>Merck / Hach / Air Liquide</t>
        </is>
      </c>
      <c r="G48" s="3" t="n"/>
      <c r="H48" s="3" t="n"/>
      <c r="I48" s="3" t="n"/>
    </row>
    <row r="49">
      <c r="A49" s="2" t="inlineStr">
        <is>
          <t>VL_035</t>
        </is>
      </c>
      <c r="B49" s="2" t="inlineStr">
        <is>
          <t>Diatomit cỡ hạt 0,125mm - 0,150mm</t>
        </is>
      </c>
      <c r="C49" s="2" t="inlineStr">
        <is>
          <t>gam</t>
        </is>
      </c>
      <c r="D49" s="2" t="n">
        <v>1180</v>
      </c>
      <c r="E49" s="2" t="inlineStr">
        <is>
          <t>IB2600096765</t>
        </is>
      </c>
      <c r="F49" s="2" t="inlineStr">
        <is>
          <t>Merck / Hach / Air Liquide</t>
        </is>
      </c>
      <c r="G49" s="2" t="n"/>
      <c r="H49" s="2" t="n"/>
      <c r="I49" s="2" t="n"/>
    </row>
    <row r="50">
      <c r="A50" s="3" t="inlineStr">
        <is>
          <t>VL_036</t>
        </is>
      </c>
      <c r="B50" s="3" t="inlineStr">
        <is>
          <t>Dung dịch NH4+ chuẩn</t>
        </is>
      </c>
      <c r="C50" s="3" t="inlineStr">
        <is>
          <t>ml</t>
        </is>
      </c>
      <c r="D50" s="3" t="n">
        <v>8330</v>
      </c>
      <c r="E50" s="3" t="inlineStr">
        <is>
          <t>IB2600096765</t>
        </is>
      </c>
      <c r="F50" s="3" t="inlineStr">
        <is>
          <t>Merck / Hach / Air Liquide</t>
        </is>
      </c>
      <c r="G50" s="3" t="n"/>
      <c r="H50" s="3" t="n"/>
      <c r="I50" s="3" t="n"/>
    </row>
    <row r="51">
      <c r="A51" s="2" t="inlineStr">
        <is>
          <t>VL_037</t>
        </is>
      </c>
      <c r="B51" s="2" t="inlineStr">
        <is>
          <t>Dung dịch chuẩn 1000 Pt-Co</t>
        </is>
      </c>
      <c r="C51" s="2" t="inlineStr">
        <is>
          <t>ml</t>
        </is>
      </c>
      <c r="D51" s="2" t="n">
        <v>8330</v>
      </c>
      <c r="E51" s="2" t="inlineStr">
        <is>
          <t>IB2600096765</t>
        </is>
      </c>
      <c r="F51" s="2" t="inlineStr">
        <is>
          <t>Merck / Hach / Air Liquide</t>
        </is>
      </c>
      <c r="G51" s="2" t="n"/>
      <c r="H51" s="2" t="n"/>
      <c r="I51" s="2" t="n"/>
    </row>
    <row r="52">
      <c r="A52" s="3" t="inlineStr">
        <is>
          <t>VL_038</t>
        </is>
      </c>
      <c r="B52" s="3" t="inlineStr">
        <is>
          <t>Dung dịch chuẩn NaNO2</t>
        </is>
      </c>
      <c r="C52" s="3" t="inlineStr">
        <is>
          <t>ml</t>
        </is>
      </c>
      <c r="D52" s="3" t="n">
        <v>8330</v>
      </c>
      <c r="E52" s="3" t="inlineStr">
        <is>
          <t>IB2600096765</t>
        </is>
      </c>
      <c r="F52" s="3" t="inlineStr">
        <is>
          <t>Merck / Hach / Air Liquide</t>
        </is>
      </c>
      <c r="G52" s="3" t="n"/>
      <c r="H52" s="3" t="n"/>
      <c r="I52" s="3" t="n"/>
    </row>
    <row r="53">
      <c r="A53" s="2" t="inlineStr">
        <is>
          <t>VL_039</t>
        </is>
      </c>
      <c r="B53" s="2" t="inlineStr">
        <is>
          <t>Dung dịch chuẩn P-PO4</t>
        </is>
      </c>
      <c r="C53" s="2" t="inlineStr">
        <is>
          <t>ml</t>
        </is>
      </c>
      <c r="D53" s="2" t="n">
        <v>8330</v>
      </c>
      <c r="E53" s="2" t="inlineStr">
        <is>
          <t>IB2600096765</t>
        </is>
      </c>
      <c r="F53" s="2" t="inlineStr">
        <is>
          <t>Merck / Hach / Air Liquide</t>
        </is>
      </c>
      <c r="G53" s="2" t="n"/>
      <c r="H53" s="2" t="n"/>
      <c r="I53" s="2" t="n"/>
    </row>
    <row r="54">
      <c r="A54" s="3" t="inlineStr">
        <is>
          <t>VL_040</t>
        </is>
      </c>
      <c r="B54" s="3" t="inlineStr">
        <is>
          <t>Dung dịch chuẩn gốc 1.000ppm</t>
        </is>
      </c>
      <c r="C54" s="3" t="inlineStr">
        <is>
          <t>ml</t>
        </is>
      </c>
      <c r="D54" s="3" t="n">
        <v>8330</v>
      </c>
      <c r="E54" s="3" t="inlineStr">
        <is>
          <t>IB2600096765</t>
        </is>
      </c>
      <c r="F54" s="3" t="inlineStr">
        <is>
          <t>Merck / Hach / Air Liquide</t>
        </is>
      </c>
      <c r="G54" s="3" t="n"/>
      <c r="H54" s="3" t="n"/>
      <c r="I54" s="3" t="n"/>
    </row>
    <row r="55">
      <c r="A55" s="2" t="inlineStr">
        <is>
          <t>VL_041</t>
        </is>
      </c>
      <c r="B55" s="2" t="inlineStr">
        <is>
          <t>Dung dịch chuẩn gốc 1000ppm</t>
        </is>
      </c>
      <c r="C55" s="2" t="inlineStr">
        <is>
          <t>ml</t>
        </is>
      </c>
      <c r="D55" s="2" t="n">
        <v>8330</v>
      </c>
      <c r="E55" s="2" t="inlineStr">
        <is>
          <t>IB2600096765</t>
        </is>
      </c>
      <c r="F55" s="2" t="inlineStr">
        <is>
          <t>Merck / Hach / Air Liquide</t>
        </is>
      </c>
      <c r="G55" s="2" t="n"/>
      <c r="H55" s="2" t="n"/>
      <c r="I55" s="2" t="n"/>
    </row>
    <row r="56">
      <c r="A56" s="3" t="inlineStr">
        <is>
          <t>VL_042</t>
        </is>
      </c>
      <c r="B56" s="3" t="inlineStr">
        <is>
          <t>Dung dịch chuẩn pH ở giá trị pH = 4 và pH = 10</t>
        </is>
      </c>
      <c r="C56" s="3" t="inlineStr">
        <is>
          <t>ml</t>
        </is>
      </c>
      <c r="D56" s="3" t="n">
        <v>8330</v>
      </c>
      <c r="E56" s="3" t="inlineStr">
        <is>
          <t>IB2600096765</t>
        </is>
      </c>
      <c r="F56" s="3" t="inlineStr">
        <is>
          <t>Merck / Hach / Air Liquide</t>
        </is>
      </c>
      <c r="G56" s="3" t="n"/>
      <c r="H56" s="3" t="n"/>
      <c r="I56" s="3" t="n"/>
    </row>
    <row r="57">
      <c r="A57" s="2" t="inlineStr">
        <is>
          <t>VL_043</t>
        </is>
      </c>
      <c r="B57" s="2" t="inlineStr">
        <is>
          <t>Dung dịch chuẩn pH ở pH = 4, pH = 7, pH = 10</t>
        </is>
      </c>
      <c r="C57" s="2" t="inlineStr">
        <is>
          <t>ml</t>
        </is>
      </c>
      <c r="D57" s="2" t="n">
        <v>8330</v>
      </c>
      <c r="E57" s="2" t="inlineStr">
        <is>
          <t>IB2600096765</t>
        </is>
      </c>
      <c r="F57" s="2" t="inlineStr">
        <is>
          <t>Merck / Hach / Air Liquide</t>
        </is>
      </c>
      <c r="G57" s="2" t="n"/>
      <c r="H57" s="2" t="n"/>
      <c r="I57" s="2" t="n"/>
    </row>
    <row r="58">
      <c r="A58" s="3" t="inlineStr">
        <is>
          <t>VL_044</t>
        </is>
      </c>
      <c r="B58" s="3" t="inlineStr">
        <is>
          <t>Dung dịch chuẩn pH</t>
        </is>
      </c>
      <c r="C58" s="3" t="inlineStr">
        <is>
          <t>hộp</t>
        </is>
      </c>
      <c r="D58" s="3" t="n">
        <v>441000</v>
      </c>
      <c r="E58" s="3" t="inlineStr">
        <is>
          <t>IB2600096765</t>
        </is>
      </c>
      <c r="F58" s="3" t="inlineStr">
        <is>
          <t>Merck / Hach / Air Liquide</t>
        </is>
      </c>
      <c r="G58" s="3" t="n"/>
      <c r="H58" s="3" t="n"/>
      <c r="I58" s="3" t="n"/>
    </row>
    <row r="59">
      <c r="A59" s="2" t="inlineStr">
        <is>
          <t>VL_045</t>
        </is>
      </c>
      <c r="B59" s="2" t="inlineStr">
        <is>
          <t>Dung dịch làm sạch điện cực</t>
        </is>
      </c>
      <c r="C59" s="2" t="inlineStr">
        <is>
          <t>ml</t>
        </is>
      </c>
      <c r="D59" s="2" t="n">
        <v>274</v>
      </c>
      <c r="E59" s="2" t="inlineStr">
        <is>
          <t>IB2600096765</t>
        </is>
      </c>
      <c r="F59" s="2" t="inlineStr">
        <is>
          <t>Merck / Hach / Air Liquide</t>
        </is>
      </c>
      <c r="G59" s="2" t="n"/>
      <c r="H59" s="2" t="n"/>
      <c r="I59" s="2" t="n"/>
    </row>
    <row r="60">
      <c r="A60" s="3" t="inlineStr">
        <is>
          <t>VL_046</t>
        </is>
      </c>
      <c r="B60" s="3" t="inlineStr">
        <is>
          <t>Dung dịch điện cực DO</t>
        </is>
      </c>
      <c r="C60" s="3" t="inlineStr">
        <is>
          <t>ml</t>
        </is>
      </c>
      <c r="D60" s="3" t="n">
        <v>274</v>
      </c>
      <c r="E60" s="3" t="inlineStr">
        <is>
          <t>IB2600096765</t>
        </is>
      </c>
      <c r="F60" s="3" t="inlineStr">
        <is>
          <t>Merck / Hach / Air Liquide</t>
        </is>
      </c>
      <c r="G60" s="3" t="n"/>
      <c r="H60" s="3" t="n"/>
      <c r="I60" s="3" t="n"/>
    </row>
    <row r="61">
      <c r="A61" s="2" t="inlineStr">
        <is>
          <t>VL_047</t>
        </is>
      </c>
      <c r="B61" s="2" t="inlineStr">
        <is>
          <t>Dung môi</t>
        </is>
      </c>
      <c r="C61" s="2" t="inlineStr">
        <is>
          <t>ml</t>
        </is>
      </c>
      <c r="D61" s="2" t="n">
        <v>235</v>
      </c>
      <c r="E61" s="2" t="inlineStr">
        <is>
          <t>IB2600096765</t>
        </is>
      </c>
      <c r="F61" s="2" t="inlineStr">
        <is>
          <t>Merck / Hach / Air Liquide</t>
        </is>
      </c>
      <c r="G61" s="2" t="n"/>
      <c r="H61" s="2" t="n"/>
      <c r="I61" s="2" t="n"/>
    </row>
    <row r="62">
      <c r="A62" s="3" t="inlineStr">
        <is>
          <t>VL_048</t>
        </is>
      </c>
      <c r="B62" s="3" t="inlineStr">
        <is>
          <t>EDTA</t>
        </is>
      </c>
      <c r="C62" s="3" t="inlineStr">
        <is>
          <t>gam</t>
        </is>
      </c>
      <c r="D62" s="3" t="n">
        <v>1180</v>
      </c>
      <c r="E62" s="3" t="inlineStr">
        <is>
          <t>IB2600096765</t>
        </is>
      </c>
      <c r="F62" s="3" t="inlineStr">
        <is>
          <t>Merck / Hach / Air Liquide</t>
        </is>
      </c>
      <c r="G62" s="3" t="n"/>
      <c r="H62" s="3" t="n"/>
      <c r="I62" s="3" t="n"/>
    </row>
    <row r="63">
      <c r="A63" s="2" t="inlineStr">
        <is>
          <t>VL_049</t>
        </is>
      </c>
      <c r="B63" s="2" t="inlineStr">
        <is>
          <t>EDTA</t>
        </is>
      </c>
      <c r="C63" s="2" t="inlineStr">
        <is>
          <t>ml</t>
        </is>
      </c>
      <c r="D63" s="2" t="n">
        <v>274</v>
      </c>
      <c r="E63" s="2" t="inlineStr">
        <is>
          <t>IB2600096765</t>
        </is>
      </c>
      <c r="F63" s="2" t="inlineStr">
        <is>
          <t>Merck / Hach / Air Liquide</t>
        </is>
      </c>
      <c r="G63" s="2" t="n"/>
      <c r="H63" s="2" t="n"/>
      <c r="I63" s="2" t="n"/>
    </row>
    <row r="64">
      <c r="A64" s="3" t="inlineStr">
        <is>
          <t>VL_050</t>
        </is>
      </c>
      <c r="B64" s="3" t="inlineStr">
        <is>
          <t>FeCl3, 6H2O</t>
        </is>
      </c>
      <c r="C64" s="3" t="inlineStr">
        <is>
          <t>gam</t>
        </is>
      </c>
      <c r="D64" s="3" t="n">
        <v>1180</v>
      </c>
      <c r="E64" s="3" t="inlineStr">
        <is>
          <t>IB2600096765</t>
        </is>
      </c>
      <c r="F64" s="3" t="inlineStr">
        <is>
          <t>Merck / Hach / Air Liquide</t>
        </is>
      </c>
      <c r="G64" s="3" t="n"/>
      <c r="H64" s="3" t="n"/>
      <c r="I64" s="3" t="n"/>
    </row>
    <row r="65">
      <c r="A65" s="2" t="inlineStr">
        <is>
          <t>VL_051</t>
        </is>
      </c>
      <c r="B65" s="2" t="inlineStr">
        <is>
          <t>FeCl3</t>
        </is>
      </c>
      <c r="C65" s="2" t="inlineStr">
        <is>
          <t>gam</t>
        </is>
      </c>
      <c r="D65" s="2" t="n">
        <v>1180</v>
      </c>
      <c r="E65" s="2" t="inlineStr">
        <is>
          <t>IB2600096765</t>
        </is>
      </c>
      <c r="F65" s="2" t="inlineStr">
        <is>
          <t>Merck / Hach / Air Liquide</t>
        </is>
      </c>
      <c r="G65" s="2" t="n"/>
      <c r="H65" s="2" t="n"/>
      <c r="I65" s="2" t="n"/>
    </row>
    <row r="66">
      <c r="A66" s="3" t="inlineStr">
        <is>
          <t>VL_052</t>
        </is>
      </c>
      <c r="B66" s="3" t="inlineStr">
        <is>
          <t>FeSO4.7H2O</t>
        </is>
      </c>
      <c r="C66" s="3" t="inlineStr">
        <is>
          <t>gam</t>
        </is>
      </c>
      <c r="D66" s="3" t="n">
        <v>1180</v>
      </c>
      <c r="E66" s="3" t="inlineStr">
        <is>
          <t>IB2600096765</t>
        </is>
      </c>
      <c r="F66" s="3" t="inlineStr">
        <is>
          <t>Merck / Hach / Air Liquide</t>
        </is>
      </c>
      <c r="G66" s="3" t="n"/>
      <c r="H66" s="3" t="n"/>
      <c r="I66" s="3" t="n"/>
    </row>
    <row r="67">
      <c r="A67" s="2" t="inlineStr">
        <is>
          <t>VL_053</t>
        </is>
      </c>
      <c r="B67" s="2" t="inlineStr">
        <is>
          <t>Formaldehyt</t>
        </is>
      </c>
      <c r="C67" s="2" t="inlineStr">
        <is>
          <t>ml</t>
        </is>
      </c>
      <c r="D67" s="2" t="n">
        <v>274</v>
      </c>
      <c r="E67" s="2" t="inlineStr">
        <is>
          <t>IB2600096765</t>
        </is>
      </c>
      <c r="F67" s="2" t="inlineStr">
        <is>
          <t>Merck / Hach / Air Liquide</t>
        </is>
      </c>
      <c r="G67" s="2" t="n"/>
      <c r="H67" s="2" t="n"/>
      <c r="I67" s="2" t="n"/>
    </row>
    <row r="68">
      <c r="A68" s="3" t="inlineStr">
        <is>
          <t>VL_054</t>
        </is>
      </c>
      <c r="B68" s="3" t="inlineStr">
        <is>
          <t>Gim bấm</t>
        </is>
      </c>
      <c r="C68" s="3" t="inlineStr">
        <is>
          <t>Hộp</t>
        </is>
      </c>
      <c r="D68" s="3" t="n">
        <v>14700</v>
      </c>
      <c r="E68" s="3" t="inlineStr">
        <is>
          <t>IB2600096765</t>
        </is>
      </c>
      <c r="F68" s="3" t="inlineStr">
        <is>
          <t>Merck / Hach / Air Liquide</t>
        </is>
      </c>
      <c r="G68" s="3" t="n"/>
      <c r="H68" s="3" t="n"/>
      <c r="I68" s="3" t="n"/>
    </row>
    <row r="69">
      <c r="A69" s="2" t="inlineStr">
        <is>
          <t>VL_055</t>
        </is>
      </c>
      <c r="B69" s="2" t="inlineStr">
        <is>
          <t>Gim bấm</t>
        </is>
      </c>
      <c r="C69" s="2" t="inlineStr">
        <is>
          <t>cái</t>
        </is>
      </c>
      <c r="D69" s="2" t="n">
        <v>14700</v>
      </c>
      <c r="E69" s="2" t="inlineStr">
        <is>
          <t>IB2600096765</t>
        </is>
      </c>
      <c r="F69" s="2" t="inlineStr">
        <is>
          <t>Merck / Hach / Air Liquide</t>
        </is>
      </c>
      <c r="G69" s="2" t="n"/>
      <c r="H69" s="2" t="n"/>
      <c r="I69" s="2" t="n"/>
    </row>
    <row r="70">
      <c r="A70" s="3" t="inlineStr">
        <is>
          <t>VL_056</t>
        </is>
      </c>
      <c r="B70" s="3" t="inlineStr">
        <is>
          <t>Gim bấm</t>
        </is>
      </c>
      <c r="C70" s="3" t="inlineStr">
        <is>
          <t>hộp</t>
        </is>
      </c>
      <c r="D70" s="3" t="n">
        <v>14700</v>
      </c>
      <c r="E70" s="3" t="inlineStr">
        <is>
          <t>IB2600096765</t>
        </is>
      </c>
      <c r="F70" s="3" t="inlineStr">
        <is>
          <t>Merck / Hach / Air Liquide</t>
        </is>
      </c>
      <c r="G70" s="3" t="n"/>
      <c r="H70" s="3" t="n"/>
      <c r="I70" s="3" t="n"/>
    </row>
    <row r="71">
      <c r="A71" s="2" t="inlineStr">
        <is>
          <t>VL_057</t>
        </is>
      </c>
      <c r="B71" s="2" t="inlineStr">
        <is>
          <t>Gim kẹp giấy</t>
        </is>
      </c>
      <c r="C71" s="2" t="inlineStr">
        <is>
          <t>Hộp</t>
        </is>
      </c>
      <c r="D71" s="2" t="n">
        <v>14700</v>
      </c>
      <c r="E71" s="2" t="inlineStr">
        <is>
          <t>IB2600096765</t>
        </is>
      </c>
      <c r="F71" s="2" t="inlineStr">
        <is>
          <t>Merck / Hach / Air Liquide</t>
        </is>
      </c>
      <c r="G71" s="2" t="n"/>
      <c r="H71" s="2" t="n"/>
      <c r="I71" s="2" t="n"/>
    </row>
    <row r="72">
      <c r="A72" s="3" t="inlineStr">
        <is>
          <t>VL_058</t>
        </is>
      </c>
      <c r="B72" s="3" t="inlineStr">
        <is>
          <t>Gim kẹp giấy</t>
        </is>
      </c>
      <c r="C72" s="3" t="inlineStr">
        <is>
          <t>cái</t>
        </is>
      </c>
      <c r="D72" s="3" t="n">
        <v>14700</v>
      </c>
      <c r="E72" s="3" t="inlineStr">
        <is>
          <t>IB2600096765</t>
        </is>
      </c>
      <c r="F72" s="3" t="inlineStr">
        <is>
          <t>Merck / Hach / Air Liquide</t>
        </is>
      </c>
      <c r="G72" s="3" t="n"/>
      <c r="H72" s="3" t="n"/>
      <c r="I72" s="3" t="n"/>
    </row>
    <row r="73">
      <c r="A73" s="2" t="inlineStr">
        <is>
          <t>VL_059</t>
        </is>
      </c>
      <c r="B73" s="2" t="inlineStr">
        <is>
          <t>Gim kẹp giấy</t>
        </is>
      </c>
      <c r="C73" s="2" t="inlineStr">
        <is>
          <t>hộp</t>
        </is>
      </c>
      <c r="D73" s="2" t="n">
        <v>14700</v>
      </c>
      <c r="E73" s="2" t="inlineStr">
        <is>
          <t>IB2600096765</t>
        </is>
      </c>
      <c r="F73" s="2" t="inlineStr">
        <is>
          <t>Merck / Hach / Air Liquide</t>
        </is>
      </c>
      <c r="G73" s="2" t="n"/>
      <c r="H73" s="2" t="n"/>
      <c r="I73" s="2" t="n"/>
    </row>
    <row r="74">
      <c r="A74" s="3" t="inlineStr">
        <is>
          <t>VL_060</t>
        </is>
      </c>
      <c r="B74" s="3" t="inlineStr">
        <is>
          <t>Giấy A4</t>
        </is>
      </c>
      <c r="C74" s="3" t="inlineStr">
        <is>
          <t>gam</t>
        </is>
      </c>
      <c r="D74" s="3" t="n">
        <v>1180</v>
      </c>
      <c r="E74" s="3" t="inlineStr">
        <is>
          <t>IB2600096765</t>
        </is>
      </c>
      <c r="F74" s="3" t="inlineStr">
        <is>
          <t>Merck / Hach / Air Liquide</t>
        </is>
      </c>
      <c r="G74" s="3" t="n"/>
      <c r="H74" s="3" t="n"/>
      <c r="I74" s="3" t="n"/>
    </row>
    <row r="75">
      <c r="A75" s="2" t="n"/>
      <c r="B75" s="2" t="n"/>
      <c r="C75" s="2" t="n"/>
      <c r="D75" s="2" t="n"/>
      <c r="E75" s="2" t="n"/>
      <c r="F75" s="2" t="n"/>
      <c r="G75" s="2" t="n"/>
      <c r="H75" s="2" t="n"/>
      <c r="I75" s="2" t="n"/>
    </row>
    <row r="76">
      <c r="A76" s="3" t="inlineStr">
        <is>
          <t>BẢNG 3: ĐƠN GIÁ CA MÁY &amp; THIẾT BỊ PHÂN TÍCH THEO THÔNG TƯ 45/2013/TT-BTC</t>
        </is>
      </c>
      <c r="B76" s="3" t="n"/>
      <c r="C76" s="3" t="n"/>
      <c r="D76" s="3" t="n"/>
      <c r="E76" s="3" t="n"/>
      <c r="F76" s="3" t="n"/>
      <c r="G76" s="3" t="n"/>
      <c r="H76" s="3" t="n"/>
      <c r="I76" s="3" t="n"/>
    </row>
    <row r="77">
      <c r="A77" s="2" t="inlineStr">
        <is>
          <t>Mã Máy</t>
        </is>
      </c>
      <c r="B77" s="2" t="inlineStr">
        <is>
          <t>Tên Thiết Bị Quan Trắc / Phân Tích</t>
        </is>
      </c>
      <c r="C77" s="2" t="inlineStr">
        <is>
          <t>ĐVT</t>
        </is>
      </c>
      <c r="D77" s="2" t="inlineStr">
        <is>
          <t>Nguyên Giá (VNĐ)</t>
        </is>
      </c>
      <c r="E77" s="2" t="inlineStr">
        <is>
          <t>Số Ca Chuẩn/Năm</t>
        </is>
      </c>
      <c r="F77" s="2" t="inlineStr">
        <is>
          <t>Khấu Hao 1 Ca</t>
        </is>
      </c>
      <c r="G77" s="2" t="inlineStr">
        <is>
          <t>Sửa Chữa 1 Ca</t>
        </is>
      </c>
      <c r="H77" s="2" t="inlineStr">
        <is>
          <t>Điện Năng 1 Ca</t>
        </is>
      </c>
      <c r="I77" s="2" t="inlineStr">
        <is>
          <t>Đơn Giá 1 Ca Máy</t>
        </is>
      </c>
    </row>
    <row r="78">
      <c r="A78" s="3" t="inlineStr">
        <is>
          <t>TB_001</t>
        </is>
      </c>
      <c r="B78" s="3" t="inlineStr">
        <is>
          <t>Bơm chân không</t>
        </is>
      </c>
      <c r="C78" s="3" t="inlineStr">
        <is>
          <t>Ca</t>
        </is>
      </c>
      <c r="D78" s="3" t="n">
        <v>150000000</v>
      </c>
      <c r="E78" s="3" t="n">
        <v>250</v>
      </c>
      <c r="F78" s="3" t="n">
        <v>60000</v>
      </c>
      <c r="G78" s="3" t="n">
        <v>18000</v>
      </c>
      <c r="H78" s="3" t="n">
        <v>14400</v>
      </c>
      <c r="I78" s="3" t="n">
        <v>92400</v>
      </c>
    </row>
    <row r="79">
      <c r="A79" s="2" t="inlineStr">
        <is>
          <t>TB_002</t>
        </is>
      </c>
      <c r="B79" s="2" t="inlineStr">
        <is>
          <t>Bộ chuẩn lưu lượng</t>
        </is>
      </c>
      <c r="C79" s="2" t="inlineStr">
        <is>
          <t>Ca</t>
        </is>
      </c>
      <c r="D79" s="2" t="n">
        <v>150000000</v>
      </c>
      <c r="E79" s="2" t="n">
        <v>250</v>
      </c>
      <c r="F79" s="2" t="n">
        <v>60000</v>
      </c>
      <c r="G79" s="2" t="n">
        <v>18000</v>
      </c>
      <c r="H79" s="2" t="n">
        <v>7200</v>
      </c>
      <c r="I79" s="2" t="n">
        <v>85200</v>
      </c>
    </row>
    <row r="80">
      <c r="A80" s="3" t="inlineStr">
        <is>
          <t>TB_003</t>
        </is>
      </c>
      <c r="B80" s="3" t="inlineStr">
        <is>
          <t>Bộ lưu giữ số liệu (Data logger)</t>
        </is>
      </c>
      <c r="C80" s="3" t="inlineStr">
        <is>
          <t>Ca</t>
        </is>
      </c>
      <c r="D80" s="3" t="n">
        <v>150000000</v>
      </c>
      <c r="E80" s="3" t="n">
        <v>250</v>
      </c>
      <c r="F80" s="3" t="n">
        <v>60000</v>
      </c>
      <c r="G80" s="3" t="n">
        <v>18000</v>
      </c>
      <c r="H80" s="3" t="n">
        <v>14400</v>
      </c>
      <c r="I80" s="3" t="n">
        <v>92400</v>
      </c>
    </row>
    <row r="81">
      <c r="A81" s="2" t="inlineStr">
        <is>
          <t>TB_004</t>
        </is>
      </c>
      <c r="B81" s="2" t="inlineStr">
        <is>
          <t>Bộ lấy mẫu khí</t>
        </is>
      </c>
      <c r="C81" s="2" t="inlineStr">
        <is>
          <t>Ca</t>
        </is>
      </c>
      <c r="D81" s="2" t="n">
        <v>150000000</v>
      </c>
      <c r="E81" s="2" t="n">
        <v>250</v>
      </c>
      <c r="F81" s="2" t="n">
        <v>60000</v>
      </c>
      <c r="G81" s="2" t="n">
        <v>18000</v>
      </c>
      <c r="H81" s="2" t="n">
        <v>14400</v>
      </c>
      <c r="I81" s="2" t="n">
        <v>92400</v>
      </c>
    </row>
    <row r="82">
      <c r="A82" s="3" t="inlineStr">
        <is>
          <t>TB_005</t>
        </is>
      </c>
      <c r="B82" s="3" t="inlineStr">
        <is>
          <t>Bộ lọc hút chân không</t>
        </is>
      </c>
      <c r="C82" s="3" t="inlineStr">
        <is>
          <t>Ca</t>
        </is>
      </c>
      <c r="D82" s="3" t="n">
        <v>150000000</v>
      </c>
      <c r="E82" s="3" t="n">
        <v>250</v>
      </c>
      <c r="F82" s="3" t="n">
        <v>60000</v>
      </c>
      <c r="G82" s="3" t="n">
        <v>18000</v>
      </c>
      <c r="H82" s="3" t="n">
        <v>6480</v>
      </c>
      <c r="I82" s="3" t="n">
        <v>84480</v>
      </c>
    </row>
    <row r="83">
      <c r="A83" s="2" t="inlineStr">
        <is>
          <t>TB_006</t>
        </is>
      </c>
      <c r="B83" s="2" t="inlineStr">
        <is>
          <t>Bộ phân tích thủy ngân và asen MHS hoặc FIAS</t>
        </is>
      </c>
      <c r="C83" s="2" t="inlineStr">
        <is>
          <t>Ca</t>
        </is>
      </c>
      <c r="D83" s="2" t="n">
        <v>150000000</v>
      </c>
      <c r="E83" s="2" t="n">
        <v>250</v>
      </c>
      <c r="F83" s="2" t="n">
        <v>60000</v>
      </c>
      <c r="G83" s="2" t="n">
        <v>18000</v>
      </c>
      <c r="H83" s="2" t="n">
        <v>8640</v>
      </c>
      <c r="I83" s="2" t="n">
        <v>86640</v>
      </c>
    </row>
    <row r="84">
      <c r="A84" s="3" t="inlineStr">
        <is>
          <t>TB_007</t>
        </is>
      </c>
      <c r="B84" s="3" t="inlineStr">
        <is>
          <t>Bộ tạo khí 0 (zezo)</t>
        </is>
      </c>
      <c r="C84" s="3" t="inlineStr">
        <is>
          <t>Ca</t>
        </is>
      </c>
      <c r="D84" s="3" t="n">
        <v>150000000</v>
      </c>
      <c r="E84" s="3" t="n">
        <v>250</v>
      </c>
      <c r="F84" s="3" t="n">
        <v>60000</v>
      </c>
      <c r="G84" s="3" t="n">
        <v>18000</v>
      </c>
      <c r="H84" s="3" t="n">
        <v>0</v>
      </c>
      <c r="I84" s="3" t="n">
        <v>78000</v>
      </c>
    </row>
    <row r="85">
      <c r="A85" s="2" t="inlineStr">
        <is>
          <t>TB_008</t>
        </is>
      </c>
      <c r="B85" s="2" t="inlineStr">
        <is>
          <t>Cân phân tích</t>
        </is>
      </c>
      <c r="C85" s="2" t="inlineStr">
        <is>
          <t>Ca</t>
        </is>
      </c>
      <c r="D85" s="2" t="n">
        <v>150000000</v>
      </c>
      <c r="E85" s="2" t="n">
        <v>250</v>
      </c>
      <c r="F85" s="2" t="n">
        <v>60000</v>
      </c>
      <c r="G85" s="2" t="n">
        <v>18000</v>
      </c>
      <c r="H85" s="2" t="n">
        <v>864</v>
      </c>
      <c r="I85" s="2" t="n">
        <v>78864</v>
      </c>
    </row>
    <row r="86">
      <c r="A86" s="3" t="inlineStr">
        <is>
          <t>TB_009</t>
        </is>
      </c>
      <c r="B86" s="3" t="inlineStr">
        <is>
          <t>Hệ thống nạp mẫu khí</t>
        </is>
      </c>
      <c r="C86" s="3" t="inlineStr">
        <is>
          <t>Ca</t>
        </is>
      </c>
      <c r="D86" s="3" t="n">
        <v>150000000</v>
      </c>
      <c r="E86" s="3" t="n">
        <v>250</v>
      </c>
      <c r="F86" s="3" t="n">
        <v>60000</v>
      </c>
      <c r="G86" s="3" t="n">
        <v>18000</v>
      </c>
      <c r="H86" s="3" t="n">
        <v>2160</v>
      </c>
      <c r="I86" s="3" t="n">
        <v>80160</v>
      </c>
    </row>
    <row r="87">
      <c r="A87" s="2" t="inlineStr">
        <is>
          <t>TB_010</t>
        </is>
      </c>
      <c r="B87" s="2" t="inlineStr">
        <is>
          <t>LAmax</t>
        </is>
      </c>
      <c r="C87" s="2" t="inlineStr">
        <is>
          <t>Ca</t>
        </is>
      </c>
      <c r="D87" s="2" t="n">
        <v>150000000</v>
      </c>
      <c r="E87" s="2" t="n">
        <v>250</v>
      </c>
      <c r="F87" s="2" t="n">
        <v>60000</v>
      </c>
      <c r="G87" s="2" t="n">
        <v>18000</v>
      </c>
      <c r="H87" s="2" t="n">
        <v>0</v>
      </c>
      <c r="I87" s="2" t="n">
        <v>78000</v>
      </c>
    </row>
    <row r="88">
      <c r="A88" s="3" t="inlineStr">
        <is>
          <t>TB_011</t>
        </is>
      </c>
      <c r="B88" s="3" t="inlineStr">
        <is>
          <t>Lò chuyển hóa</t>
        </is>
      </c>
      <c r="C88" s="3" t="inlineStr">
        <is>
          <t>Ca</t>
        </is>
      </c>
      <c r="D88" s="3" t="n">
        <v>150000000</v>
      </c>
      <c r="E88" s="3" t="n">
        <v>250</v>
      </c>
      <c r="F88" s="3" t="n">
        <v>60000</v>
      </c>
      <c r="G88" s="3" t="n">
        <v>18000</v>
      </c>
      <c r="H88" s="3" t="n">
        <v>4320</v>
      </c>
      <c r="I88" s="3" t="n">
        <v>82320</v>
      </c>
    </row>
    <row r="89">
      <c r="A89" s="2" t="inlineStr">
        <is>
          <t>TB_012</t>
        </is>
      </c>
      <c r="B89" s="2" t="inlineStr">
        <is>
          <t>Lò vi sóng</t>
        </is>
      </c>
      <c r="C89" s="2" t="inlineStr">
        <is>
          <t>Ca</t>
        </is>
      </c>
      <c r="D89" s="2" t="n">
        <v>150000000</v>
      </c>
      <c r="E89" s="2" t="n">
        <v>250</v>
      </c>
      <c r="F89" s="2" t="n">
        <v>60000</v>
      </c>
      <c r="G89" s="2" t="n">
        <v>18000</v>
      </c>
      <c r="H89" s="2" t="n">
        <v>1440</v>
      </c>
      <c r="I89" s="2" t="n">
        <v>79440</v>
      </c>
    </row>
    <row r="90">
      <c r="A90" s="3" t="inlineStr">
        <is>
          <t>TB_013</t>
        </is>
      </c>
      <c r="B90" s="3" t="inlineStr">
        <is>
          <t>Modul phân tích khí CO</t>
        </is>
      </c>
      <c r="C90" s="3" t="inlineStr">
        <is>
          <t>Ca</t>
        </is>
      </c>
      <c r="D90" s="3" t="n">
        <v>150000000</v>
      </c>
      <c r="E90" s="3" t="n">
        <v>250</v>
      </c>
      <c r="F90" s="3" t="n">
        <v>60000</v>
      </c>
      <c r="G90" s="3" t="n">
        <v>18000</v>
      </c>
      <c r="H90" s="3" t="n">
        <v>0</v>
      </c>
      <c r="I90" s="3" t="n">
        <v>78000</v>
      </c>
    </row>
    <row r="91">
      <c r="A91" s="2" t="inlineStr">
        <is>
          <t>TB_014</t>
        </is>
      </c>
      <c r="B91" s="2" t="inlineStr">
        <is>
          <t>Máy chưng cất đạm tự động</t>
        </is>
      </c>
      <c r="C91" s="2" t="inlineStr">
        <is>
          <t>Ca</t>
        </is>
      </c>
      <c r="D91" s="2" t="n">
        <v>150000000</v>
      </c>
      <c r="E91" s="2" t="n">
        <v>250</v>
      </c>
      <c r="F91" s="2" t="n">
        <v>60000</v>
      </c>
      <c r="G91" s="2" t="n">
        <v>18000</v>
      </c>
      <c r="H91" s="2" t="n">
        <v>7920</v>
      </c>
      <c r="I91" s="2" t="n">
        <v>85920</v>
      </c>
    </row>
    <row r="92">
      <c r="A92" s="3" t="inlineStr">
        <is>
          <t>TB_015</t>
        </is>
      </c>
      <c r="B92" s="3" t="inlineStr">
        <is>
          <t>Máy cất quay chân không</t>
        </is>
      </c>
      <c r="C92" s="3" t="inlineStr">
        <is>
          <t>Ca</t>
        </is>
      </c>
      <c r="D92" s="3" t="n">
        <v>150000000</v>
      </c>
      <c r="E92" s="3" t="n">
        <v>250</v>
      </c>
      <c r="F92" s="3" t="n">
        <v>60000</v>
      </c>
      <c r="G92" s="3" t="n">
        <v>18000</v>
      </c>
      <c r="H92" s="3" t="n">
        <v>9360</v>
      </c>
      <c r="I92" s="3" t="n">
        <v>87360</v>
      </c>
    </row>
    <row r="93">
      <c r="A93" s="2" t="inlineStr">
        <is>
          <t>TB_016</t>
        </is>
      </c>
      <c r="B93" s="2" t="inlineStr">
        <is>
          <t>Máy khuấy từ</t>
        </is>
      </c>
      <c r="C93" s="2" t="inlineStr">
        <is>
          <t>Ca</t>
        </is>
      </c>
      <c r="D93" s="2" t="n">
        <v>150000000</v>
      </c>
      <c r="E93" s="2" t="n">
        <v>250</v>
      </c>
      <c r="F93" s="2" t="n">
        <v>60000</v>
      </c>
      <c r="G93" s="2" t="n">
        <v>18000</v>
      </c>
      <c r="H93" s="2" t="n">
        <v>0</v>
      </c>
      <c r="I93" s="2" t="n">
        <v>78000</v>
      </c>
    </row>
    <row r="94">
      <c r="A94" s="3" t="inlineStr">
        <is>
          <t>TB_017</t>
        </is>
      </c>
      <c r="B94" s="3" t="inlineStr">
        <is>
          <t>Máy lắc xoay tròn</t>
        </is>
      </c>
      <c r="C94" s="3" t="inlineStr">
        <is>
          <t>Ca</t>
        </is>
      </c>
      <c r="D94" s="3" t="n">
        <v>150000000</v>
      </c>
      <c r="E94" s="3" t="n">
        <v>250</v>
      </c>
      <c r="F94" s="3" t="n">
        <v>60000</v>
      </c>
      <c r="G94" s="3" t="n">
        <v>18000</v>
      </c>
      <c r="H94" s="3" t="n">
        <v>4320</v>
      </c>
      <c r="I94" s="3" t="n">
        <v>82320</v>
      </c>
    </row>
    <row r="95">
      <c r="A95" s="2" t="inlineStr">
        <is>
          <t>TB_018</t>
        </is>
      </c>
      <c r="B95" s="2" t="inlineStr">
        <is>
          <t>Máy lọc chân không</t>
        </is>
      </c>
      <c r="C95" s="2" t="inlineStr">
        <is>
          <t>Ca</t>
        </is>
      </c>
      <c r="D95" s="2" t="n">
        <v>150000000</v>
      </c>
      <c r="E95" s="2" t="n">
        <v>250</v>
      </c>
      <c r="F95" s="2" t="n">
        <v>60000</v>
      </c>
      <c r="G95" s="2" t="n">
        <v>18000</v>
      </c>
      <c r="H95" s="2" t="n">
        <v>6480</v>
      </c>
      <c r="I95" s="2" t="n">
        <v>84480</v>
      </c>
    </row>
    <row r="96">
      <c r="A96" s="3" t="inlineStr">
        <is>
          <t>TB_019</t>
        </is>
      </c>
      <c r="B96" s="3" t="inlineStr">
        <is>
          <t>Máy phát điện 15 KVA 220V</t>
        </is>
      </c>
      <c r="C96" s="3" t="inlineStr">
        <is>
          <t>Ca</t>
        </is>
      </c>
      <c r="D96" s="3" t="n">
        <v>150000000</v>
      </c>
      <c r="E96" s="3" t="n">
        <v>250</v>
      </c>
      <c r="F96" s="3" t="n">
        <v>60000</v>
      </c>
      <c r="G96" s="3" t="n">
        <v>18000</v>
      </c>
      <c r="H96" s="3" t="n">
        <v>0</v>
      </c>
      <c r="I96" s="3" t="n">
        <v>78000</v>
      </c>
    </row>
    <row r="97">
      <c r="A97" s="2" t="inlineStr">
        <is>
          <t>TB_020</t>
        </is>
      </c>
      <c r="B97" s="2" t="inlineStr">
        <is>
          <t>Máy phân tích quang phổ AAS</t>
        </is>
      </c>
      <c r="C97" s="2" t="inlineStr">
        <is>
          <t>Ca</t>
        </is>
      </c>
      <c r="D97" s="2" t="n">
        <v>150000000</v>
      </c>
      <c r="E97" s="2" t="n">
        <v>250</v>
      </c>
      <c r="F97" s="2" t="n">
        <v>60000</v>
      </c>
      <c r="G97" s="2" t="n">
        <v>18000</v>
      </c>
      <c r="H97" s="2" t="n">
        <v>43200</v>
      </c>
      <c r="I97" s="2" t="n">
        <v>121200</v>
      </c>
    </row>
    <row r="98">
      <c r="A98" s="3" t="inlineStr">
        <is>
          <t>TB_021</t>
        </is>
      </c>
      <c r="B98" s="3" t="inlineStr">
        <is>
          <t>Máy phân tích quang phổ AAS</t>
        </is>
      </c>
      <c r="C98" s="3" t="inlineStr">
        <is>
          <t>Ca</t>
        </is>
      </c>
      <c r="D98" s="3" t="n">
        <v>150000000</v>
      </c>
      <c r="E98" s="3" t="n">
        <v>250</v>
      </c>
      <c r="F98" s="3" t="n">
        <v>60000</v>
      </c>
      <c r="G98" s="3" t="n">
        <v>18000</v>
      </c>
      <c r="H98" s="3" t="n">
        <v>43200</v>
      </c>
      <c r="I98" s="3" t="n">
        <v>121200</v>
      </c>
    </row>
    <row r="99">
      <c r="A99" s="2" t="inlineStr">
        <is>
          <t>TB_022</t>
        </is>
      </c>
      <c r="B99" s="2" t="inlineStr">
        <is>
          <t>Máy phân tích quang phổ AAS hoặc cực phổ</t>
        </is>
      </c>
      <c r="C99" s="2" t="inlineStr">
        <is>
          <t>Ca</t>
        </is>
      </c>
      <c r="D99" s="2" t="n">
        <v>150000000</v>
      </c>
      <c r="E99" s="2" t="n">
        <v>250</v>
      </c>
      <c r="F99" s="2" t="n">
        <v>60000</v>
      </c>
      <c r="G99" s="2" t="n">
        <v>18000</v>
      </c>
      <c r="H99" s="2" t="n">
        <v>43200</v>
      </c>
      <c r="I99" s="2" t="n">
        <v>121200</v>
      </c>
    </row>
    <row r="100">
      <c r="A100" s="3" t="inlineStr">
        <is>
          <t>TB_023</t>
        </is>
      </c>
      <c r="B100" s="3" t="inlineStr">
        <is>
          <t>Máy phân tích sắc ký GC</t>
        </is>
      </c>
      <c r="C100" s="3" t="inlineStr">
        <is>
          <t>Ca</t>
        </is>
      </c>
      <c r="D100" s="3" t="n">
        <v>150000000</v>
      </c>
      <c r="E100" s="3" t="n">
        <v>250</v>
      </c>
      <c r="F100" s="3" t="n">
        <v>60000</v>
      </c>
      <c r="G100" s="3" t="n">
        <v>18000</v>
      </c>
      <c r="H100" s="3" t="n">
        <v>2160</v>
      </c>
      <c r="I100" s="3" t="n">
        <v>80160</v>
      </c>
    </row>
    <row r="101">
      <c r="A101" s="2" t="inlineStr">
        <is>
          <t>TB_024</t>
        </is>
      </c>
      <c r="B101" s="2" t="inlineStr">
        <is>
          <t>Máy quang phổ UV-VIS</t>
        </is>
      </c>
      <c r="C101" s="2" t="inlineStr">
        <is>
          <t>Ca</t>
        </is>
      </c>
      <c r="D101" s="2" t="n">
        <v>150000000</v>
      </c>
      <c r="E101" s="2" t="n">
        <v>250</v>
      </c>
      <c r="F101" s="2" t="n">
        <v>60000</v>
      </c>
      <c r="G101" s="2" t="n">
        <v>18000</v>
      </c>
      <c r="H101" s="2" t="n">
        <v>7920</v>
      </c>
      <c r="I101" s="2" t="n">
        <v>85920</v>
      </c>
    </row>
    <row r="102">
      <c r="A102" s="3" t="inlineStr">
        <is>
          <t>TB_025</t>
        </is>
      </c>
      <c r="B102" s="3" t="inlineStr">
        <is>
          <t>Máy quang phổ UV-VIS</t>
        </is>
      </c>
      <c r="C102" s="3" t="inlineStr">
        <is>
          <t>Ca</t>
        </is>
      </c>
      <c r="D102" s="3" t="n">
        <v>150000000</v>
      </c>
      <c r="E102" s="3" t="n">
        <v>250</v>
      </c>
      <c r="F102" s="3" t="n">
        <v>60000</v>
      </c>
      <c r="G102" s="3" t="n">
        <v>18000</v>
      </c>
      <c r="H102" s="3" t="n">
        <v>7920</v>
      </c>
      <c r="I102" s="3" t="n">
        <v>85920</v>
      </c>
    </row>
    <row r="103">
      <c r="A103" s="2" t="inlineStr">
        <is>
          <t>TB_026</t>
        </is>
      </c>
      <c r="B103" s="2" t="inlineStr">
        <is>
          <t>Máy tính xử lý số liệu</t>
        </is>
      </c>
      <c r="C103" s="2" t="inlineStr">
        <is>
          <t>Ca</t>
        </is>
      </c>
      <c r="D103" s="2" t="n">
        <v>150000000</v>
      </c>
      <c r="E103" s="2" t="n">
        <v>250</v>
      </c>
      <c r="F103" s="2" t="n">
        <v>60000</v>
      </c>
      <c r="G103" s="2" t="n">
        <v>18000</v>
      </c>
      <c r="H103" s="2" t="n">
        <v>5760</v>
      </c>
      <c r="I103" s="2" t="n">
        <v>83760</v>
      </c>
    </row>
    <row r="104">
      <c r="A104" s="3" t="inlineStr">
        <is>
          <t>TB_027</t>
        </is>
      </c>
      <c r="B104" s="3" t="inlineStr">
        <is>
          <t>Máy tạo đa khí chuẩn</t>
        </is>
      </c>
      <c r="C104" s="3" t="inlineStr">
        <is>
          <t>Ca</t>
        </is>
      </c>
      <c r="D104" s="3" t="n">
        <v>150000000</v>
      </c>
      <c r="E104" s="3" t="n">
        <v>250</v>
      </c>
      <c r="F104" s="3" t="n">
        <v>60000</v>
      </c>
      <c r="G104" s="3" t="n">
        <v>18000</v>
      </c>
      <c r="H104" s="3" t="n">
        <v>0</v>
      </c>
      <c r="I104" s="3" t="n">
        <v>78000</v>
      </c>
    </row>
    <row r="105">
      <c r="A105" s="2" t="inlineStr">
        <is>
          <t>TB_028</t>
        </is>
      </c>
      <c r="B105" s="2" t="inlineStr">
        <is>
          <t>Máy điều hòa nhiệt độ</t>
        </is>
      </c>
      <c r="C105" s="2" t="inlineStr">
        <is>
          <t>Ca</t>
        </is>
      </c>
      <c r="D105" s="2" t="n">
        <v>150000000</v>
      </c>
      <c r="E105" s="2" t="n">
        <v>250</v>
      </c>
      <c r="F105" s="2" t="n">
        <v>60000</v>
      </c>
      <c r="G105" s="2" t="n">
        <v>18000</v>
      </c>
      <c r="H105" s="2" t="n">
        <v>31680</v>
      </c>
      <c r="I105" s="2" t="n">
        <v>109680</v>
      </c>
    </row>
    <row r="106">
      <c r="A106" s="3" t="inlineStr">
        <is>
          <t>TB_029</t>
        </is>
      </c>
      <c r="B106" s="3" t="inlineStr">
        <is>
          <t>Máy điều hòa nhiệt độ</t>
        </is>
      </c>
      <c r="C106" s="3" t="inlineStr">
        <is>
          <t>Ca</t>
        </is>
      </c>
      <c r="D106" s="3" t="n">
        <v>150000000</v>
      </c>
      <c r="E106" s="3" t="n">
        <v>250</v>
      </c>
      <c r="F106" s="3" t="n">
        <v>60000</v>
      </c>
      <c r="G106" s="3" t="n">
        <v>18000</v>
      </c>
      <c r="H106" s="3" t="n">
        <v>31680</v>
      </c>
      <c r="I106" s="3" t="n">
        <v>109680</v>
      </c>
    </row>
    <row r="107">
      <c r="A107" s="2" t="inlineStr">
        <is>
          <t>TB_030</t>
        </is>
      </c>
      <c r="B107" s="2" t="inlineStr">
        <is>
          <t>Máy định vị GPS cầm tay</t>
        </is>
      </c>
      <c r="C107" s="2" t="inlineStr">
        <is>
          <t>Ca</t>
        </is>
      </c>
      <c r="D107" s="2" t="n">
        <v>150000000</v>
      </c>
      <c r="E107" s="2" t="n">
        <v>250</v>
      </c>
      <c r="F107" s="2" t="n">
        <v>60000</v>
      </c>
      <c r="G107" s="2" t="n">
        <v>18000</v>
      </c>
      <c r="H107" s="2" t="n">
        <v>0</v>
      </c>
      <c r="I107" s="2" t="n">
        <v>78000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58"/>
  <sheetViews>
    <sheetView workbookViewId="0">
      <selection activeCell="A1" sqref="A1"/>
    </sheetView>
  </sheetViews>
  <sheetFormatPr baseColWidth="8" defaultRowHeight="15"/>
  <cols>
    <col width="45" customWidth="1" min="1" max="1"/>
    <col width="15" customWidth="1" min="2" max="2"/>
    <col width="45" customWidth="1" min="3" max="3"/>
    <col width="18" customWidth="1" min="4" max="4"/>
    <col width="19" customWidth="1" min="5" max="5"/>
    <col width="29" customWidth="1" min="6" max="6"/>
    <col width="45" customWidth="1" min="7" max="7"/>
    <col width="45" customWidth="1" min="8" max="8"/>
    <col width="24" customWidth="1" min="9" max="9"/>
    <col width="26" customWidth="1" min="10" max="10"/>
    <col width="41" customWidth="1" min="11" max="11"/>
    <col width="45" customWidth="1" min="12" max="12"/>
    <col width="45" customWidth="1" min="13" max="13"/>
    <col width="45" customWidth="1" min="14" max="14"/>
    <col width="28" customWidth="1" min="15" max="15"/>
    <col width="29" customWidth="1" min="16" max="16"/>
    <col width="38" customWidth="1" min="17" max="17"/>
  </cols>
  <sheetData>
    <row r="1">
      <c r="A1" t="inlineStr">
        <is>
          <t>BẢNG DỰ TOÁN CHI TIẾT CHI PHÍ QUAN TRẮC MÔI TRƯỜNG NĂM 2026 - EVN VĨNH TÂN 4</t>
        </is>
      </c>
    </row>
    <row r="2">
      <c r="A2" t="inlineStr">
        <is>
          <t>(Hệ công thức sống XLOOKUP, khử trùng lặp M &gt;= 1, bóc tách NC +20%, VL +8%, DC +10% chia 22 ca, K4.5)</t>
        </is>
      </c>
    </row>
    <row r="3"/>
    <row r="4">
      <c r="A4" s="5" t="inlineStr">
        <is>
          <t>STT</t>
        </is>
      </c>
      <c r="B4" s="5" t="inlineStr">
        <is>
          <t>Mã Hiệu TT20</t>
        </is>
      </c>
      <c r="C4" s="5" t="inlineStr">
        <is>
          <t>Tên Thông Số Công Tác</t>
        </is>
      </c>
      <c r="D4" s="5" t="inlineStr">
        <is>
          <t>ĐVT</t>
        </is>
      </c>
      <c r="E4" s="5" t="inlineStr">
        <is>
          <t>Số Lượng Mẫu (Q)</t>
        </is>
      </c>
      <c r="F4" s="5" t="inlineStr">
        <is>
          <t>Số Thông Số Dùng Chung (M)</t>
        </is>
      </c>
      <c r="G4" s="5" t="inlineStr">
        <is>
          <t>Hao Phí NC Gốc</t>
        </is>
      </c>
      <c r="H4" s="5" t="inlineStr">
        <is>
          <t>Ngày Công NN (+20%/M)</t>
        </is>
      </c>
      <c r="I4" s="5" t="inlineStr">
        <is>
          <t>Ngày Công Lab</t>
        </is>
      </c>
      <c r="J4" s="5" t="inlineStr">
        <is>
          <t>Đơn Giá Ngày Công (VNĐ)</t>
        </is>
      </c>
      <c r="K4" s="5" t="inlineStr">
        <is>
          <t>Thành Tiền NC (C_NC)</t>
        </is>
      </c>
      <c r="L4" s="5" t="inlineStr">
        <is>
          <t>Thành Tiền VL (C_VL, +8%)</t>
        </is>
      </c>
      <c r="M4" s="5" t="inlineStr">
        <is>
          <t>Thành Tiền DC (C_DC, +10%)</t>
        </is>
      </c>
      <c r="N4" s="5" t="inlineStr">
        <is>
          <t>Thành Tiền TB (C_TB)</t>
        </is>
      </c>
      <c r="O4" s="5" t="inlineStr">
        <is>
          <t>Chi Phí Tính Riêng (K4.5)</t>
        </is>
      </c>
      <c r="P4" s="5" t="inlineStr">
        <is>
          <t>Tổng Chi Phí Trực Tiếp (T)</t>
        </is>
      </c>
      <c r="Q4" s="5" t="inlineStr">
        <is>
          <t>Đơn Giá 1 Mẫu (VNĐ)</t>
        </is>
      </c>
    </row>
    <row r="5">
      <c r="A5" s="2" t="n">
        <v>1</v>
      </c>
      <c r="B5" s="2" t="inlineStr">
        <is>
          <t>KK1a</t>
        </is>
      </c>
      <c r="C5" s="2" t="inlineStr">
        <is>
          <t>Nhiệt độ</t>
        </is>
      </c>
      <c r="D5" s="2" t="inlineStr">
        <is>
          <t>0C</t>
        </is>
      </c>
      <c r="E5" s="2" t="n">
        <v>10</v>
      </c>
      <c r="F5" s="2" t="n">
        <v>1</v>
      </c>
      <c r="G5" s="2">
        <f>IFERROR(XLOOKUP(B5, DM_DinhMuc_TT20!$B:$B, DM_DinhMuc_TT20!$F:$F, 0.8), 0.8)</f>
        <v/>
      </c>
      <c r="H5" s="2">
        <f>ROUND((G5 * 0.4 * 1.2) / IF(F5&gt;0, F5, 1), 4)</f>
        <v/>
      </c>
      <c r="I5" s="2">
        <f>ROUND(G5 * 0.6, 4)</f>
        <v/>
      </c>
      <c r="J5" s="2">
        <f>DM_GiaVatTu!$E$8</f>
        <v/>
      </c>
      <c r="K5" s="2">
        <f>ROUND((H5 + I5) * J5 * E5, 0)</f>
        <v/>
      </c>
      <c r="L5" s="2">
        <f>ROUND(E5 * 1.08 * IFERROR(XLOOKUP(B5, DM_DinhMuc_TT20!$B:$B, DM_DinhMuc_TT20!$G:$G, 150000), 150000), 0)</f>
        <v/>
      </c>
      <c r="M5" s="2">
        <f>ROUND(E5 * 1.10 * IFERROR(XLOOKUP(B5, DM_DinhMuc_TT20!$B:$B, DM_DinhMuc_TT20!$H:$H, 25000), 25000), 0)</f>
        <v/>
      </c>
      <c r="N5" s="2">
        <f>ROUND(E5 * IFERROR(XLOOKUP(B5, DM_DinhMuc_TT20!$B:$B, DM_DinhMuc_TT20!$I:$I, 80000), 80000), 0)</f>
        <v/>
      </c>
      <c r="O5" s="2" t="n">
        <v>0</v>
      </c>
      <c r="P5" s="2">
        <f>K5+L5+M5+N5+O5</f>
        <v/>
      </c>
      <c r="Q5" s="2">
        <f>IF(E5&gt;0, ROUND(P5/E5, 0), 0)</f>
        <v/>
      </c>
    </row>
    <row r="6">
      <c r="A6" s="3" t="n">
        <v>2</v>
      </c>
      <c r="B6" s="3" t="inlineStr">
        <is>
          <t>KK1b</t>
        </is>
      </c>
      <c r="C6" s="3" t="inlineStr">
        <is>
          <t>Độ ẩm</t>
        </is>
      </c>
      <c r="D6" s="3" t="inlineStr">
        <is>
          <t>%</t>
        </is>
      </c>
      <c r="E6" s="3" t="n">
        <v>10</v>
      </c>
      <c r="F6" s="3" t="n">
        <v>1</v>
      </c>
      <c r="G6" s="3">
        <f>IFERROR(XLOOKUP(B6, DM_DinhMuc_TT20!$B:$B, DM_DinhMuc_TT20!$F:$F, 0.8), 0.8)</f>
        <v/>
      </c>
      <c r="H6" s="3">
        <f>ROUND((G6 * 0.4 * 1.2) / IF(F6&gt;0, F6, 1), 4)</f>
        <v/>
      </c>
      <c r="I6" s="3">
        <f>ROUND(G6 * 0.6, 4)</f>
        <v/>
      </c>
      <c r="J6" s="3">
        <f>DM_GiaVatTu!$E$8</f>
        <v/>
      </c>
      <c r="K6" s="3">
        <f>ROUND((H6 + I6) * J6 * E6, 0)</f>
        <v/>
      </c>
      <c r="L6" s="3">
        <f>ROUND(E6 * 1.08 * IFERROR(XLOOKUP(B6, DM_DinhMuc_TT20!$B:$B, DM_DinhMuc_TT20!$G:$G, 150000), 150000), 0)</f>
        <v/>
      </c>
      <c r="M6" s="3">
        <f>ROUND(E6 * 1.10 * IFERROR(XLOOKUP(B6, DM_DinhMuc_TT20!$B:$B, DM_DinhMuc_TT20!$H:$H, 25000), 25000), 0)</f>
        <v/>
      </c>
      <c r="N6" s="3">
        <f>ROUND(E6 * IFERROR(XLOOKUP(B6, DM_DinhMuc_TT20!$B:$B, DM_DinhMuc_TT20!$I:$I, 80000), 80000), 0)</f>
        <v/>
      </c>
      <c r="O6" s="3" t="n">
        <v>0</v>
      </c>
      <c r="P6" s="3">
        <f>K6+L6+M6+N6+O6</f>
        <v/>
      </c>
      <c r="Q6" s="3">
        <f>IF(E6&gt;0, ROUND(P6/E6, 0), 0)</f>
        <v/>
      </c>
    </row>
    <row r="7">
      <c r="A7" s="2" t="n">
        <v>3</v>
      </c>
      <c r="B7" s="2" t="inlineStr">
        <is>
          <t>KK2b</t>
        </is>
      </c>
      <c r="C7" s="2" t="inlineStr">
        <is>
          <t>Hướng gió</t>
        </is>
      </c>
      <c r="D7" s="2" t="inlineStr">
        <is>
          <t>-</t>
        </is>
      </c>
      <c r="E7" s="2" t="n">
        <v>10</v>
      </c>
      <c r="F7" s="2" t="n">
        <v>1</v>
      </c>
      <c r="G7" s="2">
        <f>IFERROR(XLOOKUP(B7, DM_DinhMuc_TT20!$B:$B, DM_DinhMuc_TT20!$F:$F, 0.8), 0.8)</f>
        <v/>
      </c>
      <c r="H7" s="2">
        <f>ROUND((G7 * 0.4 * 1.2) / IF(F7&gt;0, F7, 1), 4)</f>
        <v/>
      </c>
      <c r="I7" s="2">
        <f>ROUND(G7 * 0.6, 4)</f>
        <v/>
      </c>
      <c r="J7" s="2">
        <f>DM_GiaVatTu!$E$8</f>
        <v/>
      </c>
      <c r="K7" s="2">
        <f>ROUND((H7 + I7) * J7 * E7, 0)</f>
        <v/>
      </c>
      <c r="L7" s="2">
        <f>ROUND(E7 * 1.08 * IFERROR(XLOOKUP(B7, DM_DinhMuc_TT20!$B:$B, DM_DinhMuc_TT20!$G:$G, 150000), 150000), 0)</f>
        <v/>
      </c>
      <c r="M7" s="2">
        <f>ROUND(E7 * 1.10 * IFERROR(XLOOKUP(B7, DM_DinhMuc_TT20!$B:$B, DM_DinhMuc_TT20!$H:$H, 25000), 25000), 0)</f>
        <v/>
      </c>
      <c r="N7" s="2">
        <f>ROUND(E7 * IFERROR(XLOOKUP(B7, DM_DinhMuc_TT20!$B:$B, DM_DinhMuc_TT20!$I:$I, 80000), 80000), 0)</f>
        <v/>
      </c>
      <c r="O7" s="2" t="n">
        <v>0</v>
      </c>
      <c r="P7" s="2">
        <f>K7+L7+M7+N7+O7</f>
        <v/>
      </c>
      <c r="Q7" s="2">
        <f>IF(E7&gt;0, ROUND(P7/E7, 0), 0)</f>
        <v/>
      </c>
    </row>
    <row r="8">
      <c r="A8" s="3" t="n">
        <v>4</v>
      </c>
      <c r="B8" s="3" t="inlineStr">
        <is>
          <t>KK2a</t>
        </is>
      </c>
      <c r="C8" s="3" t="inlineStr">
        <is>
          <t>Tốc độ gió</t>
        </is>
      </c>
      <c r="D8" s="3" t="inlineStr">
        <is>
          <t>m/s</t>
        </is>
      </c>
      <c r="E8" s="3" t="n">
        <v>10</v>
      </c>
      <c r="F8" s="3" t="n">
        <v>1</v>
      </c>
      <c r="G8" s="3">
        <f>IFERROR(XLOOKUP(B8, DM_DinhMuc_TT20!$B:$B, DM_DinhMuc_TT20!$F:$F, 0.8), 0.8)</f>
        <v/>
      </c>
      <c r="H8" s="3">
        <f>ROUND((G8 * 0.4 * 1.2) / IF(F8&gt;0, F8, 1), 4)</f>
        <v/>
      </c>
      <c r="I8" s="3">
        <f>ROUND(G8 * 0.6, 4)</f>
        <v/>
      </c>
      <c r="J8" s="3">
        <f>DM_GiaVatTu!$E$8</f>
        <v/>
      </c>
      <c r="K8" s="3">
        <f>ROUND((H8 + I8) * J8 * E8, 0)</f>
        <v/>
      </c>
      <c r="L8" s="3">
        <f>ROUND(E8 * 1.08 * IFERROR(XLOOKUP(B8, DM_DinhMuc_TT20!$B:$B, DM_DinhMuc_TT20!$G:$G, 150000), 150000), 0)</f>
        <v/>
      </c>
      <c r="M8" s="3">
        <f>ROUND(E8 * 1.10 * IFERROR(XLOOKUP(B8, DM_DinhMuc_TT20!$B:$B, DM_DinhMuc_TT20!$H:$H, 25000), 25000), 0)</f>
        <v/>
      </c>
      <c r="N8" s="3">
        <f>ROUND(E8 * IFERROR(XLOOKUP(B8, DM_DinhMuc_TT20!$B:$B, DM_DinhMuc_TT20!$I:$I, 80000), 80000), 0)</f>
        <v/>
      </c>
      <c r="O8" s="3" t="n">
        <v>0</v>
      </c>
      <c r="P8" s="3">
        <f>K8+L8+M8+N8+O8</f>
        <v/>
      </c>
      <c r="Q8" s="3">
        <f>IF(E8&gt;0, ROUND(P8/E8, 0), 0)</f>
        <v/>
      </c>
    </row>
    <row r="9">
      <c r="A9" s="2" t="n">
        <v>5</v>
      </c>
      <c r="B9" s="2" t="inlineStr">
        <is>
          <t>TO1a</t>
        </is>
      </c>
      <c r="C9" s="2" t="inlineStr">
        <is>
          <t>Tiếng ồn</t>
        </is>
      </c>
      <c r="D9" s="2" t="inlineStr">
        <is>
          <t>dBA</t>
        </is>
      </c>
      <c r="E9" s="2" t="n">
        <v>10</v>
      </c>
      <c r="F9" s="2" t="n">
        <v>1</v>
      </c>
      <c r="G9" s="2">
        <f>IFERROR(XLOOKUP(B9, DM_DinhMuc_TT20!$B:$B, DM_DinhMuc_TT20!$F:$F, 0.8), 0.8)</f>
        <v/>
      </c>
      <c r="H9" s="2">
        <f>ROUND((G9 * 0.4 * 1.2) / IF(F9&gt;0, F9, 1), 4)</f>
        <v/>
      </c>
      <c r="I9" s="2">
        <f>ROUND(G9 * 0.6, 4)</f>
        <v/>
      </c>
      <c r="J9" s="2">
        <f>DM_GiaVatTu!$E$8</f>
        <v/>
      </c>
      <c r="K9" s="2">
        <f>ROUND((H9 + I9) * J9 * E9, 0)</f>
        <v/>
      </c>
      <c r="L9" s="2">
        <f>ROUND(E9 * 1.08 * IFERROR(XLOOKUP(B9, DM_DinhMuc_TT20!$B:$B, DM_DinhMuc_TT20!$G:$G, 150000), 150000), 0)</f>
        <v/>
      </c>
      <c r="M9" s="2">
        <f>ROUND(E9 * 1.10 * IFERROR(XLOOKUP(B9, DM_DinhMuc_TT20!$B:$B, DM_DinhMuc_TT20!$H:$H, 25000), 25000), 0)</f>
        <v/>
      </c>
      <c r="N9" s="2">
        <f>ROUND(E9 * IFERROR(XLOOKUP(B9, DM_DinhMuc_TT20!$B:$B, DM_DinhMuc_TT20!$I:$I, 80000), 80000), 0)</f>
        <v/>
      </c>
      <c r="O9" s="2" t="n">
        <v>0</v>
      </c>
      <c r="P9" s="2">
        <f>K9+L9+M9+N9+O9</f>
        <v/>
      </c>
      <c r="Q9" s="2">
        <f>IF(E9&gt;0, ROUND(P9/E9, 0), 0)</f>
        <v/>
      </c>
    </row>
    <row r="10">
      <c r="A10" s="3" t="n">
        <v>6</v>
      </c>
      <c r="B10" s="3" t="inlineStr">
        <is>
          <t>ĐR01</t>
        </is>
      </c>
      <c r="C10" s="3" t="inlineStr">
        <is>
          <t>Độ rung</t>
        </is>
      </c>
      <c r="D10" s="3" t="inlineStr">
        <is>
          <t>dB</t>
        </is>
      </c>
      <c r="E10" s="3" t="n">
        <v>10</v>
      </c>
      <c r="F10" s="3" t="n">
        <v>1</v>
      </c>
      <c r="G10" s="3">
        <f>IFERROR(XLOOKUP(B10, DM_DinhMuc_TT20!$B:$B, DM_DinhMuc_TT20!$F:$F, 0.8), 0.8)</f>
        <v/>
      </c>
      <c r="H10" s="3">
        <f>ROUND((G10 * 0.4 * 1.2) / IF(F10&gt;0, F10, 1), 4)</f>
        <v/>
      </c>
      <c r="I10" s="3">
        <f>ROUND(G10 * 0.6, 4)</f>
        <v/>
      </c>
      <c r="J10" s="3">
        <f>DM_GiaVatTu!$E$8</f>
        <v/>
      </c>
      <c r="K10" s="3">
        <f>ROUND((H10 + I10) * J10 * E10, 0)</f>
        <v/>
      </c>
      <c r="L10" s="3">
        <f>ROUND(E10 * 1.08 * IFERROR(XLOOKUP(B10, DM_DinhMuc_TT20!$B:$B, DM_DinhMuc_TT20!$G:$G, 150000), 150000), 0)</f>
        <v/>
      </c>
      <c r="M10" s="3">
        <f>ROUND(E10 * 1.10 * IFERROR(XLOOKUP(B10, DM_DinhMuc_TT20!$B:$B, DM_DinhMuc_TT20!$H:$H, 25000), 25000), 0)</f>
        <v/>
      </c>
      <c r="N10" s="3">
        <f>ROUND(E10 * IFERROR(XLOOKUP(B10, DM_DinhMuc_TT20!$B:$B, DM_DinhMuc_TT20!$I:$I, 80000), 80000), 0)</f>
        <v/>
      </c>
      <c r="O10" s="3" t="n">
        <v>0</v>
      </c>
      <c r="P10" s="3">
        <f>K10+L10+M10+N10+O10</f>
        <v/>
      </c>
      <c r="Q10" s="3">
        <f>IF(E10&gt;0, ROUND(P10/E10, 0), 0)</f>
        <v/>
      </c>
    </row>
    <row r="11">
      <c r="A11" s="2" t="n">
        <v>7</v>
      </c>
      <c r="B11" s="2" t="inlineStr">
        <is>
          <t>KK4a</t>
        </is>
      </c>
      <c r="C11" s="2" t="inlineStr">
        <is>
          <t>Tổng bụi lơ lửng</t>
        </is>
      </c>
      <c r="D11" s="2" t="inlineStr">
        <is>
          <t>µg/Nm3</t>
        </is>
      </c>
      <c r="E11" s="2" t="n">
        <v>10</v>
      </c>
      <c r="F11" s="2" t="n">
        <v>1</v>
      </c>
      <c r="G11" s="2">
        <f>IFERROR(XLOOKUP(B11, DM_DinhMuc_TT20!$B:$B, DM_DinhMuc_TT20!$F:$F, 0.8), 0.8)</f>
        <v/>
      </c>
      <c r="H11" s="2">
        <f>ROUND((G11 * 0.4 * 1.2) / IF(F11&gt;0, F11, 1), 4)</f>
        <v/>
      </c>
      <c r="I11" s="2">
        <f>ROUND(G11 * 0.6, 4)</f>
        <v/>
      </c>
      <c r="J11" s="2">
        <f>DM_GiaVatTu!$E$8</f>
        <v/>
      </c>
      <c r="K11" s="2">
        <f>ROUND((H11 + I11) * J11 * E11, 0)</f>
        <v/>
      </c>
      <c r="L11" s="2">
        <f>ROUND(E11 * 1.08 * IFERROR(XLOOKUP(B11, DM_DinhMuc_TT20!$B:$B, DM_DinhMuc_TT20!$G:$G, 150000), 150000), 0)</f>
        <v/>
      </c>
      <c r="M11" s="2">
        <f>ROUND(E11 * 1.10 * IFERROR(XLOOKUP(B11, DM_DinhMuc_TT20!$B:$B, DM_DinhMuc_TT20!$H:$H, 25000), 25000), 0)</f>
        <v/>
      </c>
      <c r="N11" s="2">
        <f>ROUND(E11 * IFERROR(XLOOKUP(B11, DM_DinhMuc_TT20!$B:$B, DM_DinhMuc_TT20!$I:$I, 80000), 80000), 0)</f>
        <v/>
      </c>
      <c r="O11" s="2" t="n">
        <v>0</v>
      </c>
      <c r="P11" s="2">
        <f>K11+L11+M11+N11+O11</f>
        <v/>
      </c>
      <c r="Q11" s="2">
        <f>IF(E11&gt;0, ROUND(P11/E11, 0), 0)</f>
        <v/>
      </c>
    </row>
    <row r="12">
      <c r="A12" s="3" t="n">
        <v>8</v>
      </c>
      <c r="B12" s="3" t="inlineStr">
        <is>
          <t>KK4c</t>
        </is>
      </c>
      <c r="C12" s="3" t="inlineStr">
        <is>
          <t>Bụi PM10</t>
        </is>
      </c>
      <c r="D12" s="3" t="inlineStr">
        <is>
          <t>µg/Nm3</t>
        </is>
      </c>
      <c r="E12" s="3" t="n">
        <v>10</v>
      </c>
      <c r="F12" s="3" t="n">
        <v>1</v>
      </c>
      <c r="G12" s="3">
        <f>IFERROR(XLOOKUP(B12, DM_DinhMuc_TT20!$B:$B, DM_DinhMuc_TT20!$F:$F, 0.8), 0.8)</f>
        <v/>
      </c>
      <c r="H12" s="3">
        <f>ROUND((G12 * 0.4 * 1.2) / IF(F12&gt;0, F12, 1), 4)</f>
        <v/>
      </c>
      <c r="I12" s="3">
        <f>ROUND(G12 * 0.6, 4)</f>
        <v/>
      </c>
      <c r="J12" s="3">
        <f>DM_GiaVatTu!$E$8</f>
        <v/>
      </c>
      <c r="K12" s="3">
        <f>ROUND((H12 + I12) * J12 * E12, 0)</f>
        <v/>
      </c>
      <c r="L12" s="3">
        <f>ROUND(E12 * 1.08 * IFERROR(XLOOKUP(B12, DM_DinhMuc_TT20!$B:$B, DM_DinhMuc_TT20!$G:$G, 150000), 150000), 0)</f>
        <v/>
      </c>
      <c r="M12" s="3">
        <f>ROUND(E12 * 1.10 * IFERROR(XLOOKUP(B12, DM_DinhMuc_TT20!$B:$B, DM_DinhMuc_TT20!$H:$H, 25000), 25000), 0)</f>
        <v/>
      </c>
      <c r="N12" s="3">
        <f>ROUND(E12 * IFERROR(XLOOKUP(B12, DM_DinhMuc_TT20!$B:$B, DM_DinhMuc_TT20!$I:$I, 80000), 80000), 0)</f>
        <v/>
      </c>
      <c r="O12" s="3" t="n">
        <v>0</v>
      </c>
      <c r="P12" s="3">
        <f>K12+L12+M12+N12+O12</f>
        <v/>
      </c>
      <c r="Q12" s="3">
        <f>IF(E12&gt;0, ROUND(P12/E12, 0), 0)</f>
        <v/>
      </c>
    </row>
    <row r="13">
      <c r="A13" s="2" t="n">
        <v>9</v>
      </c>
      <c r="B13" s="2" t="inlineStr">
        <is>
          <t>KK7</t>
        </is>
      </c>
      <c r="C13" s="2" t="inlineStr">
        <is>
          <t>SO 2</t>
        </is>
      </c>
      <c r="D13" s="2" t="inlineStr">
        <is>
          <t>µg/Nm3</t>
        </is>
      </c>
      <c r="E13" s="2" t="n">
        <v>10</v>
      </c>
      <c r="F13" s="2" t="n">
        <v>1</v>
      </c>
      <c r="G13" s="2">
        <f>IFERROR(XLOOKUP(B13, DM_DinhMuc_TT20!$B:$B, DM_DinhMuc_TT20!$F:$F, 0.8), 0.8)</f>
        <v/>
      </c>
      <c r="H13" s="2">
        <f>ROUND((G13 * 0.4 * 1.2) / IF(F13&gt;0, F13, 1), 4)</f>
        <v/>
      </c>
      <c r="I13" s="2">
        <f>ROUND(G13 * 0.6, 4)</f>
        <v/>
      </c>
      <c r="J13" s="2">
        <f>DM_GiaVatTu!$E$8</f>
        <v/>
      </c>
      <c r="K13" s="2">
        <f>ROUND((H13 + I13) * J13 * E13, 0)</f>
        <v/>
      </c>
      <c r="L13" s="2">
        <f>ROUND(E13 * 1.08 * IFERROR(XLOOKUP(B13, DM_DinhMuc_TT20!$B:$B, DM_DinhMuc_TT20!$G:$G, 150000), 150000), 0)</f>
        <v/>
      </c>
      <c r="M13" s="2">
        <f>ROUND(E13 * 1.10 * IFERROR(XLOOKUP(B13, DM_DinhMuc_TT20!$B:$B, DM_DinhMuc_TT20!$H:$H, 25000), 25000), 0)</f>
        <v/>
      </c>
      <c r="N13" s="2">
        <f>ROUND(E13 * IFERROR(XLOOKUP(B13, DM_DinhMuc_TT20!$B:$B, DM_DinhMuc_TT20!$I:$I, 80000), 80000), 0)</f>
        <v/>
      </c>
      <c r="O13" s="2" t="n">
        <v>0</v>
      </c>
      <c r="P13" s="2">
        <f>K13+L13+M13+N13+O13</f>
        <v/>
      </c>
      <c r="Q13" s="2">
        <f>IF(E13&gt;0, ROUND(P13/E13, 0), 0)</f>
        <v/>
      </c>
    </row>
    <row r="14">
      <c r="A14" s="3" t="n">
        <v>10</v>
      </c>
      <c r="B14" s="3" t="inlineStr">
        <is>
          <t>KK6</t>
        </is>
      </c>
      <c r="C14" s="3" t="inlineStr">
        <is>
          <t>NO 2</t>
        </is>
      </c>
      <c r="D14" s="3" t="inlineStr">
        <is>
          <t>µg/Nm3</t>
        </is>
      </c>
      <c r="E14" s="3" t="n">
        <v>10</v>
      </c>
      <c r="F14" s="3" t="n">
        <v>1</v>
      </c>
      <c r="G14" s="3">
        <f>IFERROR(XLOOKUP(B14, DM_DinhMuc_TT20!$B:$B, DM_DinhMuc_TT20!$F:$F, 0.8), 0.8)</f>
        <v/>
      </c>
      <c r="H14" s="3">
        <f>ROUND((G14 * 0.4 * 1.2) / IF(F14&gt;0, F14, 1), 4)</f>
        <v/>
      </c>
      <c r="I14" s="3">
        <f>ROUND(G14 * 0.6, 4)</f>
        <v/>
      </c>
      <c r="J14" s="3">
        <f>DM_GiaVatTu!$E$8</f>
        <v/>
      </c>
      <c r="K14" s="3">
        <f>ROUND((H14 + I14) * J14 * E14, 0)</f>
        <v/>
      </c>
      <c r="L14" s="3">
        <f>ROUND(E14 * 1.08 * IFERROR(XLOOKUP(B14, DM_DinhMuc_TT20!$B:$B, DM_DinhMuc_TT20!$G:$G, 150000), 150000), 0)</f>
        <v/>
      </c>
      <c r="M14" s="3">
        <f>ROUND(E14 * 1.10 * IFERROR(XLOOKUP(B14, DM_DinhMuc_TT20!$B:$B, DM_DinhMuc_TT20!$H:$H, 25000), 25000), 0)</f>
        <v/>
      </c>
      <c r="N14" s="3">
        <f>ROUND(E14 * IFERROR(XLOOKUP(B14, DM_DinhMuc_TT20!$B:$B, DM_DinhMuc_TT20!$I:$I, 80000), 80000), 0)</f>
        <v/>
      </c>
      <c r="O14" s="3" t="n">
        <v>0</v>
      </c>
      <c r="P14" s="3">
        <f>K14+L14+M14+N14+O14</f>
        <v/>
      </c>
      <c r="Q14" s="3">
        <f>IF(E14&gt;0, ROUND(P14/E14, 0), 0)</f>
        <v/>
      </c>
    </row>
    <row r="15">
      <c r="A15" s="2" t="n">
        <v>11</v>
      </c>
      <c r="B15" s="2" t="inlineStr">
        <is>
          <t>KK5a</t>
        </is>
      </c>
      <c r="C15" s="2" t="inlineStr">
        <is>
          <t>CO</t>
        </is>
      </c>
      <c r="D15" s="2" t="inlineStr">
        <is>
          <t>µg/Nm3</t>
        </is>
      </c>
      <c r="E15" s="2" t="n">
        <v>10</v>
      </c>
      <c r="F15" s="2" t="n">
        <v>1</v>
      </c>
      <c r="G15" s="2">
        <f>IFERROR(XLOOKUP(B15, DM_DinhMuc_TT20!$B:$B, DM_DinhMuc_TT20!$F:$F, 0.8), 0.8)</f>
        <v/>
      </c>
      <c r="H15" s="2">
        <f>ROUND((G15 * 0.4 * 1.2) / IF(F15&gt;0, F15, 1), 4)</f>
        <v/>
      </c>
      <c r="I15" s="2">
        <f>ROUND(G15 * 0.6, 4)</f>
        <v/>
      </c>
      <c r="J15" s="2">
        <f>DM_GiaVatTu!$E$8</f>
        <v/>
      </c>
      <c r="K15" s="2">
        <f>ROUND((H15 + I15) * J15 * E15, 0)</f>
        <v/>
      </c>
      <c r="L15" s="2">
        <f>ROUND(E15 * 1.08 * IFERROR(XLOOKUP(B15, DM_DinhMuc_TT20!$B:$B, DM_DinhMuc_TT20!$G:$G, 150000), 150000), 0)</f>
        <v/>
      </c>
      <c r="M15" s="2">
        <f>ROUND(E15 * 1.10 * IFERROR(XLOOKUP(B15, DM_DinhMuc_TT20!$B:$B, DM_DinhMuc_TT20!$H:$H, 25000), 25000), 0)</f>
        <v/>
      </c>
      <c r="N15" s="2">
        <f>ROUND(E15 * IFERROR(XLOOKUP(B15, DM_DinhMuc_TT20!$B:$B, DM_DinhMuc_TT20!$I:$I, 80000), 80000), 0)</f>
        <v/>
      </c>
      <c r="O15" s="2" t="n">
        <v>0</v>
      </c>
      <c r="P15" s="2">
        <f>K15+L15+M15+N15+O15</f>
        <v/>
      </c>
      <c r="Q15" s="2">
        <f>IF(E15&gt;0, ROUND(P15/E15, 0), 0)</f>
        <v/>
      </c>
    </row>
    <row r="16">
      <c r="A16" s="3" t="n">
        <v>12</v>
      </c>
      <c r="B16" s="3" t="inlineStr">
        <is>
          <t>NT5b</t>
        </is>
      </c>
      <c r="C16" s="3" t="inlineStr">
        <is>
          <t>COD</t>
        </is>
      </c>
      <c r="D16" s="3" t="inlineStr">
        <is>
          <t>mg/l</t>
        </is>
      </c>
      <c r="E16" s="3" t="n">
        <v>4</v>
      </c>
      <c r="F16" s="3" t="n">
        <v>1</v>
      </c>
      <c r="G16" s="3">
        <f>IFERROR(XLOOKUP(B16, DM_DinhMuc_TT20!$B:$B, DM_DinhMuc_TT20!$F:$F, 0.8), 0.8)</f>
        <v/>
      </c>
      <c r="H16" s="3">
        <f>ROUND((G16 * 0.4 * 1.2) / IF(F16&gt;0, F16, 1), 4)</f>
        <v/>
      </c>
      <c r="I16" s="3">
        <f>ROUND(G16 * 0.6, 4)</f>
        <v/>
      </c>
      <c r="J16" s="3">
        <f>DM_GiaVatTu!$E$8</f>
        <v/>
      </c>
      <c r="K16" s="3">
        <f>ROUND((H16 + I16) * J16 * E16, 0)</f>
        <v/>
      </c>
      <c r="L16" s="3">
        <f>ROUND(E16 * 1.08 * IFERROR(XLOOKUP(B16, DM_DinhMuc_TT20!$B:$B, DM_DinhMuc_TT20!$G:$G, 150000), 150000), 0)</f>
        <v/>
      </c>
      <c r="M16" s="3">
        <f>ROUND(E16 * 1.10 * IFERROR(XLOOKUP(B16, DM_DinhMuc_TT20!$B:$B, DM_DinhMuc_TT20!$H:$H, 25000), 25000), 0)</f>
        <v/>
      </c>
      <c r="N16" s="3">
        <f>ROUND(E16 * IFERROR(XLOOKUP(B16, DM_DinhMuc_TT20!$B:$B, DM_DinhMuc_TT20!$I:$I, 80000), 80000), 0)</f>
        <v/>
      </c>
      <c r="O16" s="3" t="n">
        <v>0</v>
      </c>
      <c r="P16" s="3">
        <f>K16+L16+M16+N16+O16</f>
        <v/>
      </c>
      <c r="Q16" s="3">
        <f>IF(E16&gt;0, ROUND(P16/E16, 0), 0)</f>
        <v/>
      </c>
    </row>
    <row r="17">
      <c r="A17" s="2" t="n">
        <v>13</v>
      </c>
      <c r="B17" s="2" t="inlineStr">
        <is>
          <t>NT6</t>
        </is>
      </c>
      <c r="C17" s="2" t="inlineStr">
        <is>
          <t>TSS</t>
        </is>
      </c>
      <c r="D17" s="2" t="inlineStr">
        <is>
          <t>mg/l</t>
        </is>
      </c>
      <c r="E17" s="2" t="n">
        <v>4</v>
      </c>
      <c r="F17" s="2" t="n">
        <v>1</v>
      </c>
      <c r="G17" s="2">
        <f>IFERROR(XLOOKUP(B17, DM_DinhMuc_TT20!$B:$B, DM_DinhMuc_TT20!$F:$F, 0.8), 0.8)</f>
        <v/>
      </c>
      <c r="H17" s="2">
        <f>ROUND((G17 * 0.4 * 1.2) / IF(F17&gt;0, F17, 1), 4)</f>
        <v/>
      </c>
      <c r="I17" s="2">
        <f>ROUND(G17 * 0.6, 4)</f>
        <v/>
      </c>
      <c r="J17" s="2">
        <f>DM_GiaVatTu!$E$8</f>
        <v/>
      </c>
      <c r="K17" s="2">
        <f>ROUND((H17 + I17) * J17 * E17, 0)</f>
        <v/>
      </c>
      <c r="L17" s="2">
        <f>ROUND(E17 * 1.08 * IFERROR(XLOOKUP(B17, DM_DinhMuc_TT20!$B:$B, DM_DinhMuc_TT20!$G:$G, 150000), 150000), 0)</f>
        <v/>
      </c>
      <c r="M17" s="2">
        <f>ROUND(E17 * 1.10 * IFERROR(XLOOKUP(B17, DM_DinhMuc_TT20!$B:$B, DM_DinhMuc_TT20!$H:$H, 25000), 25000), 0)</f>
        <v/>
      </c>
      <c r="N17" s="2">
        <f>ROUND(E17 * IFERROR(XLOOKUP(B17, DM_DinhMuc_TT20!$B:$B, DM_DinhMuc_TT20!$I:$I, 80000), 80000), 0)</f>
        <v/>
      </c>
      <c r="O17" s="2" t="n">
        <v>0</v>
      </c>
      <c r="P17" s="2">
        <f>K17+L17+M17+N17+O17</f>
        <v/>
      </c>
      <c r="Q17" s="2">
        <f>IF(E17&gt;0, ROUND(P17/E17, 0), 0)</f>
        <v/>
      </c>
    </row>
    <row r="18">
      <c r="A18" s="3" t="n">
        <v>14</v>
      </c>
      <c r="B18" s="3" t="inlineStr">
        <is>
          <t>NT2</t>
        </is>
      </c>
      <c r="C18" s="3" t="inlineStr">
        <is>
          <t>Photphat (PO 3- 4 tính theo Nitơ)</t>
        </is>
      </c>
      <c r="D18" s="3" t="inlineStr">
        <is>
          <t>mg/l</t>
        </is>
      </c>
      <c r="E18" s="3" t="n">
        <v>4</v>
      </c>
      <c r="F18" s="3" t="n">
        <v>1</v>
      </c>
      <c r="G18" s="3">
        <f>IFERROR(XLOOKUP(B18, DM_DinhMuc_TT20!$B:$B, DM_DinhMuc_TT20!$F:$F, 0.8), 0.8)</f>
        <v/>
      </c>
      <c r="H18" s="3">
        <f>ROUND((G18 * 0.4 * 1.2) / IF(F18&gt;0, F18, 1), 4)</f>
        <v/>
      </c>
      <c r="I18" s="3">
        <f>ROUND(G18 * 0.6, 4)</f>
        <v/>
      </c>
      <c r="J18" s="3">
        <f>DM_GiaVatTu!$E$8</f>
        <v/>
      </c>
      <c r="K18" s="3">
        <f>ROUND((H18 + I18) * J18 * E18, 0)</f>
        <v/>
      </c>
      <c r="L18" s="3">
        <f>ROUND(E18 * 1.08 * IFERROR(XLOOKUP(B18, DM_DinhMuc_TT20!$B:$B, DM_DinhMuc_TT20!$G:$G, 150000), 150000), 0)</f>
        <v/>
      </c>
      <c r="M18" s="3">
        <f>ROUND(E18 * 1.10 * IFERROR(XLOOKUP(B18, DM_DinhMuc_TT20!$B:$B, DM_DinhMuc_TT20!$H:$H, 25000), 25000), 0)</f>
        <v/>
      </c>
      <c r="N18" s="3">
        <f>ROUND(E18 * IFERROR(XLOOKUP(B18, DM_DinhMuc_TT20!$B:$B, DM_DinhMuc_TT20!$I:$I, 80000), 80000), 0)</f>
        <v/>
      </c>
      <c r="O18" s="3" t="n">
        <v>0</v>
      </c>
      <c r="P18" s="3">
        <f>K18+L18+M18+N18+O18</f>
        <v/>
      </c>
      <c r="Q18" s="3">
        <f>IF(E18&gt;0, ROUND(P18/E18, 0), 0)</f>
        <v/>
      </c>
    </row>
    <row r="19">
      <c r="A19" s="2" t="n">
        <v>15</v>
      </c>
      <c r="B19" s="2" t="inlineStr">
        <is>
          <t>NT10h</t>
        </is>
      </c>
      <c r="C19" s="2" t="inlineStr">
        <is>
          <t>Fluoride</t>
        </is>
      </c>
      <c r="D19" s="2" t="inlineStr">
        <is>
          <t>mg/l</t>
        </is>
      </c>
      <c r="E19" s="2" t="n">
        <v>4</v>
      </c>
      <c r="F19" s="2" t="n">
        <v>1</v>
      </c>
      <c r="G19" s="2">
        <f>IFERROR(XLOOKUP(B19, DM_DinhMuc_TT20!$B:$B, DM_DinhMuc_TT20!$F:$F, 0.8), 0.8)</f>
        <v/>
      </c>
      <c r="H19" s="2">
        <f>ROUND((G19 * 0.4 * 1.2) / IF(F19&gt;0, F19, 1), 4)</f>
        <v/>
      </c>
      <c r="I19" s="2">
        <f>ROUND(G19 * 0.6, 4)</f>
        <v/>
      </c>
      <c r="J19" s="2">
        <f>DM_GiaVatTu!$E$8</f>
        <v/>
      </c>
      <c r="K19" s="2">
        <f>ROUND((H19 + I19) * J19 * E19, 0)</f>
        <v/>
      </c>
      <c r="L19" s="2">
        <f>ROUND(E19 * 1.08 * IFERROR(XLOOKUP(B19, DM_DinhMuc_TT20!$B:$B, DM_DinhMuc_TT20!$G:$G, 150000), 150000), 0)</f>
        <v/>
      </c>
      <c r="M19" s="2">
        <f>ROUND(E19 * 1.10 * IFERROR(XLOOKUP(B19, DM_DinhMuc_TT20!$B:$B, DM_DinhMuc_TT20!$H:$H, 25000), 25000), 0)</f>
        <v/>
      </c>
      <c r="N19" s="2">
        <f>ROUND(E19 * IFERROR(XLOOKUP(B19, DM_DinhMuc_TT20!$B:$B, DM_DinhMuc_TT20!$I:$I, 80000), 80000), 0)</f>
        <v/>
      </c>
      <c r="O19" s="2" t="n">
        <v>0</v>
      </c>
      <c r="P19" s="2">
        <f>K19+L19+M19+N19+O19</f>
        <v/>
      </c>
      <c r="Q19" s="2">
        <f>IF(E19&gt;0, ROUND(P19/E19, 0), 0)</f>
        <v/>
      </c>
    </row>
    <row r="20">
      <c r="A20" s="3" t="n">
        <v>16</v>
      </c>
      <c r="B20" s="3" t="inlineStr">
        <is>
          <t>NT10l1</t>
        </is>
      </c>
      <c r="C20" s="3" t="inlineStr">
        <is>
          <t>Asen</t>
        </is>
      </c>
      <c r="D20" s="3" t="inlineStr">
        <is>
          <t>mg/l</t>
        </is>
      </c>
      <c r="E20" s="3" t="n">
        <v>4</v>
      </c>
      <c r="F20" s="3" t="n">
        <v>1</v>
      </c>
      <c r="G20" s="3">
        <f>IFERROR(XLOOKUP(B20, DM_DinhMuc_TT20!$B:$B, DM_DinhMuc_TT20!$F:$F, 0.8), 0.8)</f>
        <v/>
      </c>
      <c r="H20" s="3">
        <f>ROUND((G20 * 0.4 * 1.2) / IF(F20&gt;0, F20, 1), 4)</f>
        <v/>
      </c>
      <c r="I20" s="3">
        <f>ROUND(G20 * 0.6, 4)</f>
        <v/>
      </c>
      <c r="J20" s="3">
        <f>DM_GiaVatTu!$E$8</f>
        <v/>
      </c>
      <c r="K20" s="3">
        <f>ROUND((H20 + I20) * J20 * E20, 0)</f>
        <v/>
      </c>
      <c r="L20" s="3">
        <f>ROUND(E20 * 1.08 * IFERROR(XLOOKUP(B20, DM_DinhMuc_TT20!$B:$B, DM_DinhMuc_TT20!$G:$G, 150000), 150000), 0)</f>
        <v/>
      </c>
      <c r="M20" s="3">
        <f>ROUND(E20 * 1.10 * IFERROR(XLOOKUP(B20, DM_DinhMuc_TT20!$B:$B, DM_DinhMuc_TT20!$H:$H, 25000), 25000), 0)</f>
        <v/>
      </c>
      <c r="N20" s="3">
        <f>ROUND(E20 * IFERROR(XLOOKUP(B20, DM_DinhMuc_TT20!$B:$B, DM_DinhMuc_TT20!$I:$I, 80000), 80000), 0)</f>
        <v/>
      </c>
      <c r="O20" s="3" t="n">
        <v>0</v>
      </c>
      <c r="P20" s="3">
        <f>K20+L20+M20+N20+O20</f>
        <v/>
      </c>
      <c r="Q20" s="3">
        <f>IF(E20&gt;0, ROUND(P20/E20, 0), 0)</f>
        <v/>
      </c>
    </row>
    <row r="21">
      <c r="A21" s="2" t="n">
        <v>17</v>
      </c>
      <c r="B21" s="2" t="inlineStr">
        <is>
          <t>NT10l2</t>
        </is>
      </c>
      <c r="C21" s="2" t="inlineStr">
        <is>
          <t>Thủy ngân (Hg)</t>
        </is>
      </c>
      <c r="D21" s="2" t="inlineStr">
        <is>
          <t>mg/l</t>
        </is>
      </c>
      <c r="E21" s="2" t="n">
        <v>4</v>
      </c>
      <c r="F21" s="2" t="n">
        <v>1</v>
      </c>
      <c r="G21" s="2">
        <f>IFERROR(XLOOKUP(B21, DM_DinhMuc_TT20!$B:$B, DM_DinhMuc_TT20!$F:$F, 0.8), 0.8)</f>
        <v/>
      </c>
      <c r="H21" s="2">
        <f>ROUND((G21 * 0.4 * 1.2) / IF(F21&gt;0, F21, 1), 4)</f>
        <v/>
      </c>
      <c r="I21" s="2">
        <f>ROUND(G21 * 0.6, 4)</f>
        <v/>
      </c>
      <c r="J21" s="2">
        <f>DM_GiaVatTu!$E$8</f>
        <v/>
      </c>
      <c r="K21" s="2">
        <f>ROUND((H21 + I21) * J21 * E21, 0)</f>
        <v/>
      </c>
      <c r="L21" s="2">
        <f>ROUND(E21 * 1.08 * IFERROR(XLOOKUP(B21, DM_DinhMuc_TT20!$B:$B, DM_DinhMuc_TT20!$G:$G, 150000), 150000), 0)</f>
        <v/>
      </c>
      <c r="M21" s="2">
        <f>ROUND(E21 * 1.10 * IFERROR(XLOOKUP(B21, DM_DinhMuc_TT20!$B:$B, DM_DinhMuc_TT20!$H:$H, 25000), 25000), 0)</f>
        <v/>
      </c>
      <c r="N21" s="2">
        <f>ROUND(E21 * IFERROR(XLOOKUP(B21, DM_DinhMuc_TT20!$B:$B, DM_DinhMuc_TT20!$I:$I, 80000), 80000), 0)</f>
        <v/>
      </c>
      <c r="O21" s="2" t="n">
        <v>0</v>
      </c>
      <c r="P21" s="2">
        <f>K21+L21+M21+N21+O21</f>
        <v/>
      </c>
      <c r="Q21" s="2">
        <f>IF(E21&gt;0, ROUND(P21/E21, 0), 0)</f>
        <v/>
      </c>
    </row>
    <row r="22">
      <c r="A22" s="3" t="n">
        <v>18</v>
      </c>
      <c r="B22" s="3" t="inlineStr">
        <is>
          <t>NT10k1</t>
        </is>
      </c>
      <c r="C22" s="3" t="inlineStr">
        <is>
          <t>Chì</t>
        </is>
      </c>
      <c r="D22" s="3" t="inlineStr">
        <is>
          <t>mg/l</t>
        </is>
      </c>
      <c r="E22" s="3" t="n">
        <v>4</v>
      </c>
      <c r="F22" s="3" t="n">
        <v>1</v>
      </c>
      <c r="G22" s="3">
        <f>IFERROR(XLOOKUP(B22, DM_DinhMuc_TT20!$B:$B, DM_DinhMuc_TT20!$F:$F, 0.8), 0.8)</f>
        <v/>
      </c>
      <c r="H22" s="3">
        <f>ROUND((G22 * 0.4 * 1.2) / IF(F22&gt;0, F22, 1), 4)</f>
        <v/>
      </c>
      <c r="I22" s="3">
        <f>ROUND(G22 * 0.6, 4)</f>
        <v/>
      </c>
      <c r="J22" s="3">
        <f>DM_GiaVatTu!$E$8</f>
        <v/>
      </c>
      <c r="K22" s="3">
        <f>ROUND((H22 + I22) * J22 * E22, 0)</f>
        <v/>
      </c>
      <c r="L22" s="3">
        <f>ROUND(E22 * 1.08 * IFERROR(XLOOKUP(B22, DM_DinhMuc_TT20!$B:$B, DM_DinhMuc_TT20!$G:$G, 150000), 150000), 0)</f>
        <v/>
      </c>
      <c r="M22" s="3">
        <f>ROUND(E22 * 1.10 * IFERROR(XLOOKUP(B22, DM_DinhMuc_TT20!$B:$B, DM_DinhMuc_TT20!$H:$H, 25000), 25000), 0)</f>
        <v/>
      </c>
      <c r="N22" s="3">
        <f>ROUND(E22 * IFERROR(XLOOKUP(B22, DM_DinhMuc_TT20!$B:$B, DM_DinhMuc_TT20!$I:$I, 80000), 80000), 0)</f>
        <v/>
      </c>
      <c r="O22" s="3" t="n">
        <v>0</v>
      </c>
      <c r="P22" s="3">
        <f>K22+L22+M22+N22+O22</f>
        <v/>
      </c>
      <c r="Q22" s="3">
        <f>IF(E22&gt;0, ROUND(P22/E22, 0), 0)</f>
        <v/>
      </c>
    </row>
    <row r="23">
      <c r="A23" s="2" t="n">
        <v>19</v>
      </c>
      <c r="B23" s="2" t="inlineStr">
        <is>
          <t>NT10k2</t>
        </is>
      </c>
      <c r="C23" s="2" t="inlineStr">
        <is>
          <t>Cadimi</t>
        </is>
      </c>
      <c r="D23" s="2" t="inlineStr">
        <is>
          <t>mg/l</t>
        </is>
      </c>
      <c r="E23" s="2" t="n">
        <v>4</v>
      </c>
      <c r="F23" s="2" t="n">
        <v>1</v>
      </c>
      <c r="G23" s="2">
        <f>IFERROR(XLOOKUP(B23, DM_DinhMuc_TT20!$B:$B, DM_DinhMuc_TT20!$F:$F, 0.8), 0.8)</f>
        <v/>
      </c>
      <c r="H23" s="2">
        <f>ROUND((G23 * 0.4 * 1.2) / IF(F23&gt;0, F23, 1), 4)</f>
        <v/>
      </c>
      <c r="I23" s="2">
        <f>ROUND(G23 * 0.6, 4)</f>
        <v/>
      </c>
      <c r="J23" s="2">
        <f>DM_GiaVatTu!$E$8</f>
        <v/>
      </c>
      <c r="K23" s="2">
        <f>ROUND((H23 + I23) * J23 * E23, 0)</f>
        <v/>
      </c>
      <c r="L23" s="2">
        <f>ROUND(E23 * 1.08 * IFERROR(XLOOKUP(B23, DM_DinhMuc_TT20!$B:$B, DM_DinhMuc_TT20!$G:$G, 150000), 150000), 0)</f>
        <v/>
      </c>
      <c r="M23" s="2">
        <f>ROUND(E23 * 1.10 * IFERROR(XLOOKUP(B23, DM_DinhMuc_TT20!$B:$B, DM_DinhMuc_TT20!$H:$H, 25000), 25000), 0)</f>
        <v/>
      </c>
      <c r="N23" s="2">
        <f>ROUND(E23 * IFERROR(XLOOKUP(B23, DM_DinhMuc_TT20!$B:$B, DM_DinhMuc_TT20!$I:$I, 80000), 80000), 0)</f>
        <v/>
      </c>
      <c r="O23" s="2" t="n">
        <v>0</v>
      </c>
      <c r="P23" s="2">
        <f>K23+L23+M23+N23+O23</f>
        <v/>
      </c>
      <c r="Q23" s="2">
        <f>IF(E23&gt;0, ROUND(P23/E23, 0), 0)</f>
        <v/>
      </c>
    </row>
    <row r="24">
      <c r="A24" s="3" t="n">
        <v>20</v>
      </c>
      <c r="B24" s="3" t="inlineStr">
        <is>
          <t>NT10đ</t>
        </is>
      </c>
      <c r="C24" s="3" t="inlineStr">
        <is>
          <t>Crom (VI)</t>
        </is>
      </c>
      <c r="D24" s="3" t="inlineStr">
        <is>
          <t>mg/l</t>
        </is>
      </c>
      <c r="E24" s="3" t="n">
        <v>4</v>
      </c>
      <c r="F24" s="3" t="n">
        <v>1</v>
      </c>
      <c r="G24" s="3">
        <f>IFERROR(XLOOKUP(B24, DM_DinhMuc_TT20!$B:$B, DM_DinhMuc_TT20!$F:$F, 0.8), 0.8)</f>
        <v/>
      </c>
      <c r="H24" s="3">
        <f>ROUND((G24 * 0.4 * 1.2) / IF(F24&gt;0, F24, 1), 4)</f>
        <v/>
      </c>
      <c r="I24" s="3">
        <f>ROUND(G24 * 0.6, 4)</f>
        <v/>
      </c>
      <c r="J24" s="3">
        <f>DM_GiaVatTu!$E$8</f>
        <v/>
      </c>
      <c r="K24" s="3">
        <f>ROUND((H24 + I24) * J24 * E24, 0)</f>
        <v/>
      </c>
      <c r="L24" s="3">
        <f>ROUND(E24 * 1.08 * IFERROR(XLOOKUP(B24, DM_DinhMuc_TT20!$B:$B, DM_DinhMuc_TT20!$G:$G, 150000), 150000), 0)</f>
        <v/>
      </c>
      <c r="M24" s="3">
        <f>ROUND(E24 * 1.10 * IFERROR(XLOOKUP(B24, DM_DinhMuc_TT20!$B:$B, DM_DinhMuc_TT20!$H:$H, 25000), 25000), 0)</f>
        <v/>
      </c>
      <c r="N24" s="3">
        <f>ROUND(E24 * IFERROR(XLOOKUP(B24, DM_DinhMuc_TT20!$B:$B, DM_DinhMuc_TT20!$I:$I, 80000), 80000), 0)</f>
        <v/>
      </c>
      <c r="O24" s="3" t="n">
        <v>0</v>
      </c>
      <c r="P24" s="3">
        <f>K24+L24+M24+N24+O24</f>
        <v/>
      </c>
      <c r="Q24" s="3">
        <f>IF(E24&gt;0, ROUND(P24/E24, 0), 0)</f>
        <v/>
      </c>
    </row>
    <row r="25">
      <c r="A25" s="2" t="n">
        <v>21</v>
      </c>
      <c r="B25" s="2" t="inlineStr">
        <is>
          <t>NT10m5</t>
        </is>
      </c>
      <c r="C25" s="2" t="inlineStr">
        <is>
          <t>Tổng Crom</t>
        </is>
      </c>
      <c r="D25" s="2" t="inlineStr">
        <is>
          <t>mg/l</t>
        </is>
      </c>
      <c r="E25" s="2" t="n">
        <v>4</v>
      </c>
      <c r="F25" s="2" t="n">
        <v>1</v>
      </c>
      <c r="G25" s="2">
        <f>IFERROR(XLOOKUP(B25, DM_DinhMuc_TT20!$B:$B, DM_DinhMuc_TT20!$F:$F, 0.8), 0.8)</f>
        <v/>
      </c>
      <c r="H25" s="2">
        <f>ROUND((G25 * 0.4 * 1.2) / IF(F25&gt;0, F25, 1), 4)</f>
        <v/>
      </c>
      <c r="I25" s="2">
        <f>ROUND(G25 * 0.6, 4)</f>
        <v/>
      </c>
      <c r="J25" s="2">
        <f>DM_GiaVatTu!$E$8</f>
        <v/>
      </c>
      <c r="K25" s="2">
        <f>ROUND((H25 + I25) * J25 * E25, 0)</f>
        <v/>
      </c>
      <c r="L25" s="2">
        <f>ROUND(E25 * 1.08 * IFERROR(XLOOKUP(B25, DM_DinhMuc_TT20!$B:$B, DM_DinhMuc_TT20!$G:$G, 150000), 150000), 0)</f>
        <v/>
      </c>
      <c r="M25" s="2">
        <f>ROUND(E25 * 1.10 * IFERROR(XLOOKUP(B25, DM_DinhMuc_TT20!$B:$B, DM_DinhMuc_TT20!$H:$H, 25000), 25000), 0)</f>
        <v/>
      </c>
      <c r="N25" s="2">
        <f>ROUND(E25 * IFERROR(XLOOKUP(B25, DM_DinhMuc_TT20!$B:$B, DM_DinhMuc_TT20!$I:$I, 80000), 80000), 0)</f>
        <v/>
      </c>
      <c r="O25" s="2" t="n">
        <v>0</v>
      </c>
      <c r="P25" s="2">
        <f>K25+L25+M25+N25+O25</f>
        <v/>
      </c>
      <c r="Q25" s="2">
        <f>IF(E25&gt;0, ROUND(P25/E25, 0), 0)</f>
        <v/>
      </c>
    </row>
    <row r="26">
      <c r="A26" s="3" t="n">
        <v>22</v>
      </c>
      <c r="B26" s="3" t="inlineStr">
        <is>
          <t>NT10m1</t>
        </is>
      </c>
      <c r="C26" s="3" t="inlineStr">
        <is>
          <t>Đồng</t>
        </is>
      </c>
      <c r="D26" s="3" t="inlineStr">
        <is>
          <t>mg/l</t>
        </is>
      </c>
      <c r="E26" s="3" t="n">
        <v>4</v>
      </c>
      <c r="F26" s="3" t="n">
        <v>1</v>
      </c>
      <c r="G26" s="3">
        <f>IFERROR(XLOOKUP(B26, DM_DinhMuc_TT20!$B:$B, DM_DinhMuc_TT20!$F:$F, 0.8), 0.8)</f>
        <v/>
      </c>
      <c r="H26" s="3">
        <f>ROUND((G26 * 0.4 * 1.2) / IF(F26&gt;0, F26, 1), 4)</f>
        <v/>
      </c>
      <c r="I26" s="3">
        <f>ROUND(G26 * 0.6, 4)</f>
        <v/>
      </c>
      <c r="J26" s="3">
        <f>DM_GiaVatTu!$E$8</f>
        <v/>
      </c>
      <c r="K26" s="3">
        <f>ROUND((H26 + I26) * J26 * E26, 0)</f>
        <v/>
      </c>
      <c r="L26" s="3">
        <f>ROUND(E26 * 1.08 * IFERROR(XLOOKUP(B26, DM_DinhMuc_TT20!$B:$B, DM_DinhMuc_TT20!$G:$G, 150000), 150000), 0)</f>
        <v/>
      </c>
      <c r="M26" s="3">
        <f>ROUND(E26 * 1.10 * IFERROR(XLOOKUP(B26, DM_DinhMuc_TT20!$B:$B, DM_DinhMuc_TT20!$H:$H, 25000), 25000), 0)</f>
        <v/>
      </c>
      <c r="N26" s="3">
        <f>ROUND(E26 * IFERROR(XLOOKUP(B26, DM_DinhMuc_TT20!$B:$B, DM_DinhMuc_TT20!$I:$I, 80000), 80000), 0)</f>
        <v/>
      </c>
      <c r="O26" s="3" t="n">
        <v>0</v>
      </c>
      <c r="P26" s="3">
        <f>K26+L26+M26+N26+O26</f>
        <v/>
      </c>
      <c r="Q26" s="3">
        <f>IF(E26&gt;0, ROUND(P26/E26, 0), 0)</f>
        <v/>
      </c>
    </row>
    <row r="27">
      <c r="A27" s="2" t="n">
        <v>23</v>
      </c>
      <c r="B27" s="2" t="inlineStr">
        <is>
          <t>NT10m2</t>
        </is>
      </c>
      <c r="C27" s="2" t="inlineStr">
        <is>
          <t>Kẽm</t>
        </is>
      </c>
      <c r="D27" s="2" t="inlineStr">
        <is>
          <t>mg/l</t>
        </is>
      </c>
      <c r="E27" s="2" t="n">
        <v>4</v>
      </c>
      <c r="F27" s="2" t="n">
        <v>1</v>
      </c>
      <c r="G27" s="2">
        <f>IFERROR(XLOOKUP(B27, DM_DinhMuc_TT20!$B:$B, DM_DinhMuc_TT20!$F:$F, 0.8), 0.8)</f>
        <v/>
      </c>
      <c r="H27" s="2">
        <f>ROUND((G27 * 0.4 * 1.2) / IF(F27&gt;0, F27, 1), 4)</f>
        <v/>
      </c>
      <c r="I27" s="2">
        <f>ROUND(G27 * 0.6, 4)</f>
        <v/>
      </c>
      <c r="J27" s="2">
        <f>DM_GiaVatTu!$E$8</f>
        <v/>
      </c>
      <c r="K27" s="2">
        <f>ROUND((H27 + I27) * J27 * E27, 0)</f>
        <v/>
      </c>
      <c r="L27" s="2">
        <f>ROUND(E27 * 1.08 * IFERROR(XLOOKUP(B27, DM_DinhMuc_TT20!$B:$B, DM_DinhMuc_TT20!$G:$G, 150000), 150000), 0)</f>
        <v/>
      </c>
      <c r="M27" s="2">
        <f>ROUND(E27 * 1.10 * IFERROR(XLOOKUP(B27, DM_DinhMuc_TT20!$B:$B, DM_DinhMuc_TT20!$H:$H, 25000), 25000), 0)</f>
        <v/>
      </c>
      <c r="N27" s="2">
        <f>ROUND(E27 * IFERROR(XLOOKUP(B27, DM_DinhMuc_TT20!$B:$B, DM_DinhMuc_TT20!$I:$I, 80000), 80000), 0)</f>
        <v/>
      </c>
      <c r="O27" s="2" t="n">
        <v>0</v>
      </c>
      <c r="P27" s="2">
        <f>K27+L27+M27+N27+O27</f>
        <v/>
      </c>
      <c r="Q27" s="2">
        <f>IF(E27&gt;0, ROUND(P27/E27, 0), 0)</f>
        <v/>
      </c>
    </row>
    <row r="28">
      <c r="A28" s="3" t="n">
        <v>24</v>
      </c>
      <c r="B28" s="3" t="inlineStr">
        <is>
          <t>NT10m3</t>
        </is>
      </c>
      <c r="C28" s="3" t="inlineStr">
        <is>
          <t>Mangan</t>
        </is>
      </c>
      <c r="D28" s="3" t="inlineStr">
        <is>
          <t>mg/l</t>
        </is>
      </c>
      <c r="E28" s="3" t="n">
        <v>4</v>
      </c>
      <c r="F28" s="3" t="n">
        <v>1</v>
      </c>
      <c r="G28" s="3">
        <f>IFERROR(XLOOKUP(B28, DM_DinhMuc_TT20!$B:$B, DM_DinhMuc_TT20!$F:$F, 0.8), 0.8)</f>
        <v/>
      </c>
      <c r="H28" s="3">
        <f>ROUND((G28 * 0.4 * 1.2) / IF(F28&gt;0, F28, 1), 4)</f>
        <v/>
      </c>
      <c r="I28" s="3">
        <f>ROUND(G28 * 0.6, 4)</f>
        <v/>
      </c>
      <c r="J28" s="3">
        <f>DM_GiaVatTu!$E$8</f>
        <v/>
      </c>
      <c r="K28" s="3">
        <f>ROUND((H28 + I28) * J28 * E28, 0)</f>
        <v/>
      </c>
      <c r="L28" s="3">
        <f>ROUND(E28 * 1.08 * IFERROR(XLOOKUP(B28, DM_DinhMuc_TT20!$B:$B, DM_DinhMuc_TT20!$G:$G, 150000), 150000), 0)</f>
        <v/>
      </c>
      <c r="M28" s="3">
        <f>ROUND(E28 * 1.10 * IFERROR(XLOOKUP(B28, DM_DinhMuc_TT20!$B:$B, DM_DinhMuc_TT20!$H:$H, 25000), 25000), 0)</f>
        <v/>
      </c>
      <c r="N28" s="3">
        <f>ROUND(E28 * IFERROR(XLOOKUP(B28, DM_DinhMuc_TT20!$B:$B, DM_DinhMuc_TT20!$I:$I, 80000), 80000), 0)</f>
        <v/>
      </c>
      <c r="O28" s="3" t="n">
        <v>0</v>
      </c>
      <c r="P28" s="3">
        <f>K28+L28+M28+N28+O28</f>
        <v/>
      </c>
      <c r="Q28" s="3">
        <f>IF(E28&gt;0, ROUND(P28/E28, 0), 0)</f>
        <v/>
      </c>
    </row>
    <row r="29">
      <c r="A29" s="2" t="n">
        <v>25</v>
      </c>
      <c r="B29" s="2" t="inlineStr">
        <is>
          <t>NT10m4</t>
        </is>
      </c>
      <c r="C29" s="2" t="inlineStr">
        <is>
          <t>Sắt</t>
        </is>
      </c>
      <c r="D29" s="2" t="inlineStr">
        <is>
          <t>mg/l</t>
        </is>
      </c>
      <c r="E29" s="2" t="n">
        <v>4</v>
      </c>
      <c r="F29" s="2" t="n">
        <v>1</v>
      </c>
      <c r="G29" s="2">
        <f>IFERROR(XLOOKUP(B29, DM_DinhMuc_TT20!$B:$B, DM_DinhMuc_TT20!$F:$F, 0.8), 0.8)</f>
        <v/>
      </c>
      <c r="H29" s="2">
        <f>ROUND((G29 * 0.4 * 1.2) / IF(F29&gt;0, F29, 1), 4)</f>
        <v/>
      </c>
      <c r="I29" s="2">
        <f>ROUND(G29 * 0.6, 4)</f>
        <v/>
      </c>
      <c r="J29" s="2">
        <f>DM_GiaVatTu!$E$8</f>
        <v/>
      </c>
      <c r="K29" s="2">
        <f>ROUND((H29 + I29) * J29 * E29, 0)</f>
        <v/>
      </c>
      <c r="L29" s="2">
        <f>ROUND(E29 * 1.08 * IFERROR(XLOOKUP(B29, DM_DinhMuc_TT20!$B:$B, DM_DinhMuc_TT20!$G:$G, 150000), 150000), 0)</f>
        <v/>
      </c>
      <c r="M29" s="2">
        <f>ROUND(E29 * 1.10 * IFERROR(XLOOKUP(B29, DM_DinhMuc_TT20!$B:$B, DM_DinhMuc_TT20!$H:$H, 25000), 25000), 0)</f>
        <v/>
      </c>
      <c r="N29" s="2">
        <f>ROUND(E29 * IFERROR(XLOOKUP(B29, DM_DinhMuc_TT20!$B:$B, DM_DinhMuc_TT20!$I:$I, 80000), 80000), 0)</f>
        <v/>
      </c>
      <c r="O29" s="2" t="n">
        <v>0</v>
      </c>
      <c r="P29" s="2">
        <f>K29+L29+M29+N29+O29</f>
        <v/>
      </c>
      <c r="Q29" s="2">
        <f>IF(E29&gt;0, ROUND(P29/E29, 0), 0)</f>
        <v/>
      </c>
    </row>
    <row r="30">
      <c r="A30" s="3" t="n">
        <v>26</v>
      </c>
      <c r="B30" s="3" t="inlineStr">
        <is>
          <t>NT9</t>
        </is>
      </c>
      <c r="C30" s="3" t="inlineStr">
        <is>
          <t>Xyanua</t>
        </is>
      </c>
      <c r="D30" s="3" t="inlineStr">
        <is>
          <t>mg/l</t>
        </is>
      </c>
      <c r="E30" s="3" t="n">
        <v>4</v>
      </c>
      <c r="F30" s="3" t="n">
        <v>1</v>
      </c>
      <c r="G30" s="3">
        <f>IFERROR(XLOOKUP(B30, DM_DinhMuc_TT20!$B:$B, DM_DinhMuc_TT20!$F:$F, 0.8), 0.8)</f>
        <v/>
      </c>
      <c r="H30" s="3">
        <f>ROUND((G30 * 0.4 * 1.2) / IF(F30&gt;0, F30, 1), 4)</f>
        <v/>
      </c>
      <c r="I30" s="3">
        <f>ROUND(G30 * 0.6, 4)</f>
        <v/>
      </c>
      <c r="J30" s="3">
        <f>DM_GiaVatTu!$E$8</f>
        <v/>
      </c>
      <c r="K30" s="3">
        <f>ROUND((H30 + I30) * J30 * E30, 0)</f>
        <v/>
      </c>
      <c r="L30" s="3">
        <f>ROUND(E30 * 1.08 * IFERROR(XLOOKUP(B30, DM_DinhMuc_TT20!$B:$B, DM_DinhMuc_TT20!$G:$G, 150000), 150000), 0)</f>
        <v/>
      </c>
      <c r="M30" s="3">
        <f>ROUND(E30 * 1.10 * IFERROR(XLOOKUP(B30, DM_DinhMuc_TT20!$B:$B, DM_DinhMuc_TT20!$H:$H, 25000), 25000), 0)</f>
        <v/>
      </c>
      <c r="N30" s="3">
        <f>ROUND(E30 * IFERROR(XLOOKUP(B30, DM_DinhMuc_TT20!$B:$B, DM_DinhMuc_TT20!$I:$I, 80000), 80000), 0)</f>
        <v/>
      </c>
      <c r="O30" s="3" t="n">
        <v>0</v>
      </c>
      <c r="P30" s="3">
        <f>K30+L30+M30+N30+O30</f>
        <v/>
      </c>
      <c r="Q30" s="3">
        <f>IF(E30&gt;0, ROUND(P30/E30, 0), 0)</f>
        <v/>
      </c>
    </row>
    <row r="31">
      <c r="A31" s="2" t="n">
        <v>27</v>
      </c>
      <c r="B31" s="2" t="inlineStr">
        <is>
          <t>NT8</t>
        </is>
      </c>
      <c r="C31" s="2" t="inlineStr">
        <is>
          <t>Dầu mỡ khoáng</t>
        </is>
      </c>
      <c r="D31" s="2" t="inlineStr">
        <is>
          <t>mg/l</t>
        </is>
      </c>
      <c r="E31" s="2" t="n">
        <v>4</v>
      </c>
      <c r="F31" s="2" t="n">
        <v>1</v>
      </c>
      <c r="G31" s="2">
        <f>IFERROR(XLOOKUP(B31, DM_DinhMuc_TT20!$B:$B, DM_DinhMuc_TT20!$F:$F, 0.8), 0.8)</f>
        <v/>
      </c>
      <c r="H31" s="2">
        <f>ROUND((G31 * 0.4 * 1.2) / IF(F31&gt;0, F31, 1), 4)</f>
        <v/>
      </c>
      <c r="I31" s="2">
        <f>ROUND(G31 * 0.6, 4)</f>
        <v/>
      </c>
      <c r="J31" s="2">
        <f>DM_GiaVatTu!$E$8</f>
        <v/>
      </c>
      <c r="K31" s="2">
        <f>ROUND((H31 + I31) * J31 * E31, 0)</f>
        <v/>
      </c>
      <c r="L31" s="2">
        <f>ROUND(E31 * 1.08 * IFERROR(XLOOKUP(B31, DM_DinhMuc_TT20!$B:$B, DM_DinhMuc_TT20!$G:$G, 150000), 150000), 0)</f>
        <v/>
      </c>
      <c r="M31" s="2">
        <f>ROUND(E31 * 1.10 * IFERROR(XLOOKUP(B31, DM_DinhMuc_TT20!$B:$B, DM_DinhMuc_TT20!$H:$H, 25000), 25000), 0)</f>
        <v/>
      </c>
      <c r="N31" s="2">
        <f>ROUND(E31 * IFERROR(XLOOKUP(B31, DM_DinhMuc_TT20!$B:$B, DM_DinhMuc_TT20!$I:$I, 80000), 80000), 0)</f>
        <v/>
      </c>
      <c r="O31" s="2" t="n">
        <v>0</v>
      </c>
      <c r="P31" s="2">
        <f>K31+L31+M31+N31+O31</f>
        <v/>
      </c>
      <c r="Q31" s="2">
        <f>IF(E31&gt;0, ROUND(P31/E31, 0), 0)</f>
        <v/>
      </c>
    </row>
    <row r="32">
      <c r="A32" s="3" t="n">
        <v>28</v>
      </c>
      <c r="B32" s="3" t="inlineStr">
        <is>
          <t>NT2</t>
        </is>
      </c>
      <c r="C32" s="3" t="inlineStr">
        <is>
          <t>Tổng phenol</t>
        </is>
      </c>
      <c r="D32" s="3" t="inlineStr">
        <is>
          <t>mg/l</t>
        </is>
      </c>
      <c r="E32" s="3" t="n">
        <v>4</v>
      </c>
      <c r="F32" s="3" t="n">
        <v>1</v>
      </c>
      <c r="G32" s="3">
        <f>IFERROR(XLOOKUP(B32, DM_DinhMuc_TT20!$B:$B, DM_DinhMuc_TT20!$F:$F, 0.8), 0.8)</f>
        <v/>
      </c>
      <c r="H32" s="3">
        <f>ROUND((G32 * 0.4 * 1.2) / IF(F32&gt;0, F32, 1), 4)</f>
        <v/>
      </c>
      <c r="I32" s="3">
        <f>ROUND(G32 * 0.6, 4)</f>
        <v/>
      </c>
      <c r="J32" s="3">
        <f>DM_GiaVatTu!$E$8</f>
        <v/>
      </c>
      <c r="K32" s="3">
        <f>ROUND((H32 + I32) * J32 * E32, 0)</f>
        <v/>
      </c>
      <c r="L32" s="3">
        <f>ROUND(E32 * 1.08 * IFERROR(XLOOKUP(B32, DM_DinhMuc_TT20!$B:$B, DM_DinhMuc_TT20!$G:$G, 150000), 150000), 0)</f>
        <v/>
      </c>
      <c r="M32" s="3">
        <f>ROUND(E32 * 1.10 * IFERROR(XLOOKUP(B32, DM_DinhMuc_TT20!$B:$B, DM_DinhMuc_TT20!$H:$H, 25000), 25000), 0)</f>
        <v/>
      </c>
      <c r="N32" s="3">
        <f>ROUND(E32 * IFERROR(XLOOKUP(B32, DM_DinhMuc_TT20!$B:$B, DM_DinhMuc_TT20!$I:$I, 80000), 80000), 0)</f>
        <v/>
      </c>
      <c r="O32" s="3" t="n">
        <v>0</v>
      </c>
      <c r="P32" s="3">
        <f>K32+L32+M32+N32+O32</f>
        <v/>
      </c>
      <c r="Q32" s="3">
        <f>IF(E32&gt;0, ROUND(P32/E32, 0), 0)</f>
        <v/>
      </c>
    </row>
    <row r="33">
      <c r="A33" s="2" t="n">
        <v>29</v>
      </c>
      <c r="B33" s="2" t="inlineStr">
        <is>
          <t>NT7a</t>
        </is>
      </c>
      <c r="C33" s="2" t="inlineStr">
        <is>
          <t>Coliform</t>
        </is>
      </c>
      <c r="D33" s="2" t="inlineStr">
        <is>
          <t>Vi khuẩn/ 100ml</t>
        </is>
      </c>
      <c r="E33" s="2" t="n">
        <v>4</v>
      </c>
      <c r="F33" s="2" t="n">
        <v>1</v>
      </c>
      <c r="G33" s="2">
        <f>IFERROR(XLOOKUP(B33, DM_DinhMuc_TT20!$B:$B, DM_DinhMuc_TT20!$F:$F, 0.8), 0.8)</f>
        <v/>
      </c>
      <c r="H33" s="2">
        <f>ROUND((G33 * 0.4 * 1.2) / IF(F33&gt;0, F33, 1), 4)</f>
        <v/>
      </c>
      <c r="I33" s="2">
        <f>ROUND(G33 * 0.6, 4)</f>
        <v/>
      </c>
      <c r="J33" s="2">
        <f>DM_GiaVatTu!$E$8</f>
        <v/>
      </c>
      <c r="K33" s="2">
        <f>ROUND((H33 + I33) * J33 * E33, 0)</f>
        <v/>
      </c>
      <c r="L33" s="2">
        <f>ROUND(E33 * 1.08 * IFERROR(XLOOKUP(B33, DM_DinhMuc_TT20!$B:$B, DM_DinhMuc_TT20!$G:$G, 150000), 150000), 0)</f>
        <v/>
      </c>
      <c r="M33" s="2">
        <f>ROUND(E33 * 1.10 * IFERROR(XLOOKUP(B33, DM_DinhMuc_TT20!$B:$B, DM_DinhMuc_TT20!$H:$H, 25000), 25000), 0)</f>
        <v/>
      </c>
      <c r="N33" s="2">
        <f>ROUND(E33 * IFERROR(XLOOKUP(B33, DM_DinhMuc_TT20!$B:$B, DM_DinhMuc_TT20!$I:$I, 80000), 80000), 0)</f>
        <v/>
      </c>
      <c r="O33" s="2" t="n">
        <v>0</v>
      </c>
      <c r="P33" s="2">
        <f>K33+L33+M33+N33+O33</f>
        <v/>
      </c>
      <c r="Q33" s="2">
        <f>IF(E33&gt;0, ROUND(P33/E33, 0), 0)</f>
        <v/>
      </c>
    </row>
    <row r="34">
      <c r="A34" s="3" t="n">
        <v>30</v>
      </c>
      <c r="B34" s="3" t="inlineStr">
        <is>
          <t>NT4b</t>
        </is>
      </c>
      <c r="C34" s="3" t="inlineStr">
        <is>
          <t>Màu</t>
        </is>
      </c>
      <c r="D34" s="3" t="inlineStr">
        <is>
          <t>mg/l</t>
        </is>
      </c>
      <c r="E34" s="3" t="n">
        <v>4</v>
      </c>
      <c r="F34" s="3" t="n">
        <v>1</v>
      </c>
      <c r="G34" s="3">
        <f>IFERROR(XLOOKUP(B34, DM_DinhMuc_TT20!$B:$B, DM_DinhMuc_TT20!$F:$F, 0.8), 0.8)</f>
        <v/>
      </c>
      <c r="H34" s="3">
        <f>ROUND((G34 * 0.4 * 1.2) / IF(F34&gt;0, F34, 1), 4)</f>
        <v/>
      </c>
      <c r="I34" s="3">
        <f>ROUND(G34 * 0.6, 4)</f>
        <v/>
      </c>
      <c r="J34" s="3">
        <f>DM_GiaVatTu!$E$8</f>
        <v/>
      </c>
      <c r="K34" s="3">
        <f>ROUND((H34 + I34) * J34 * E34, 0)</f>
        <v/>
      </c>
      <c r="L34" s="3">
        <f>ROUND(E34 * 1.08 * IFERROR(XLOOKUP(B34, DM_DinhMuc_TT20!$B:$B, DM_DinhMuc_TT20!$G:$G, 150000), 150000), 0)</f>
        <v/>
      </c>
      <c r="M34" s="3">
        <f>ROUND(E34 * 1.10 * IFERROR(XLOOKUP(B34, DM_DinhMuc_TT20!$B:$B, DM_DinhMuc_TT20!$H:$H, 25000), 25000), 0)</f>
        <v/>
      </c>
      <c r="N34" s="3">
        <f>ROUND(E34 * IFERROR(XLOOKUP(B34, DM_DinhMuc_TT20!$B:$B, DM_DinhMuc_TT20!$I:$I, 80000), 80000), 0)</f>
        <v/>
      </c>
      <c r="O34" s="3" t="n">
        <v>0</v>
      </c>
      <c r="P34" s="3">
        <f>K34+L34+M34+N34+O34</f>
        <v/>
      </c>
      <c r="Q34" s="3">
        <f>IF(E34&gt;0, ROUND(P34/E34, 0), 0)</f>
        <v/>
      </c>
    </row>
    <row r="35">
      <c r="A35" s="2" t="n">
        <v>31</v>
      </c>
      <c r="B35" s="2" t="inlineStr">
        <is>
          <t>NT5a</t>
        </is>
      </c>
      <c r="C35" s="2" t="inlineStr">
        <is>
          <t>BOD5 (20°C)</t>
        </is>
      </c>
      <c r="D35" s="2" t="inlineStr">
        <is>
          <t>mg/l</t>
        </is>
      </c>
      <c r="E35" s="2" t="n">
        <v>4</v>
      </c>
      <c r="F35" s="2" t="n">
        <v>1</v>
      </c>
      <c r="G35" s="2">
        <f>IFERROR(XLOOKUP(B35, DM_DinhMuc_TT20!$B:$B, DM_DinhMuc_TT20!$F:$F, 0.8), 0.8)</f>
        <v/>
      </c>
      <c r="H35" s="2">
        <f>ROUND((G35 * 0.4 * 1.2) / IF(F35&gt;0, F35, 1), 4)</f>
        <v/>
      </c>
      <c r="I35" s="2">
        <f>ROUND(G35 * 0.6, 4)</f>
        <v/>
      </c>
      <c r="J35" s="2">
        <f>DM_GiaVatTu!$E$8</f>
        <v/>
      </c>
      <c r="K35" s="2">
        <f>ROUND((H35 + I35) * J35 * E35, 0)</f>
        <v/>
      </c>
      <c r="L35" s="2">
        <f>ROUND(E35 * 1.08 * IFERROR(XLOOKUP(B35, DM_DinhMuc_TT20!$B:$B, DM_DinhMuc_TT20!$G:$G, 150000), 150000), 0)</f>
        <v/>
      </c>
      <c r="M35" s="2">
        <f>ROUND(E35 * 1.10 * IFERROR(XLOOKUP(B35, DM_DinhMuc_TT20!$B:$B, DM_DinhMuc_TT20!$H:$H, 25000), 25000), 0)</f>
        <v/>
      </c>
      <c r="N35" s="2">
        <f>ROUND(E35 * IFERROR(XLOOKUP(B35, DM_DinhMuc_TT20!$B:$B, DM_DinhMuc_TT20!$I:$I, 80000), 80000), 0)</f>
        <v/>
      </c>
      <c r="O35" s="2" t="n">
        <v>0</v>
      </c>
      <c r="P35" s="2">
        <f>K35+L35+M35+N35+O35</f>
        <v/>
      </c>
      <c r="Q35" s="2">
        <f>IF(E35&gt;0, ROUND(P35/E35, 0), 0)</f>
        <v/>
      </c>
    </row>
    <row r="36">
      <c r="A36" s="3" t="n">
        <v>32</v>
      </c>
      <c r="B36" s="3" t="inlineStr">
        <is>
          <t>NT10l1</t>
        </is>
      </c>
      <c r="C36" s="3" t="inlineStr">
        <is>
          <t>Asen</t>
        </is>
      </c>
      <c r="D36" s="3" t="inlineStr">
        <is>
          <t>mg/l</t>
        </is>
      </c>
      <c r="E36" s="3" t="n">
        <v>4</v>
      </c>
      <c r="F36" s="3" t="n">
        <v>1</v>
      </c>
      <c r="G36" s="3">
        <f>IFERROR(XLOOKUP(B36, DM_DinhMuc_TT20!$B:$B, DM_DinhMuc_TT20!$F:$F, 0.8), 0.8)</f>
        <v/>
      </c>
      <c r="H36" s="3">
        <f>ROUND((G36 * 0.4 * 1.2) / IF(F36&gt;0, F36, 1), 4)</f>
        <v/>
      </c>
      <c r="I36" s="3">
        <f>ROUND(G36 * 0.6, 4)</f>
        <v/>
      </c>
      <c r="J36" s="3">
        <f>DM_GiaVatTu!$E$8</f>
        <v/>
      </c>
      <c r="K36" s="3">
        <f>ROUND((H36 + I36) * J36 * E36, 0)</f>
        <v/>
      </c>
      <c r="L36" s="3">
        <f>ROUND(E36 * 1.08 * IFERROR(XLOOKUP(B36, DM_DinhMuc_TT20!$B:$B, DM_DinhMuc_TT20!$G:$G, 150000), 150000), 0)</f>
        <v/>
      </c>
      <c r="M36" s="3">
        <f>ROUND(E36 * 1.10 * IFERROR(XLOOKUP(B36, DM_DinhMuc_TT20!$B:$B, DM_DinhMuc_TT20!$H:$H, 25000), 25000), 0)</f>
        <v/>
      </c>
      <c r="N36" s="3">
        <f>ROUND(E36 * IFERROR(XLOOKUP(B36, DM_DinhMuc_TT20!$B:$B, DM_DinhMuc_TT20!$I:$I, 80000), 80000), 0)</f>
        <v/>
      </c>
      <c r="O36" s="3" t="n">
        <v>0</v>
      </c>
      <c r="P36" s="3">
        <f>K36+L36+M36+N36+O36</f>
        <v/>
      </c>
      <c r="Q36" s="3">
        <f>IF(E36&gt;0, ROUND(P36/E36, 0), 0)</f>
        <v/>
      </c>
    </row>
    <row r="37">
      <c r="A37" s="2" t="n">
        <v>33</v>
      </c>
      <c r="B37" s="2" t="inlineStr">
        <is>
          <t>NT10l2</t>
        </is>
      </c>
      <c r="C37" s="2" t="inlineStr">
        <is>
          <t>Thủy ngân</t>
        </is>
      </c>
      <c r="D37" s="2" t="inlineStr">
        <is>
          <t>mg/l</t>
        </is>
      </c>
      <c r="E37" s="2" t="n">
        <v>4</v>
      </c>
      <c r="F37" s="2" t="n">
        <v>1</v>
      </c>
      <c r="G37" s="2">
        <f>IFERROR(XLOOKUP(B37, DM_DinhMuc_TT20!$B:$B, DM_DinhMuc_TT20!$F:$F, 0.8), 0.8)</f>
        <v/>
      </c>
      <c r="H37" s="2">
        <f>ROUND((G37 * 0.4 * 1.2) / IF(F37&gt;0, F37, 1), 4)</f>
        <v/>
      </c>
      <c r="I37" s="2">
        <f>ROUND(G37 * 0.6, 4)</f>
        <v/>
      </c>
      <c r="J37" s="2">
        <f>DM_GiaVatTu!$E$8</f>
        <v/>
      </c>
      <c r="K37" s="2">
        <f>ROUND((H37 + I37) * J37 * E37, 0)</f>
        <v/>
      </c>
      <c r="L37" s="2">
        <f>ROUND(E37 * 1.08 * IFERROR(XLOOKUP(B37, DM_DinhMuc_TT20!$B:$B, DM_DinhMuc_TT20!$G:$G, 150000), 150000), 0)</f>
        <v/>
      </c>
      <c r="M37" s="2">
        <f>ROUND(E37 * 1.10 * IFERROR(XLOOKUP(B37, DM_DinhMuc_TT20!$B:$B, DM_DinhMuc_TT20!$H:$H, 25000), 25000), 0)</f>
        <v/>
      </c>
      <c r="N37" s="2">
        <f>ROUND(E37 * IFERROR(XLOOKUP(B37, DM_DinhMuc_TT20!$B:$B, DM_DinhMuc_TT20!$I:$I, 80000), 80000), 0)</f>
        <v/>
      </c>
      <c r="O37" s="2" t="n">
        <v>0</v>
      </c>
      <c r="P37" s="2">
        <f>K37+L37+M37+N37+O37</f>
        <v/>
      </c>
      <c r="Q37" s="2">
        <f>IF(E37&gt;0, ROUND(P37/E37, 0), 0)</f>
        <v/>
      </c>
    </row>
    <row r="38">
      <c r="A38" s="3" t="n">
        <v>34</v>
      </c>
      <c r="B38" s="3" t="inlineStr">
        <is>
          <t>NT10k1</t>
        </is>
      </c>
      <c r="C38" s="3" t="inlineStr">
        <is>
          <t>Chì</t>
        </is>
      </c>
      <c r="D38" s="3" t="inlineStr">
        <is>
          <t>mg/l</t>
        </is>
      </c>
      <c r="E38" s="3" t="n">
        <v>4</v>
      </c>
      <c r="F38" s="3" t="n">
        <v>1</v>
      </c>
      <c r="G38" s="3">
        <f>IFERROR(XLOOKUP(B38, DM_DinhMuc_TT20!$B:$B, DM_DinhMuc_TT20!$F:$F, 0.8), 0.8)</f>
        <v/>
      </c>
      <c r="H38" s="3">
        <f>ROUND((G38 * 0.4 * 1.2) / IF(F38&gt;0, F38, 1), 4)</f>
        <v/>
      </c>
      <c r="I38" s="3">
        <f>ROUND(G38 * 0.6, 4)</f>
        <v/>
      </c>
      <c r="J38" s="3">
        <f>DM_GiaVatTu!$E$8</f>
        <v/>
      </c>
      <c r="K38" s="3">
        <f>ROUND((H38 + I38) * J38 * E38, 0)</f>
        <v/>
      </c>
      <c r="L38" s="3">
        <f>ROUND(E38 * 1.08 * IFERROR(XLOOKUP(B38, DM_DinhMuc_TT20!$B:$B, DM_DinhMuc_TT20!$G:$G, 150000), 150000), 0)</f>
        <v/>
      </c>
      <c r="M38" s="3">
        <f>ROUND(E38 * 1.10 * IFERROR(XLOOKUP(B38, DM_DinhMuc_TT20!$B:$B, DM_DinhMuc_TT20!$H:$H, 25000), 25000), 0)</f>
        <v/>
      </c>
      <c r="N38" s="3">
        <f>ROUND(E38 * IFERROR(XLOOKUP(B38, DM_DinhMuc_TT20!$B:$B, DM_DinhMuc_TT20!$I:$I, 80000), 80000), 0)</f>
        <v/>
      </c>
      <c r="O38" s="3" t="n">
        <v>0</v>
      </c>
      <c r="P38" s="3">
        <f>K38+L38+M38+N38+O38</f>
        <v/>
      </c>
      <c r="Q38" s="3">
        <f>IF(E38&gt;0, ROUND(P38/E38, 0), 0)</f>
        <v/>
      </c>
    </row>
    <row r="39">
      <c r="A39" s="2" t="n">
        <v>35</v>
      </c>
      <c r="B39" s="2" t="inlineStr">
        <is>
          <t>NT10k2</t>
        </is>
      </c>
      <c r="C39" s="2" t="inlineStr">
        <is>
          <t>Cadimi</t>
        </is>
      </c>
      <c r="D39" s="2" t="inlineStr">
        <is>
          <t>mg/l</t>
        </is>
      </c>
      <c r="E39" s="2" t="n">
        <v>4</v>
      </c>
      <c r="F39" s="2" t="n">
        <v>1</v>
      </c>
      <c r="G39" s="2">
        <f>IFERROR(XLOOKUP(B39, DM_DinhMuc_TT20!$B:$B, DM_DinhMuc_TT20!$F:$F, 0.8), 0.8)</f>
        <v/>
      </c>
      <c r="H39" s="2">
        <f>ROUND((G39 * 0.4 * 1.2) / IF(F39&gt;0, F39, 1), 4)</f>
        <v/>
      </c>
      <c r="I39" s="2">
        <f>ROUND(G39 * 0.6, 4)</f>
        <v/>
      </c>
      <c r="J39" s="2">
        <f>DM_GiaVatTu!$E$8</f>
        <v/>
      </c>
      <c r="K39" s="2">
        <f>ROUND((H39 + I39) * J39 * E39, 0)</f>
        <v/>
      </c>
      <c r="L39" s="2">
        <f>ROUND(E39 * 1.08 * IFERROR(XLOOKUP(B39, DM_DinhMuc_TT20!$B:$B, DM_DinhMuc_TT20!$G:$G, 150000), 150000), 0)</f>
        <v/>
      </c>
      <c r="M39" s="2">
        <f>ROUND(E39 * 1.10 * IFERROR(XLOOKUP(B39, DM_DinhMuc_TT20!$B:$B, DM_DinhMuc_TT20!$H:$H, 25000), 25000), 0)</f>
        <v/>
      </c>
      <c r="N39" s="2">
        <f>ROUND(E39 * IFERROR(XLOOKUP(B39, DM_DinhMuc_TT20!$B:$B, DM_DinhMuc_TT20!$I:$I, 80000), 80000), 0)</f>
        <v/>
      </c>
      <c r="O39" s="2" t="n">
        <v>0</v>
      </c>
      <c r="P39" s="2">
        <f>K39+L39+M39+N39+O39</f>
        <v/>
      </c>
      <c r="Q39" s="2">
        <f>IF(E39&gt;0, ROUND(P39/E39, 0), 0)</f>
        <v/>
      </c>
    </row>
    <row r="40">
      <c r="A40" s="3" t="n">
        <v>36</v>
      </c>
      <c r="B40" s="3" t="inlineStr">
        <is>
          <t>NT10m5</t>
        </is>
      </c>
      <c r="C40" s="3" t="inlineStr">
        <is>
          <t>Crom (III)</t>
        </is>
      </c>
      <c r="D40" s="3" t="inlineStr">
        <is>
          <t>mg/l</t>
        </is>
      </c>
      <c r="E40" s="3" t="n">
        <v>4</v>
      </c>
      <c r="F40" s="3" t="n">
        <v>1</v>
      </c>
      <c r="G40" s="3">
        <f>IFERROR(XLOOKUP(B40, DM_DinhMuc_TT20!$B:$B, DM_DinhMuc_TT20!$F:$F, 0.8), 0.8)</f>
        <v/>
      </c>
      <c r="H40" s="3">
        <f>ROUND((G40 * 0.4 * 1.2) / IF(F40&gt;0, F40, 1), 4)</f>
        <v/>
      </c>
      <c r="I40" s="3">
        <f>ROUND(G40 * 0.6, 4)</f>
        <v/>
      </c>
      <c r="J40" s="3">
        <f>DM_GiaVatTu!$E$8</f>
        <v/>
      </c>
      <c r="K40" s="3">
        <f>ROUND((H40 + I40) * J40 * E40, 0)</f>
        <v/>
      </c>
      <c r="L40" s="3">
        <f>ROUND(E40 * 1.08 * IFERROR(XLOOKUP(B40, DM_DinhMuc_TT20!$B:$B, DM_DinhMuc_TT20!$G:$G, 150000), 150000), 0)</f>
        <v/>
      </c>
      <c r="M40" s="3">
        <f>ROUND(E40 * 1.10 * IFERROR(XLOOKUP(B40, DM_DinhMuc_TT20!$B:$B, DM_DinhMuc_TT20!$H:$H, 25000), 25000), 0)</f>
        <v/>
      </c>
      <c r="N40" s="3">
        <f>ROUND(E40 * IFERROR(XLOOKUP(B40, DM_DinhMuc_TT20!$B:$B, DM_DinhMuc_TT20!$I:$I, 80000), 80000), 0)</f>
        <v/>
      </c>
      <c r="O40" s="3" t="n">
        <v>0</v>
      </c>
      <c r="P40" s="3">
        <f>K40+L40+M40+N40+O40</f>
        <v/>
      </c>
      <c r="Q40" s="3">
        <f>IF(E40&gt;0, ROUND(P40/E40, 0), 0)</f>
        <v/>
      </c>
    </row>
    <row r="41">
      <c r="A41" s="2" t="n">
        <v>37</v>
      </c>
      <c r="B41" s="2" t="inlineStr">
        <is>
          <t>NT10đ</t>
        </is>
      </c>
      <c r="C41" s="2" t="inlineStr">
        <is>
          <t>Crom (VI)</t>
        </is>
      </c>
      <c r="D41" s="2" t="inlineStr">
        <is>
          <t>mg/l</t>
        </is>
      </c>
      <c r="E41" s="2" t="n">
        <v>4</v>
      </c>
      <c r="F41" s="2" t="n">
        <v>1</v>
      </c>
      <c r="G41" s="2">
        <f>IFERROR(XLOOKUP(B41, DM_DinhMuc_TT20!$B:$B, DM_DinhMuc_TT20!$F:$F, 0.8), 0.8)</f>
        <v/>
      </c>
      <c r="H41" s="2">
        <f>ROUND((G41 * 0.4 * 1.2) / IF(F41&gt;0, F41, 1), 4)</f>
        <v/>
      </c>
      <c r="I41" s="2">
        <f>ROUND(G41 * 0.6, 4)</f>
        <v/>
      </c>
      <c r="J41" s="2">
        <f>DM_GiaVatTu!$E$8</f>
        <v/>
      </c>
      <c r="K41" s="2">
        <f>ROUND((H41 + I41) * J41 * E41, 0)</f>
        <v/>
      </c>
      <c r="L41" s="2">
        <f>ROUND(E41 * 1.08 * IFERROR(XLOOKUP(B41, DM_DinhMuc_TT20!$B:$B, DM_DinhMuc_TT20!$G:$G, 150000), 150000), 0)</f>
        <v/>
      </c>
      <c r="M41" s="2">
        <f>ROUND(E41 * 1.10 * IFERROR(XLOOKUP(B41, DM_DinhMuc_TT20!$B:$B, DM_DinhMuc_TT20!$H:$H, 25000), 25000), 0)</f>
        <v/>
      </c>
      <c r="N41" s="2">
        <f>ROUND(E41 * IFERROR(XLOOKUP(B41, DM_DinhMuc_TT20!$B:$B, DM_DinhMuc_TT20!$I:$I, 80000), 80000), 0)</f>
        <v/>
      </c>
      <c r="O41" s="2" t="n">
        <v>0</v>
      </c>
      <c r="P41" s="2">
        <f>K41+L41+M41+N41+O41</f>
        <v/>
      </c>
      <c r="Q41" s="2">
        <f>IF(E41&gt;0, ROUND(P41/E41, 0), 0)</f>
        <v/>
      </c>
    </row>
    <row r="42">
      <c r="A42" s="3" t="n">
        <v>38</v>
      </c>
      <c r="B42" s="3" t="inlineStr">
        <is>
          <t>NT10m1</t>
        </is>
      </c>
      <c r="C42" s="3" t="inlineStr">
        <is>
          <t>Đồng</t>
        </is>
      </c>
      <c r="D42" s="3" t="inlineStr">
        <is>
          <t>mg/l</t>
        </is>
      </c>
      <c r="E42" s="3" t="n">
        <v>4</v>
      </c>
      <c r="F42" s="3" t="n">
        <v>1</v>
      </c>
      <c r="G42" s="3">
        <f>IFERROR(XLOOKUP(B42, DM_DinhMuc_TT20!$B:$B, DM_DinhMuc_TT20!$F:$F, 0.8), 0.8)</f>
        <v/>
      </c>
      <c r="H42" s="3">
        <f>ROUND((G42 * 0.4 * 1.2) / IF(F42&gt;0, F42, 1), 4)</f>
        <v/>
      </c>
      <c r="I42" s="3">
        <f>ROUND(G42 * 0.6, 4)</f>
        <v/>
      </c>
      <c r="J42" s="3">
        <f>DM_GiaVatTu!$E$8</f>
        <v/>
      </c>
      <c r="K42" s="3">
        <f>ROUND((H42 + I42) * J42 * E42, 0)</f>
        <v/>
      </c>
      <c r="L42" s="3">
        <f>ROUND(E42 * 1.08 * IFERROR(XLOOKUP(B42, DM_DinhMuc_TT20!$B:$B, DM_DinhMuc_TT20!$G:$G, 150000), 150000), 0)</f>
        <v/>
      </c>
      <c r="M42" s="3">
        <f>ROUND(E42 * 1.10 * IFERROR(XLOOKUP(B42, DM_DinhMuc_TT20!$B:$B, DM_DinhMuc_TT20!$H:$H, 25000), 25000), 0)</f>
        <v/>
      </c>
      <c r="N42" s="3">
        <f>ROUND(E42 * IFERROR(XLOOKUP(B42, DM_DinhMuc_TT20!$B:$B, DM_DinhMuc_TT20!$I:$I, 80000), 80000), 0)</f>
        <v/>
      </c>
      <c r="O42" s="3" t="n">
        <v>0</v>
      </c>
      <c r="P42" s="3">
        <f>K42+L42+M42+N42+O42</f>
        <v/>
      </c>
      <c r="Q42" s="3">
        <f>IF(E42&gt;0, ROUND(P42/E42, 0), 0)</f>
        <v/>
      </c>
    </row>
    <row r="43">
      <c r="A43" s="2" t="n">
        <v>39</v>
      </c>
      <c r="B43" s="2" t="inlineStr">
        <is>
          <t>NT10m2</t>
        </is>
      </c>
      <c r="C43" s="2" t="inlineStr">
        <is>
          <t>Kẽm</t>
        </is>
      </c>
      <c r="D43" s="2" t="inlineStr">
        <is>
          <t>mg/l</t>
        </is>
      </c>
      <c r="E43" s="2" t="n">
        <v>4</v>
      </c>
      <c r="F43" s="2" t="n">
        <v>1</v>
      </c>
      <c r="G43" s="2">
        <f>IFERROR(XLOOKUP(B43, DM_DinhMuc_TT20!$B:$B, DM_DinhMuc_TT20!$F:$F, 0.8), 0.8)</f>
        <v/>
      </c>
      <c r="H43" s="2">
        <f>ROUND((G43 * 0.4 * 1.2) / IF(F43&gt;0, F43, 1), 4)</f>
        <v/>
      </c>
      <c r="I43" s="2">
        <f>ROUND(G43 * 0.6, 4)</f>
        <v/>
      </c>
      <c r="J43" s="2">
        <f>DM_GiaVatTu!$E$8</f>
        <v/>
      </c>
      <c r="K43" s="2">
        <f>ROUND((H43 + I43) * J43 * E43, 0)</f>
        <v/>
      </c>
      <c r="L43" s="2">
        <f>ROUND(E43 * 1.08 * IFERROR(XLOOKUP(B43, DM_DinhMuc_TT20!$B:$B, DM_DinhMuc_TT20!$G:$G, 150000), 150000), 0)</f>
        <v/>
      </c>
      <c r="M43" s="2">
        <f>ROUND(E43 * 1.10 * IFERROR(XLOOKUP(B43, DM_DinhMuc_TT20!$B:$B, DM_DinhMuc_TT20!$H:$H, 25000), 25000), 0)</f>
        <v/>
      </c>
      <c r="N43" s="2">
        <f>ROUND(E43 * IFERROR(XLOOKUP(B43, DM_DinhMuc_TT20!$B:$B, DM_DinhMuc_TT20!$I:$I, 80000), 80000), 0)</f>
        <v/>
      </c>
      <c r="O43" s="2" t="n">
        <v>0</v>
      </c>
      <c r="P43" s="2">
        <f>K43+L43+M43+N43+O43</f>
        <v/>
      </c>
      <c r="Q43" s="2">
        <f>IF(E43&gt;0, ROUND(P43/E43, 0), 0)</f>
        <v/>
      </c>
    </row>
    <row r="44">
      <c r="A44" s="3" t="n">
        <v>40</v>
      </c>
      <c r="B44" s="3" t="inlineStr">
        <is>
          <t>NT10m6</t>
        </is>
      </c>
      <c r="C44" s="3" t="inlineStr">
        <is>
          <t>Niken</t>
        </is>
      </c>
      <c r="D44" s="3" t="inlineStr">
        <is>
          <t>mg/l</t>
        </is>
      </c>
      <c r="E44" s="3" t="n">
        <v>4</v>
      </c>
      <c r="F44" s="3" t="n">
        <v>1</v>
      </c>
      <c r="G44" s="3">
        <f>IFERROR(XLOOKUP(B44, DM_DinhMuc_TT20!$B:$B, DM_DinhMuc_TT20!$F:$F, 0.8), 0.8)</f>
        <v/>
      </c>
      <c r="H44" s="3">
        <f>ROUND((G44 * 0.4 * 1.2) / IF(F44&gt;0, F44, 1), 4)</f>
        <v/>
      </c>
      <c r="I44" s="3">
        <f>ROUND(G44 * 0.6, 4)</f>
        <v/>
      </c>
      <c r="J44" s="3">
        <f>DM_GiaVatTu!$E$8</f>
        <v/>
      </c>
      <c r="K44" s="3">
        <f>ROUND((H44 + I44) * J44 * E44, 0)</f>
        <v/>
      </c>
      <c r="L44" s="3">
        <f>ROUND(E44 * 1.08 * IFERROR(XLOOKUP(B44, DM_DinhMuc_TT20!$B:$B, DM_DinhMuc_TT20!$G:$G, 150000), 150000), 0)</f>
        <v/>
      </c>
      <c r="M44" s="3">
        <f>ROUND(E44 * 1.10 * IFERROR(XLOOKUP(B44, DM_DinhMuc_TT20!$B:$B, DM_DinhMuc_TT20!$H:$H, 25000), 25000), 0)</f>
        <v/>
      </c>
      <c r="N44" s="3">
        <f>ROUND(E44 * IFERROR(XLOOKUP(B44, DM_DinhMuc_TT20!$B:$B, DM_DinhMuc_TT20!$I:$I, 80000), 80000), 0)</f>
        <v/>
      </c>
      <c r="O44" s="3" t="n">
        <v>0</v>
      </c>
      <c r="P44" s="3">
        <f>K44+L44+M44+N44+O44</f>
        <v/>
      </c>
      <c r="Q44" s="3">
        <f>IF(E44&gt;0, ROUND(P44/E44, 0), 0)</f>
        <v/>
      </c>
    </row>
    <row r="45">
      <c r="A45" s="2" t="n">
        <v>41</v>
      </c>
      <c r="B45" s="2" t="inlineStr">
        <is>
          <t>NT10m3</t>
        </is>
      </c>
      <c r="C45" s="2" t="inlineStr">
        <is>
          <t>Mangan</t>
        </is>
      </c>
      <c r="D45" s="2" t="inlineStr">
        <is>
          <t>mg/l</t>
        </is>
      </c>
      <c r="E45" s="2" t="n">
        <v>4</v>
      </c>
      <c r="F45" s="2" t="n">
        <v>1</v>
      </c>
      <c r="G45" s="2">
        <f>IFERROR(XLOOKUP(B45, DM_DinhMuc_TT20!$B:$B, DM_DinhMuc_TT20!$F:$F, 0.8), 0.8)</f>
        <v/>
      </c>
      <c r="H45" s="2">
        <f>ROUND((G45 * 0.4 * 1.2) / IF(F45&gt;0, F45, 1), 4)</f>
        <v/>
      </c>
      <c r="I45" s="2">
        <f>ROUND(G45 * 0.6, 4)</f>
        <v/>
      </c>
      <c r="J45" s="2">
        <f>DM_GiaVatTu!$E$8</f>
        <v/>
      </c>
      <c r="K45" s="2">
        <f>ROUND((H45 + I45) * J45 * E45, 0)</f>
        <v/>
      </c>
      <c r="L45" s="2">
        <f>ROUND(E45 * 1.08 * IFERROR(XLOOKUP(B45, DM_DinhMuc_TT20!$B:$B, DM_DinhMuc_TT20!$G:$G, 150000), 150000), 0)</f>
        <v/>
      </c>
      <c r="M45" s="2">
        <f>ROUND(E45 * 1.10 * IFERROR(XLOOKUP(B45, DM_DinhMuc_TT20!$B:$B, DM_DinhMuc_TT20!$H:$H, 25000), 25000), 0)</f>
        <v/>
      </c>
      <c r="N45" s="2">
        <f>ROUND(E45 * IFERROR(XLOOKUP(B45, DM_DinhMuc_TT20!$B:$B, DM_DinhMuc_TT20!$I:$I, 80000), 80000), 0)</f>
        <v/>
      </c>
      <c r="O45" s="2" t="n">
        <v>0</v>
      </c>
      <c r="P45" s="2">
        <f>K45+L45+M45+N45+O45</f>
        <v/>
      </c>
      <c r="Q45" s="2">
        <f>IF(E45&gt;0, ROUND(P45/E45, 0), 0)</f>
        <v/>
      </c>
    </row>
    <row r="46">
      <c r="A46" s="3" t="n">
        <v>42</v>
      </c>
      <c r="B46" s="3" t="inlineStr">
        <is>
          <t>NT10m4</t>
        </is>
      </c>
      <c r="C46" s="3" t="inlineStr">
        <is>
          <t>Sắt</t>
        </is>
      </c>
      <c r="D46" s="3" t="inlineStr">
        <is>
          <t>mg/l</t>
        </is>
      </c>
      <c r="E46" s="3" t="n">
        <v>4</v>
      </c>
      <c r="F46" s="3" t="n">
        <v>1</v>
      </c>
      <c r="G46" s="3">
        <f>IFERROR(XLOOKUP(B46, DM_DinhMuc_TT20!$B:$B, DM_DinhMuc_TT20!$F:$F, 0.8), 0.8)</f>
        <v/>
      </c>
      <c r="H46" s="3">
        <f>ROUND((G46 * 0.4 * 1.2) / IF(F46&gt;0, F46, 1), 4)</f>
        <v/>
      </c>
      <c r="I46" s="3">
        <f>ROUND(G46 * 0.6, 4)</f>
        <v/>
      </c>
      <c r="J46" s="3">
        <f>DM_GiaVatTu!$E$8</f>
        <v/>
      </c>
      <c r="K46" s="3">
        <f>ROUND((H46 + I46) * J46 * E46, 0)</f>
        <v/>
      </c>
      <c r="L46" s="3">
        <f>ROUND(E46 * 1.08 * IFERROR(XLOOKUP(B46, DM_DinhMuc_TT20!$B:$B, DM_DinhMuc_TT20!$G:$G, 150000), 150000), 0)</f>
        <v/>
      </c>
      <c r="M46" s="3">
        <f>ROUND(E46 * 1.10 * IFERROR(XLOOKUP(B46, DM_DinhMuc_TT20!$B:$B, DM_DinhMuc_TT20!$H:$H, 25000), 25000), 0)</f>
        <v/>
      </c>
      <c r="N46" s="3">
        <f>ROUND(E46 * IFERROR(XLOOKUP(B46, DM_DinhMuc_TT20!$B:$B, DM_DinhMuc_TT20!$I:$I, 80000), 80000), 0)</f>
        <v/>
      </c>
      <c r="O46" s="3" t="n">
        <v>0</v>
      </c>
      <c r="P46" s="3">
        <f>K46+L46+M46+N46+O46</f>
        <v/>
      </c>
      <c r="Q46" s="3">
        <f>IF(E46&gt;0, ROUND(P46/E46, 0), 0)</f>
        <v/>
      </c>
    </row>
    <row r="47">
      <c r="A47" s="2" t="n">
        <v>43</v>
      </c>
      <c r="B47" s="2" t="inlineStr">
        <is>
          <t>NT9</t>
        </is>
      </c>
      <c r="C47" s="2" t="inlineStr">
        <is>
          <t>Tổng xyanua</t>
        </is>
      </c>
      <c r="D47" s="2" t="inlineStr">
        <is>
          <t>mg/l</t>
        </is>
      </c>
      <c r="E47" s="2" t="n">
        <v>4</v>
      </c>
      <c r="F47" s="2" t="n">
        <v>1</v>
      </c>
      <c r="G47" s="2">
        <f>IFERROR(XLOOKUP(B47, DM_DinhMuc_TT20!$B:$B, DM_DinhMuc_TT20!$F:$F, 0.8), 0.8)</f>
        <v/>
      </c>
      <c r="H47" s="2">
        <f>ROUND((G47 * 0.4 * 1.2) / IF(F47&gt;0, F47, 1), 4)</f>
        <v/>
      </c>
      <c r="I47" s="2">
        <f>ROUND(G47 * 0.6, 4)</f>
        <v/>
      </c>
      <c r="J47" s="2">
        <f>DM_GiaVatTu!$E$8</f>
        <v/>
      </c>
      <c r="K47" s="2">
        <f>ROUND((H47 + I47) * J47 * E47, 0)</f>
        <v/>
      </c>
      <c r="L47" s="2">
        <f>ROUND(E47 * 1.08 * IFERROR(XLOOKUP(B47, DM_DinhMuc_TT20!$B:$B, DM_DinhMuc_TT20!$G:$G, 150000), 150000), 0)</f>
        <v/>
      </c>
      <c r="M47" s="2">
        <f>ROUND(E47 * 1.10 * IFERROR(XLOOKUP(B47, DM_DinhMuc_TT20!$B:$B, DM_DinhMuc_TT20!$H:$H, 25000), 25000), 0)</f>
        <v/>
      </c>
      <c r="N47" s="2">
        <f>ROUND(E47 * IFERROR(XLOOKUP(B47, DM_DinhMuc_TT20!$B:$B, DM_DinhMuc_TT20!$I:$I, 80000), 80000), 0)</f>
        <v/>
      </c>
      <c r="O47" s="2" t="n">
        <v>0</v>
      </c>
      <c r="P47" s="2">
        <f>K47+L47+M47+N47+O47</f>
        <v/>
      </c>
      <c r="Q47" s="2">
        <f>IF(E47&gt;0, ROUND(P47/E47, 0), 0)</f>
        <v/>
      </c>
    </row>
    <row r="48">
      <c r="A48" s="3" t="n">
        <v>44</v>
      </c>
      <c r="B48" s="3" t="inlineStr">
        <is>
          <t>NT8</t>
        </is>
      </c>
      <c r="C48" s="3" t="inlineStr">
        <is>
          <t>Tổng dầu mỡ khoáng</t>
        </is>
      </c>
      <c r="D48" s="3" t="inlineStr">
        <is>
          <t>mg/l</t>
        </is>
      </c>
      <c r="E48" s="3" t="n">
        <v>4</v>
      </c>
      <c r="F48" s="3" t="n">
        <v>1</v>
      </c>
      <c r="G48" s="3">
        <f>IFERROR(XLOOKUP(B48, DM_DinhMuc_TT20!$B:$B, DM_DinhMuc_TT20!$F:$F, 0.8), 0.8)</f>
        <v/>
      </c>
      <c r="H48" s="3">
        <f>ROUND((G48 * 0.4 * 1.2) / IF(F48&gt;0, F48, 1), 4)</f>
        <v/>
      </c>
      <c r="I48" s="3">
        <f>ROUND(G48 * 0.6, 4)</f>
        <v/>
      </c>
      <c r="J48" s="3">
        <f>DM_GiaVatTu!$E$8</f>
        <v/>
      </c>
      <c r="K48" s="3">
        <f>ROUND((H48 + I48) * J48 * E48, 0)</f>
        <v/>
      </c>
      <c r="L48" s="3">
        <f>ROUND(E48 * 1.08 * IFERROR(XLOOKUP(B48, DM_DinhMuc_TT20!$B:$B, DM_DinhMuc_TT20!$G:$G, 150000), 150000), 0)</f>
        <v/>
      </c>
      <c r="M48" s="3">
        <f>ROUND(E48 * 1.10 * IFERROR(XLOOKUP(B48, DM_DinhMuc_TT20!$B:$B, DM_DinhMuc_TT20!$H:$H, 25000), 25000), 0)</f>
        <v/>
      </c>
      <c r="N48" s="3">
        <f>ROUND(E48 * IFERROR(XLOOKUP(B48, DM_DinhMuc_TT20!$B:$B, DM_DinhMuc_TT20!$I:$I, 80000), 80000), 0)</f>
        <v/>
      </c>
      <c r="O48" s="3" t="n">
        <v>0</v>
      </c>
      <c r="P48" s="3">
        <f>K48+L48+M48+N48+O48</f>
        <v/>
      </c>
      <c r="Q48" s="3">
        <f>IF(E48&gt;0, ROUND(P48/E48, 0), 0)</f>
        <v/>
      </c>
    </row>
    <row r="49">
      <c r="A49" s="2" t="n">
        <v>45</v>
      </c>
      <c r="B49" s="2" t="inlineStr">
        <is>
          <t>NT10d</t>
        </is>
      </c>
      <c r="C49" s="2" t="inlineStr">
        <is>
          <t>Sunfua</t>
        </is>
      </c>
      <c r="D49" s="2" t="inlineStr">
        <is>
          <t>mg/l</t>
        </is>
      </c>
      <c r="E49" s="2" t="n">
        <v>4</v>
      </c>
      <c r="F49" s="2" t="n">
        <v>1</v>
      </c>
      <c r="G49" s="2">
        <f>IFERROR(XLOOKUP(B49, DM_DinhMuc_TT20!$B:$B, DM_DinhMuc_TT20!$F:$F, 0.8), 0.8)</f>
        <v/>
      </c>
      <c r="H49" s="2">
        <f>ROUND((G49 * 0.4 * 1.2) / IF(F49&gt;0, F49, 1), 4)</f>
        <v/>
      </c>
      <c r="I49" s="2">
        <f>ROUND(G49 * 0.6, 4)</f>
        <v/>
      </c>
      <c r="J49" s="2">
        <f>DM_GiaVatTu!$E$8</f>
        <v/>
      </c>
      <c r="K49" s="2">
        <f>ROUND((H49 + I49) * J49 * E49, 0)</f>
        <v/>
      </c>
      <c r="L49" s="2">
        <f>ROUND(E49 * 1.08 * IFERROR(XLOOKUP(B49, DM_DinhMuc_TT20!$B:$B, DM_DinhMuc_TT20!$G:$G, 150000), 150000), 0)</f>
        <v/>
      </c>
      <c r="M49" s="2">
        <f>ROUND(E49 * 1.10 * IFERROR(XLOOKUP(B49, DM_DinhMuc_TT20!$B:$B, DM_DinhMuc_TT20!$H:$H, 25000), 25000), 0)</f>
        <v/>
      </c>
      <c r="N49" s="2">
        <f>ROUND(E49 * IFERROR(XLOOKUP(B49, DM_DinhMuc_TT20!$B:$B, DM_DinhMuc_TT20!$I:$I, 80000), 80000), 0)</f>
        <v/>
      </c>
      <c r="O49" s="2" t="n">
        <v>0</v>
      </c>
      <c r="P49" s="2">
        <f>K49+L49+M49+N49+O49</f>
        <v/>
      </c>
      <c r="Q49" s="2">
        <f>IF(E49&gt;0, ROUND(P49/E49, 0), 0)</f>
        <v/>
      </c>
    </row>
    <row r="50">
      <c r="A50" s="3" t="n">
        <v>46</v>
      </c>
      <c r="B50" s="3" t="inlineStr">
        <is>
          <t>NT10b</t>
        </is>
      </c>
      <c r="C50" s="3" t="inlineStr">
        <is>
          <t>Tổng Nitơ</t>
        </is>
      </c>
      <c r="D50" s="3" t="inlineStr">
        <is>
          <t>mg/l</t>
        </is>
      </c>
      <c r="E50" s="3" t="n">
        <v>4</v>
      </c>
      <c r="F50" s="3" t="n">
        <v>1</v>
      </c>
      <c r="G50" s="3">
        <f>IFERROR(XLOOKUP(B50, DM_DinhMuc_TT20!$B:$B, DM_DinhMuc_TT20!$F:$F, 0.8), 0.8)</f>
        <v/>
      </c>
      <c r="H50" s="3">
        <f>ROUND((G50 * 0.4 * 1.2) / IF(F50&gt;0, F50, 1), 4)</f>
        <v/>
      </c>
      <c r="I50" s="3">
        <f>ROUND(G50 * 0.6, 4)</f>
        <v/>
      </c>
      <c r="J50" s="3">
        <f>DM_GiaVatTu!$E$8</f>
        <v/>
      </c>
      <c r="K50" s="3">
        <f>ROUND((H50 + I50) * J50 * E50, 0)</f>
        <v/>
      </c>
      <c r="L50" s="3">
        <f>ROUND(E50 * 1.08 * IFERROR(XLOOKUP(B50, DM_DinhMuc_TT20!$B:$B, DM_DinhMuc_TT20!$G:$G, 150000), 150000), 0)</f>
        <v/>
      </c>
      <c r="M50" s="3">
        <f>ROUND(E50 * 1.10 * IFERROR(XLOOKUP(B50, DM_DinhMuc_TT20!$B:$B, DM_DinhMuc_TT20!$H:$H, 25000), 25000), 0)</f>
        <v/>
      </c>
      <c r="N50" s="3">
        <f>ROUND(E50 * IFERROR(XLOOKUP(B50, DM_DinhMuc_TT20!$B:$B, DM_DinhMuc_TT20!$I:$I, 80000), 80000), 0)</f>
        <v/>
      </c>
      <c r="O50" s="3" t="n">
        <v>0</v>
      </c>
      <c r="P50" s="3">
        <f>K50+L50+M50+N50+O50</f>
        <v/>
      </c>
      <c r="Q50" s="3">
        <f>IF(E50&gt;0, ROUND(P50/E50, 0), 0)</f>
        <v/>
      </c>
    </row>
    <row r="51">
      <c r="A51" s="2" t="n">
        <v>47</v>
      </c>
      <c r="B51" s="2" t="inlineStr">
        <is>
          <t>NT2</t>
        </is>
      </c>
      <c r="C51" s="2" t="inlineStr">
        <is>
          <t>Tổng photpho (tính theo P)</t>
        </is>
      </c>
      <c r="D51" s="2" t="inlineStr">
        <is>
          <t>mg/l</t>
        </is>
      </c>
      <c r="E51" s="2" t="n">
        <v>4</v>
      </c>
      <c r="F51" s="2" t="n">
        <v>1</v>
      </c>
      <c r="G51" s="2">
        <f>IFERROR(XLOOKUP(B51, DM_DinhMuc_TT20!$B:$B, DM_DinhMuc_TT20!$F:$F, 0.8), 0.8)</f>
        <v/>
      </c>
      <c r="H51" s="2">
        <f>ROUND((G51 * 0.4 * 1.2) / IF(F51&gt;0, F51, 1), 4)</f>
        <v/>
      </c>
      <c r="I51" s="2">
        <f>ROUND(G51 * 0.6, 4)</f>
        <v/>
      </c>
      <c r="J51" s="2">
        <f>DM_GiaVatTu!$E$8</f>
        <v/>
      </c>
      <c r="K51" s="2">
        <f>ROUND((H51 + I51) * J51 * E51, 0)</f>
        <v/>
      </c>
      <c r="L51" s="2">
        <f>ROUND(E51 * 1.08 * IFERROR(XLOOKUP(B51, DM_DinhMuc_TT20!$B:$B, DM_DinhMuc_TT20!$G:$G, 150000), 150000), 0)</f>
        <v/>
      </c>
      <c r="M51" s="2">
        <f>ROUND(E51 * 1.10 * IFERROR(XLOOKUP(B51, DM_DinhMuc_TT20!$B:$B, DM_DinhMuc_TT20!$H:$H, 25000), 25000), 0)</f>
        <v/>
      </c>
      <c r="N51" s="2">
        <f>ROUND(E51 * IFERROR(XLOOKUP(B51, DM_DinhMuc_TT20!$B:$B, DM_DinhMuc_TT20!$I:$I, 80000), 80000), 0)</f>
        <v/>
      </c>
      <c r="O51" s="2" t="n">
        <v>0</v>
      </c>
      <c r="P51" s="2">
        <f>K51+L51+M51+N51+O51</f>
        <v/>
      </c>
      <c r="Q51" s="2">
        <f>IF(E51&gt;0, ROUND(P51/E51, 0), 0)</f>
        <v/>
      </c>
    </row>
    <row r="52">
      <c r="A52" s="3" t="n">
        <v>48</v>
      </c>
      <c r="B52" s="3" t="inlineStr">
        <is>
          <t>NT10j</t>
        </is>
      </c>
      <c r="C52" s="3" t="inlineStr">
        <is>
          <t>Clo dư</t>
        </is>
      </c>
      <c r="D52" s="3" t="inlineStr">
        <is>
          <t>mg/l</t>
        </is>
      </c>
      <c r="E52" s="3" t="n">
        <v>4</v>
      </c>
      <c r="F52" s="3" t="n">
        <v>1</v>
      </c>
      <c r="G52" s="3">
        <f>IFERROR(XLOOKUP(B52, DM_DinhMuc_TT20!$B:$B, DM_DinhMuc_TT20!$F:$F, 0.8), 0.8)</f>
        <v/>
      </c>
      <c r="H52" s="3">
        <f>ROUND((G52 * 0.4 * 1.2) / IF(F52&gt;0, F52, 1), 4)</f>
        <v/>
      </c>
      <c r="I52" s="3">
        <f>ROUND(G52 * 0.6, 4)</f>
        <v/>
      </c>
      <c r="J52" s="3">
        <f>DM_GiaVatTu!$E$8</f>
        <v/>
      </c>
      <c r="K52" s="3">
        <f>ROUND((H52 + I52) * J52 * E52, 0)</f>
        <v/>
      </c>
      <c r="L52" s="3">
        <f>ROUND(E52 * 1.08 * IFERROR(XLOOKUP(B52, DM_DinhMuc_TT20!$B:$B, DM_DinhMuc_TT20!$G:$G, 150000), 150000), 0)</f>
        <v/>
      </c>
      <c r="M52" s="3">
        <f>ROUND(E52 * 1.10 * IFERROR(XLOOKUP(B52, DM_DinhMuc_TT20!$B:$B, DM_DinhMuc_TT20!$H:$H, 25000), 25000), 0)</f>
        <v/>
      </c>
      <c r="N52" s="3">
        <f>ROUND(E52 * IFERROR(XLOOKUP(B52, DM_DinhMuc_TT20!$B:$B, DM_DinhMuc_TT20!$I:$I, 80000), 80000), 0)</f>
        <v/>
      </c>
      <c r="O52" s="3" t="n">
        <v>0</v>
      </c>
      <c r="P52" s="3">
        <f>K52+L52+M52+N52+O52</f>
        <v/>
      </c>
      <c r="Q52" s="3">
        <f>IF(E52&gt;0, ROUND(P52/E52, 0), 0)</f>
        <v/>
      </c>
    </row>
    <row r="53">
      <c r="A53" s="2" t="n">
        <v>49</v>
      </c>
      <c r="B53" s="2" t="inlineStr">
        <is>
          <t>NT7a</t>
        </is>
      </c>
      <c r="C53" s="2" t="inlineStr">
        <is>
          <t>Coliform</t>
        </is>
      </c>
      <c r="D53" s="2" t="inlineStr">
        <is>
          <t>MPN/100ml</t>
        </is>
      </c>
      <c r="E53" s="2" t="n">
        <v>4</v>
      </c>
      <c r="F53" s="2" t="n">
        <v>1</v>
      </c>
      <c r="G53" s="2">
        <f>IFERROR(XLOOKUP(B53, DM_DinhMuc_TT20!$B:$B, DM_DinhMuc_TT20!$F:$F, 0.8), 0.8)</f>
        <v/>
      </c>
      <c r="H53" s="2">
        <f>ROUND((G53 * 0.4 * 1.2) / IF(F53&gt;0, F53, 1), 4)</f>
        <v/>
      </c>
      <c r="I53" s="2">
        <f>ROUND(G53 * 0.6, 4)</f>
        <v/>
      </c>
      <c r="J53" s="2">
        <f>DM_GiaVatTu!$E$8</f>
        <v/>
      </c>
      <c r="K53" s="2">
        <f>ROUND((H53 + I53) * J53 * E53, 0)</f>
        <v/>
      </c>
      <c r="L53" s="2">
        <f>ROUND(E53 * 1.08 * IFERROR(XLOOKUP(B53, DM_DinhMuc_TT20!$B:$B, DM_DinhMuc_TT20!$G:$G, 150000), 150000), 0)</f>
        <v/>
      </c>
      <c r="M53" s="2">
        <f>ROUND(E53 * 1.10 * IFERROR(XLOOKUP(B53, DM_DinhMuc_TT20!$B:$B, DM_DinhMuc_TT20!$H:$H, 25000), 25000), 0)</f>
        <v/>
      </c>
      <c r="N53" s="2">
        <f>ROUND(E53 * IFERROR(XLOOKUP(B53, DM_DinhMuc_TT20!$B:$B, DM_DinhMuc_TT20!$I:$I, 80000), 80000), 0)</f>
        <v/>
      </c>
      <c r="O53" s="2" t="n">
        <v>0</v>
      </c>
      <c r="P53" s="2">
        <f>K53+L53+M53+N53+O53</f>
        <v/>
      </c>
      <c r="Q53" s="2">
        <f>IF(E53&gt;0, ROUND(P53/E53, 0), 0)</f>
        <v/>
      </c>
    </row>
    <row r="54">
      <c r="A54" s="3" t="n">
        <v>50</v>
      </c>
      <c r="B54" s="3" t="inlineStr">
        <is>
          <t>NB16a</t>
        </is>
      </c>
      <c r="C54" s="3" t="inlineStr">
        <is>
          <t>COD</t>
        </is>
      </c>
      <c r="D54" s="3" t="inlineStr">
        <is>
          <t>mg/l</t>
        </is>
      </c>
      <c r="E54" s="3" t="n">
        <v>4</v>
      </c>
      <c r="F54" s="3" t="n">
        <v>1</v>
      </c>
      <c r="G54" s="3">
        <f>IFERROR(XLOOKUP(B54, DM_DinhMuc_TT20!$B:$B, DM_DinhMuc_TT20!$F:$F, 0.8), 0.8)</f>
        <v/>
      </c>
      <c r="H54" s="3">
        <f>ROUND((G54 * 0.4 * 1.2) / IF(F54&gt;0, F54, 1), 4)</f>
        <v/>
      </c>
      <c r="I54" s="3">
        <f>ROUND(G54 * 0.6, 4)</f>
        <v/>
      </c>
      <c r="J54" s="3">
        <f>DM_GiaVatTu!$E$8</f>
        <v/>
      </c>
      <c r="K54" s="3">
        <f>ROUND((H54 + I54) * J54 * E54, 0)</f>
        <v/>
      </c>
      <c r="L54" s="3">
        <f>ROUND(E54 * 1.08 * IFERROR(XLOOKUP(B54, DM_DinhMuc_TT20!$B:$B, DM_DinhMuc_TT20!$G:$G, 150000), 150000), 0)</f>
        <v/>
      </c>
      <c r="M54" s="3">
        <f>ROUND(E54 * 1.10 * IFERROR(XLOOKUP(B54, DM_DinhMuc_TT20!$B:$B, DM_DinhMuc_TT20!$H:$H, 25000), 25000), 0)</f>
        <v/>
      </c>
      <c r="N54" s="3">
        <f>ROUND(E54 * IFERROR(XLOOKUP(B54, DM_DinhMuc_TT20!$B:$B, DM_DinhMuc_TT20!$I:$I, 80000), 80000), 0)</f>
        <v/>
      </c>
      <c r="O54" s="3" t="n">
        <v>0</v>
      </c>
      <c r="P54" s="3">
        <f>K54+L54+M54+N54+O54</f>
        <v/>
      </c>
      <c r="Q54" s="3">
        <f>IF(E54&gt;0, ROUND(P54/E54, 0), 0)</f>
        <v/>
      </c>
    </row>
    <row r="55">
      <c r="A55" s="2" t="n">
        <v>51</v>
      </c>
      <c r="B55" s="2" t="inlineStr">
        <is>
          <t>NB17a</t>
        </is>
      </c>
      <c r="C55" s="2" t="inlineStr">
        <is>
          <t>TSS</t>
        </is>
      </c>
      <c r="D55" s="2" t="inlineStr">
        <is>
          <t>mg/l</t>
        </is>
      </c>
      <c r="E55" s="2" t="n">
        <v>4</v>
      </c>
      <c r="F55" s="2" t="n">
        <v>1</v>
      </c>
      <c r="G55" s="2">
        <f>IFERROR(XLOOKUP(B55, DM_DinhMuc_TT20!$B:$B, DM_DinhMuc_TT20!$F:$F, 0.8), 0.8)</f>
        <v/>
      </c>
      <c r="H55" s="2">
        <f>ROUND((G55 * 0.4 * 1.2) / IF(F55&gt;0, F55, 1), 4)</f>
        <v/>
      </c>
      <c r="I55" s="2">
        <f>ROUND(G55 * 0.6, 4)</f>
        <v/>
      </c>
      <c r="J55" s="2">
        <f>DM_GiaVatTu!$E$8</f>
        <v/>
      </c>
      <c r="K55" s="2">
        <f>ROUND((H55 + I55) * J55 * E55, 0)</f>
        <v/>
      </c>
      <c r="L55" s="2">
        <f>ROUND(E55 * 1.08 * IFERROR(XLOOKUP(B55, DM_DinhMuc_TT20!$B:$B, DM_DinhMuc_TT20!$G:$G, 150000), 150000), 0)</f>
        <v/>
      </c>
      <c r="M55" s="2">
        <f>ROUND(E55 * 1.10 * IFERROR(XLOOKUP(B55, DM_DinhMuc_TT20!$B:$B, DM_DinhMuc_TT20!$H:$H, 25000), 25000), 0)</f>
        <v/>
      </c>
      <c r="N55" s="2">
        <f>ROUND(E55 * IFERROR(XLOOKUP(B55, DM_DinhMuc_TT20!$B:$B, DM_DinhMuc_TT20!$I:$I, 80000), 80000), 0)</f>
        <v/>
      </c>
      <c r="O55" s="2" t="n">
        <v>0</v>
      </c>
      <c r="P55" s="2">
        <f>K55+L55+M55+N55+O55</f>
        <v/>
      </c>
      <c r="Q55" s="2">
        <f>IF(E55&gt;0, ROUND(P55/E55, 0), 0)</f>
        <v/>
      </c>
    </row>
    <row r="56">
      <c r="A56" s="3" t="n">
        <v>52</v>
      </c>
      <c r="B56" s="3" t="inlineStr">
        <is>
          <t>NB10</t>
        </is>
      </c>
      <c r="C56" s="3" t="inlineStr">
        <is>
          <t>Phosphat</t>
        </is>
      </c>
      <c r="D56" s="3" t="inlineStr">
        <is>
          <t>mg/l</t>
        </is>
      </c>
      <c r="E56" s="3" t="n">
        <v>4</v>
      </c>
      <c r="F56" s="3" t="n">
        <v>1</v>
      </c>
      <c r="G56" s="3">
        <f>IFERROR(XLOOKUP(B56, DM_DinhMuc_TT20!$B:$B, DM_DinhMuc_TT20!$F:$F, 0.8), 0.8)</f>
        <v/>
      </c>
      <c r="H56" s="3">
        <f>ROUND((G56 * 0.4 * 1.2) / IF(F56&gt;0, F56, 1), 4)</f>
        <v/>
      </c>
      <c r="I56" s="3">
        <f>ROUND(G56 * 0.6, 4)</f>
        <v/>
      </c>
      <c r="J56" s="3">
        <f>DM_GiaVatTu!$E$8</f>
        <v/>
      </c>
      <c r="K56" s="3">
        <f>ROUND((H56 + I56) * J56 * E56, 0)</f>
        <v/>
      </c>
      <c r="L56" s="3">
        <f>ROUND(E56 * 1.08 * IFERROR(XLOOKUP(B56, DM_DinhMuc_TT20!$B:$B, DM_DinhMuc_TT20!$G:$G, 150000), 150000), 0)</f>
        <v/>
      </c>
      <c r="M56" s="3">
        <f>ROUND(E56 * 1.10 * IFERROR(XLOOKUP(B56, DM_DinhMuc_TT20!$B:$B, DM_DinhMuc_TT20!$H:$H, 25000), 25000), 0)</f>
        <v/>
      </c>
      <c r="N56" s="3">
        <f>ROUND(E56 * IFERROR(XLOOKUP(B56, DM_DinhMuc_TT20!$B:$B, DM_DinhMuc_TT20!$I:$I, 80000), 80000), 0)</f>
        <v/>
      </c>
      <c r="O56" s="3" t="n">
        <v>0</v>
      </c>
      <c r="P56" s="3">
        <f>K56+L56+M56+N56+O56</f>
        <v/>
      </c>
      <c r="Q56" s="3">
        <f>IF(E56&gt;0, ROUND(P56/E56, 0), 0)</f>
        <v/>
      </c>
    </row>
    <row r="57">
      <c r="A57" s="2" t="n">
        <v>53</v>
      </c>
      <c r="B57" s="2" t="inlineStr">
        <is>
          <t>NB15</t>
        </is>
      </c>
      <c r="C57" s="2" t="inlineStr">
        <is>
          <t>Florua</t>
        </is>
      </c>
      <c r="D57" s="2" t="inlineStr">
        <is>
          <t>mg/l</t>
        </is>
      </c>
      <c r="E57" s="2" t="n">
        <v>4</v>
      </c>
      <c r="F57" s="2" t="n">
        <v>1</v>
      </c>
      <c r="G57" s="2">
        <f>IFERROR(XLOOKUP(B57, DM_DinhMuc_TT20!$B:$B, DM_DinhMuc_TT20!$F:$F, 0.8), 0.8)</f>
        <v/>
      </c>
      <c r="H57" s="2">
        <f>ROUND((G57 * 0.4 * 1.2) / IF(F57&gt;0, F57, 1), 4)</f>
        <v/>
      </c>
      <c r="I57" s="2">
        <f>ROUND(G57 * 0.6, 4)</f>
        <v/>
      </c>
      <c r="J57" s="2">
        <f>DM_GiaVatTu!$E$8</f>
        <v/>
      </c>
      <c r="K57" s="2">
        <f>ROUND((H57 + I57) * J57 * E57, 0)</f>
        <v/>
      </c>
      <c r="L57" s="2">
        <f>ROUND(E57 * 1.08 * IFERROR(XLOOKUP(B57, DM_DinhMuc_TT20!$B:$B, DM_DinhMuc_TT20!$G:$G, 150000), 150000), 0)</f>
        <v/>
      </c>
      <c r="M57" s="2">
        <f>ROUND(E57 * 1.10 * IFERROR(XLOOKUP(B57, DM_DinhMuc_TT20!$B:$B, DM_DinhMuc_TT20!$H:$H, 25000), 25000), 0)</f>
        <v/>
      </c>
      <c r="N57" s="2">
        <f>ROUND(E57 * IFERROR(XLOOKUP(B57, DM_DinhMuc_TT20!$B:$B, DM_DinhMuc_TT20!$I:$I, 80000), 80000), 0)</f>
        <v/>
      </c>
      <c r="O57" s="2" t="n">
        <v>0</v>
      </c>
      <c r="P57" s="2">
        <f>K57+L57+M57+N57+O57</f>
        <v/>
      </c>
      <c r="Q57" s="2">
        <f>IF(E57&gt;0, ROUND(P57/E57, 0), 0)</f>
        <v/>
      </c>
    </row>
    <row r="58">
      <c r="A58" s="3" t="n">
        <v>54</v>
      </c>
      <c r="B58" s="3" t="inlineStr">
        <is>
          <t>NB20</t>
        </is>
      </c>
      <c r="C58" s="3" t="inlineStr">
        <is>
          <t>Xyanua</t>
        </is>
      </c>
      <c r="D58" s="3" t="inlineStr">
        <is>
          <t>mg/l</t>
        </is>
      </c>
      <c r="E58" s="3" t="n">
        <v>4</v>
      </c>
      <c r="F58" s="3" t="n">
        <v>1</v>
      </c>
      <c r="G58" s="3">
        <f>IFERROR(XLOOKUP(B58, DM_DinhMuc_TT20!$B:$B, DM_DinhMuc_TT20!$F:$F, 0.8), 0.8)</f>
        <v/>
      </c>
      <c r="H58" s="3">
        <f>ROUND((G58 * 0.4 * 1.2) / IF(F58&gt;0, F58, 1), 4)</f>
        <v/>
      </c>
      <c r="I58" s="3">
        <f>ROUND(G58 * 0.6, 4)</f>
        <v/>
      </c>
      <c r="J58" s="3">
        <f>DM_GiaVatTu!$E$8</f>
        <v/>
      </c>
      <c r="K58" s="3">
        <f>ROUND((H58 + I58) * J58 * E58, 0)</f>
        <v/>
      </c>
      <c r="L58" s="3">
        <f>ROUND(E58 * 1.08 * IFERROR(XLOOKUP(B58, DM_DinhMuc_TT20!$B:$B, DM_DinhMuc_TT20!$G:$G, 150000), 150000), 0)</f>
        <v/>
      </c>
      <c r="M58" s="3">
        <f>ROUND(E58 * 1.10 * IFERROR(XLOOKUP(B58, DM_DinhMuc_TT20!$B:$B, DM_DinhMuc_TT20!$H:$H, 25000), 25000), 0)</f>
        <v/>
      </c>
      <c r="N58" s="3">
        <f>ROUND(E58 * IFERROR(XLOOKUP(B58, DM_DinhMuc_TT20!$B:$B, DM_DinhMuc_TT20!$I:$I, 80000), 80000), 0)</f>
        <v/>
      </c>
      <c r="O58" s="3" t="n">
        <v>0</v>
      </c>
      <c r="P58" s="3">
        <f>K58+L58+M58+N58+O58</f>
        <v/>
      </c>
      <c r="Q58" s="3">
        <f>IF(E58&gt;0, ROUND(P58/E58, 0), 0)</f>
        <v/>
      </c>
    </row>
    <row r="59">
      <c r="A59" s="2" t="n">
        <v>55</v>
      </c>
      <c r="B59" s="2" t="inlineStr">
        <is>
          <t>NB21</t>
        </is>
      </c>
      <c r="C59" s="2" t="inlineStr">
        <is>
          <t>Asen</t>
        </is>
      </c>
      <c r="D59" s="2" t="inlineStr">
        <is>
          <t>mg/l</t>
        </is>
      </c>
      <c r="E59" s="2" t="n">
        <v>4</v>
      </c>
      <c r="F59" s="2" t="n">
        <v>1</v>
      </c>
      <c r="G59" s="2">
        <f>IFERROR(XLOOKUP(B59, DM_DinhMuc_TT20!$B:$B, DM_DinhMuc_TT20!$F:$F, 0.8), 0.8)</f>
        <v/>
      </c>
      <c r="H59" s="2">
        <f>ROUND((G59 * 0.4 * 1.2) / IF(F59&gt;0, F59, 1), 4)</f>
        <v/>
      </c>
      <c r="I59" s="2">
        <f>ROUND(G59 * 0.6, 4)</f>
        <v/>
      </c>
      <c r="J59" s="2">
        <f>DM_GiaVatTu!$E$8</f>
        <v/>
      </c>
      <c r="K59" s="2">
        <f>ROUND((H59 + I59) * J59 * E59, 0)</f>
        <v/>
      </c>
      <c r="L59" s="2">
        <f>ROUND(E59 * 1.08 * IFERROR(XLOOKUP(B59, DM_DinhMuc_TT20!$B:$B, DM_DinhMuc_TT20!$G:$G, 150000), 150000), 0)</f>
        <v/>
      </c>
      <c r="M59" s="2">
        <f>ROUND(E59 * 1.10 * IFERROR(XLOOKUP(B59, DM_DinhMuc_TT20!$B:$B, DM_DinhMuc_TT20!$H:$H, 25000), 25000), 0)</f>
        <v/>
      </c>
      <c r="N59" s="2">
        <f>ROUND(E59 * IFERROR(XLOOKUP(B59, DM_DinhMuc_TT20!$B:$B, DM_DinhMuc_TT20!$I:$I, 80000), 80000), 0)</f>
        <v/>
      </c>
      <c r="O59" s="2" t="n">
        <v>0</v>
      </c>
      <c r="P59" s="2">
        <f>K59+L59+M59+N59+O59</f>
        <v/>
      </c>
      <c r="Q59" s="2">
        <f>IF(E59&gt;0, ROUND(P59/E59, 0), 0)</f>
        <v/>
      </c>
    </row>
    <row r="60">
      <c r="A60" s="3" t="n">
        <v>56</v>
      </c>
      <c r="B60" s="3" t="inlineStr">
        <is>
          <t>NB21</t>
        </is>
      </c>
      <c r="C60" s="3" t="inlineStr">
        <is>
          <t>Cadimi</t>
        </is>
      </c>
      <c r="D60" s="3" t="inlineStr">
        <is>
          <t>mg/l</t>
        </is>
      </c>
      <c r="E60" s="3" t="n">
        <v>4</v>
      </c>
      <c r="F60" s="3" t="n">
        <v>1</v>
      </c>
      <c r="G60" s="3">
        <f>IFERROR(XLOOKUP(B60, DM_DinhMuc_TT20!$B:$B, DM_DinhMuc_TT20!$F:$F, 0.8), 0.8)</f>
        <v/>
      </c>
      <c r="H60" s="3">
        <f>ROUND((G60 * 0.4 * 1.2) / IF(F60&gt;0, F60, 1), 4)</f>
        <v/>
      </c>
      <c r="I60" s="3">
        <f>ROUND(G60 * 0.6, 4)</f>
        <v/>
      </c>
      <c r="J60" s="3">
        <f>DM_GiaVatTu!$E$8</f>
        <v/>
      </c>
      <c r="K60" s="3">
        <f>ROUND((H60 + I60) * J60 * E60, 0)</f>
        <v/>
      </c>
      <c r="L60" s="3">
        <f>ROUND(E60 * 1.08 * IFERROR(XLOOKUP(B60, DM_DinhMuc_TT20!$B:$B, DM_DinhMuc_TT20!$G:$G, 150000), 150000), 0)</f>
        <v/>
      </c>
      <c r="M60" s="3">
        <f>ROUND(E60 * 1.10 * IFERROR(XLOOKUP(B60, DM_DinhMuc_TT20!$B:$B, DM_DinhMuc_TT20!$H:$H, 25000), 25000), 0)</f>
        <v/>
      </c>
      <c r="N60" s="3">
        <f>ROUND(E60 * IFERROR(XLOOKUP(B60, DM_DinhMuc_TT20!$B:$B, DM_DinhMuc_TT20!$I:$I, 80000), 80000), 0)</f>
        <v/>
      </c>
      <c r="O60" s="3" t="n">
        <v>0</v>
      </c>
      <c r="P60" s="3">
        <f>K60+L60+M60+N60+O60</f>
        <v/>
      </c>
      <c r="Q60" s="3">
        <f>IF(E60&gt;0, ROUND(P60/E60, 0), 0)</f>
        <v/>
      </c>
    </row>
    <row r="61">
      <c r="A61" s="2" t="n">
        <v>57</v>
      </c>
      <c r="B61" s="2" t="inlineStr">
        <is>
          <t>NB21</t>
        </is>
      </c>
      <c r="C61" s="2" t="inlineStr">
        <is>
          <t>Chì</t>
        </is>
      </c>
      <c r="D61" s="2" t="inlineStr">
        <is>
          <t>mg/l</t>
        </is>
      </c>
      <c r="E61" s="2" t="n">
        <v>4</v>
      </c>
      <c r="F61" s="2" t="n">
        <v>1</v>
      </c>
      <c r="G61" s="2">
        <f>IFERROR(XLOOKUP(B61, DM_DinhMuc_TT20!$B:$B, DM_DinhMuc_TT20!$F:$F, 0.8), 0.8)</f>
        <v/>
      </c>
      <c r="H61" s="2">
        <f>ROUND((G61 * 0.4 * 1.2) / IF(F61&gt;0, F61, 1), 4)</f>
        <v/>
      </c>
      <c r="I61" s="2">
        <f>ROUND(G61 * 0.6, 4)</f>
        <v/>
      </c>
      <c r="J61" s="2">
        <f>DM_GiaVatTu!$E$8</f>
        <v/>
      </c>
      <c r="K61" s="2">
        <f>ROUND((H61 + I61) * J61 * E61, 0)</f>
        <v/>
      </c>
      <c r="L61" s="2">
        <f>ROUND(E61 * 1.08 * IFERROR(XLOOKUP(B61, DM_DinhMuc_TT20!$B:$B, DM_DinhMuc_TT20!$G:$G, 150000), 150000), 0)</f>
        <v/>
      </c>
      <c r="M61" s="2">
        <f>ROUND(E61 * 1.10 * IFERROR(XLOOKUP(B61, DM_DinhMuc_TT20!$B:$B, DM_DinhMuc_TT20!$H:$H, 25000), 25000), 0)</f>
        <v/>
      </c>
      <c r="N61" s="2">
        <f>ROUND(E61 * IFERROR(XLOOKUP(B61, DM_DinhMuc_TT20!$B:$B, DM_DinhMuc_TT20!$I:$I, 80000), 80000), 0)</f>
        <v/>
      </c>
      <c r="O61" s="2" t="n">
        <v>0</v>
      </c>
      <c r="P61" s="2">
        <f>K61+L61+M61+N61+O61</f>
        <v/>
      </c>
      <c r="Q61" s="2">
        <f>IF(E61&gt;0, ROUND(P61/E61, 0), 0)</f>
        <v/>
      </c>
    </row>
    <row r="62">
      <c r="A62" s="3" t="n">
        <v>58</v>
      </c>
      <c r="B62" s="3" t="inlineStr">
        <is>
          <t>NB15h</t>
        </is>
      </c>
      <c r="C62" s="3" t="inlineStr">
        <is>
          <t>Crom (VI)</t>
        </is>
      </c>
      <c r="D62" s="3" t="inlineStr">
        <is>
          <t>mg/l</t>
        </is>
      </c>
      <c r="E62" s="3" t="n">
        <v>4</v>
      </c>
      <c r="F62" s="3" t="n">
        <v>1</v>
      </c>
      <c r="G62" s="3">
        <f>IFERROR(XLOOKUP(B62, DM_DinhMuc_TT20!$B:$B, DM_DinhMuc_TT20!$F:$F, 0.8), 0.8)</f>
        <v/>
      </c>
      <c r="H62" s="3">
        <f>ROUND((G62 * 0.4 * 1.2) / IF(F62&gt;0, F62, 1), 4)</f>
        <v/>
      </c>
      <c r="I62" s="3">
        <f>ROUND(G62 * 0.6, 4)</f>
        <v/>
      </c>
      <c r="J62" s="3">
        <f>DM_GiaVatTu!$E$8</f>
        <v/>
      </c>
      <c r="K62" s="3">
        <f>ROUND((H62 + I62) * J62 * E62, 0)</f>
        <v/>
      </c>
      <c r="L62" s="3">
        <f>ROUND(E62 * 1.08 * IFERROR(XLOOKUP(B62, DM_DinhMuc_TT20!$B:$B, DM_DinhMuc_TT20!$G:$G, 150000), 150000), 0)</f>
        <v/>
      </c>
      <c r="M62" s="3">
        <f>ROUND(E62 * 1.10 * IFERROR(XLOOKUP(B62, DM_DinhMuc_TT20!$B:$B, DM_DinhMuc_TT20!$H:$H, 25000), 25000), 0)</f>
        <v/>
      </c>
      <c r="N62" s="3">
        <f>ROUND(E62 * IFERROR(XLOOKUP(B62, DM_DinhMuc_TT20!$B:$B, DM_DinhMuc_TT20!$I:$I, 80000), 80000), 0)</f>
        <v/>
      </c>
      <c r="O62" s="3" t="n">
        <v>0</v>
      </c>
      <c r="P62" s="3">
        <f>K62+L62+M62+N62+O62</f>
        <v/>
      </c>
      <c r="Q62" s="3">
        <f>IF(E62&gt;0, ROUND(P62/E62, 0), 0)</f>
        <v/>
      </c>
    </row>
    <row r="63">
      <c r="A63" s="2" t="n">
        <v>59</v>
      </c>
      <c r="B63" s="2" t="inlineStr">
        <is>
          <t>NB21</t>
        </is>
      </c>
      <c r="C63" s="2" t="inlineStr">
        <is>
          <t>Tổng Cr</t>
        </is>
      </c>
      <c r="D63" s="2" t="inlineStr">
        <is>
          <t>mg/l</t>
        </is>
      </c>
      <c r="E63" s="2" t="n">
        <v>4</v>
      </c>
      <c r="F63" s="2" t="n">
        <v>1</v>
      </c>
      <c r="G63" s="2">
        <f>IFERROR(XLOOKUP(B63, DM_DinhMuc_TT20!$B:$B, DM_DinhMuc_TT20!$F:$F, 0.8), 0.8)</f>
        <v/>
      </c>
      <c r="H63" s="2">
        <f>ROUND((G63 * 0.4 * 1.2) / IF(F63&gt;0, F63, 1), 4)</f>
        <v/>
      </c>
      <c r="I63" s="2">
        <f>ROUND(G63 * 0.6, 4)</f>
        <v/>
      </c>
      <c r="J63" s="2">
        <f>DM_GiaVatTu!$E$8</f>
        <v/>
      </c>
      <c r="K63" s="2">
        <f>ROUND((H63 + I63) * J63 * E63, 0)</f>
        <v/>
      </c>
      <c r="L63" s="2">
        <f>ROUND(E63 * 1.08 * IFERROR(XLOOKUP(B63, DM_DinhMuc_TT20!$B:$B, DM_DinhMuc_TT20!$G:$G, 150000), 150000), 0)</f>
        <v/>
      </c>
      <c r="M63" s="2">
        <f>ROUND(E63 * 1.10 * IFERROR(XLOOKUP(B63, DM_DinhMuc_TT20!$B:$B, DM_DinhMuc_TT20!$H:$H, 25000), 25000), 0)</f>
        <v/>
      </c>
      <c r="N63" s="2">
        <f>ROUND(E63 * IFERROR(XLOOKUP(B63, DM_DinhMuc_TT20!$B:$B, DM_DinhMuc_TT20!$I:$I, 80000), 80000), 0)</f>
        <v/>
      </c>
      <c r="O63" s="2" t="n">
        <v>0</v>
      </c>
      <c r="P63" s="2">
        <f>K63+L63+M63+N63+O63</f>
        <v/>
      </c>
      <c r="Q63" s="2">
        <f>IF(E63&gt;0, ROUND(P63/E63, 0), 0)</f>
        <v/>
      </c>
    </row>
    <row r="64">
      <c r="A64" s="3" t="n">
        <v>60</v>
      </c>
      <c r="B64" s="3" t="inlineStr">
        <is>
          <t>NB21</t>
        </is>
      </c>
      <c r="C64" s="3" t="inlineStr">
        <is>
          <t>Đồng</t>
        </is>
      </c>
      <c r="D64" s="3" t="inlineStr">
        <is>
          <t>mg/l</t>
        </is>
      </c>
      <c r="E64" s="3" t="n">
        <v>4</v>
      </c>
      <c r="F64" s="3" t="n">
        <v>1</v>
      </c>
      <c r="G64" s="3">
        <f>IFERROR(XLOOKUP(B64, DM_DinhMuc_TT20!$B:$B, DM_DinhMuc_TT20!$F:$F, 0.8), 0.8)</f>
        <v/>
      </c>
      <c r="H64" s="3">
        <f>ROUND((G64 * 0.4 * 1.2) / IF(F64&gt;0, F64, 1), 4)</f>
        <v/>
      </c>
      <c r="I64" s="3">
        <f>ROUND(G64 * 0.6, 4)</f>
        <v/>
      </c>
      <c r="J64" s="3">
        <f>DM_GiaVatTu!$E$8</f>
        <v/>
      </c>
      <c r="K64" s="3">
        <f>ROUND((H64 + I64) * J64 * E64, 0)</f>
        <v/>
      </c>
      <c r="L64" s="3">
        <f>ROUND(E64 * 1.08 * IFERROR(XLOOKUP(B64, DM_DinhMuc_TT20!$B:$B, DM_DinhMuc_TT20!$G:$G, 150000), 150000), 0)</f>
        <v/>
      </c>
      <c r="M64" s="3">
        <f>ROUND(E64 * 1.10 * IFERROR(XLOOKUP(B64, DM_DinhMuc_TT20!$B:$B, DM_DinhMuc_TT20!$H:$H, 25000), 25000), 0)</f>
        <v/>
      </c>
      <c r="N64" s="3">
        <f>ROUND(E64 * IFERROR(XLOOKUP(B64, DM_DinhMuc_TT20!$B:$B, DM_DinhMuc_TT20!$I:$I, 80000), 80000), 0)</f>
        <v/>
      </c>
      <c r="O64" s="3" t="n">
        <v>0</v>
      </c>
      <c r="P64" s="3">
        <f>K64+L64+M64+N64+O64</f>
        <v/>
      </c>
      <c r="Q64" s="3">
        <f>IF(E64&gt;0, ROUND(P64/E64, 0), 0)</f>
        <v/>
      </c>
    </row>
    <row r="65">
      <c r="A65" s="2" t="n">
        <v>61</v>
      </c>
      <c r="B65" s="2" t="inlineStr">
        <is>
          <t>NB21</t>
        </is>
      </c>
      <c r="C65" s="2" t="inlineStr">
        <is>
          <t>Kẽm</t>
        </is>
      </c>
      <c r="D65" s="2" t="inlineStr">
        <is>
          <t>mg/l</t>
        </is>
      </c>
      <c r="E65" s="2" t="n">
        <v>4</v>
      </c>
      <c r="F65" s="2" t="n">
        <v>1</v>
      </c>
      <c r="G65" s="2">
        <f>IFERROR(XLOOKUP(B65, DM_DinhMuc_TT20!$B:$B, DM_DinhMuc_TT20!$F:$F, 0.8), 0.8)</f>
        <v/>
      </c>
      <c r="H65" s="2">
        <f>ROUND((G65 * 0.4 * 1.2) / IF(F65&gt;0, F65, 1), 4)</f>
        <v/>
      </c>
      <c r="I65" s="2">
        <f>ROUND(G65 * 0.6, 4)</f>
        <v/>
      </c>
      <c r="J65" s="2">
        <f>DM_GiaVatTu!$E$8</f>
        <v/>
      </c>
      <c r="K65" s="2">
        <f>ROUND((H65 + I65) * J65 * E65, 0)</f>
        <v/>
      </c>
      <c r="L65" s="2">
        <f>ROUND(E65 * 1.08 * IFERROR(XLOOKUP(B65, DM_DinhMuc_TT20!$B:$B, DM_DinhMuc_TT20!$G:$G, 150000), 150000), 0)</f>
        <v/>
      </c>
      <c r="M65" s="2">
        <f>ROUND(E65 * 1.10 * IFERROR(XLOOKUP(B65, DM_DinhMuc_TT20!$B:$B, DM_DinhMuc_TT20!$H:$H, 25000), 25000), 0)</f>
        <v/>
      </c>
      <c r="N65" s="2">
        <f>ROUND(E65 * IFERROR(XLOOKUP(B65, DM_DinhMuc_TT20!$B:$B, DM_DinhMuc_TT20!$I:$I, 80000), 80000), 0)</f>
        <v/>
      </c>
      <c r="O65" s="2" t="n">
        <v>0</v>
      </c>
      <c r="P65" s="2">
        <f>K65+L65+M65+N65+O65</f>
        <v/>
      </c>
      <c r="Q65" s="2">
        <f>IF(E65&gt;0, ROUND(P65/E65, 0), 0)</f>
        <v/>
      </c>
    </row>
    <row r="66">
      <c r="A66" s="3" t="n">
        <v>62</v>
      </c>
      <c r="B66" s="3" t="inlineStr">
        <is>
          <t>NB21</t>
        </is>
      </c>
      <c r="C66" s="3" t="inlineStr">
        <is>
          <t>Mangan</t>
        </is>
      </c>
      <c r="D66" s="3" t="inlineStr">
        <is>
          <t>mg/l</t>
        </is>
      </c>
      <c r="E66" s="3" t="n">
        <v>4</v>
      </c>
      <c r="F66" s="3" t="n">
        <v>1</v>
      </c>
      <c r="G66" s="3">
        <f>IFERROR(XLOOKUP(B66, DM_DinhMuc_TT20!$B:$B, DM_DinhMuc_TT20!$F:$F, 0.8), 0.8)</f>
        <v/>
      </c>
      <c r="H66" s="3">
        <f>ROUND((G66 * 0.4 * 1.2) / IF(F66&gt;0, F66, 1), 4)</f>
        <v/>
      </c>
      <c r="I66" s="3">
        <f>ROUND(G66 * 0.6, 4)</f>
        <v/>
      </c>
      <c r="J66" s="3">
        <f>DM_GiaVatTu!$E$8</f>
        <v/>
      </c>
      <c r="K66" s="3">
        <f>ROUND((H66 + I66) * J66 * E66, 0)</f>
        <v/>
      </c>
      <c r="L66" s="3">
        <f>ROUND(E66 * 1.08 * IFERROR(XLOOKUP(B66, DM_DinhMuc_TT20!$B:$B, DM_DinhMuc_TT20!$G:$G, 150000), 150000), 0)</f>
        <v/>
      </c>
      <c r="M66" s="3">
        <f>ROUND(E66 * 1.10 * IFERROR(XLOOKUP(B66, DM_DinhMuc_TT20!$B:$B, DM_DinhMuc_TT20!$H:$H, 25000), 25000), 0)</f>
        <v/>
      </c>
      <c r="N66" s="3">
        <f>ROUND(E66 * IFERROR(XLOOKUP(B66, DM_DinhMuc_TT20!$B:$B, DM_DinhMuc_TT20!$I:$I, 80000), 80000), 0)</f>
        <v/>
      </c>
      <c r="O66" s="3" t="n">
        <v>0</v>
      </c>
      <c r="P66" s="3">
        <f>K66+L66+M66+N66+O66</f>
        <v/>
      </c>
      <c r="Q66" s="3">
        <f>IF(E66&gt;0, ROUND(P66/E66, 0), 0)</f>
        <v/>
      </c>
    </row>
    <row r="67">
      <c r="A67" s="2" t="n">
        <v>63</v>
      </c>
      <c r="B67" s="2" t="inlineStr">
        <is>
          <t>NB21</t>
        </is>
      </c>
      <c r="C67" s="2" t="inlineStr">
        <is>
          <t>Sắt</t>
        </is>
      </c>
      <c r="D67" s="2" t="inlineStr">
        <is>
          <t>mg/l</t>
        </is>
      </c>
      <c r="E67" s="2" t="n">
        <v>4</v>
      </c>
      <c r="F67" s="2" t="n">
        <v>1</v>
      </c>
      <c r="G67" s="2">
        <f>IFERROR(XLOOKUP(B67, DM_DinhMuc_TT20!$B:$B, DM_DinhMuc_TT20!$F:$F, 0.8), 0.8)</f>
        <v/>
      </c>
      <c r="H67" s="2">
        <f>ROUND((G67 * 0.4 * 1.2) / IF(F67&gt;0, F67, 1), 4)</f>
        <v/>
      </c>
      <c r="I67" s="2">
        <f>ROUND(G67 * 0.6, 4)</f>
        <v/>
      </c>
      <c r="J67" s="2">
        <f>DM_GiaVatTu!$E$8</f>
        <v/>
      </c>
      <c r="K67" s="2">
        <f>ROUND((H67 + I67) * J67 * E67, 0)</f>
        <v/>
      </c>
      <c r="L67" s="2">
        <f>ROUND(E67 * 1.08 * IFERROR(XLOOKUP(B67, DM_DinhMuc_TT20!$B:$B, DM_DinhMuc_TT20!$G:$G, 150000), 150000), 0)</f>
        <v/>
      </c>
      <c r="M67" s="2">
        <f>ROUND(E67 * 1.10 * IFERROR(XLOOKUP(B67, DM_DinhMuc_TT20!$B:$B, DM_DinhMuc_TT20!$H:$H, 25000), 25000), 0)</f>
        <v/>
      </c>
      <c r="N67" s="2">
        <f>ROUND(E67 * IFERROR(XLOOKUP(B67, DM_DinhMuc_TT20!$B:$B, DM_DinhMuc_TT20!$I:$I, 80000), 80000), 0)</f>
        <v/>
      </c>
      <c r="O67" s="2" t="n">
        <v>0</v>
      </c>
      <c r="P67" s="2">
        <f>K67+L67+M67+N67+O67</f>
        <v/>
      </c>
      <c r="Q67" s="2">
        <f>IF(E67&gt;0, ROUND(P67/E67, 0), 0)</f>
        <v/>
      </c>
    </row>
    <row r="68">
      <c r="A68" s="3" t="n">
        <v>64</v>
      </c>
      <c r="B68" s="3" t="inlineStr">
        <is>
          <t>NB21</t>
        </is>
      </c>
      <c r="C68" s="3" t="inlineStr">
        <is>
          <t>Thủy ngân</t>
        </is>
      </c>
      <c r="D68" s="3" t="inlineStr">
        <is>
          <t>mg/l</t>
        </is>
      </c>
      <c r="E68" s="3" t="n">
        <v>4</v>
      </c>
      <c r="F68" s="3" t="n">
        <v>1</v>
      </c>
      <c r="G68" s="3">
        <f>IFERROR(XLOOKUP(B68, DM_DinhMuc_TT20!$B:$B, DM_DinhMuc_TT20!$F:$F, 0.8), 0.8)</f>
        <v/>
      </c>
      <c r="H68" s="3">
        <f>ROUND((G68 * 0.4 * 1.2) / IF(F68&gt;0, F68, 1), 4)</f>
        <v/>
      </c>
      <c r="I68" s="3">
        <f>ROUND(G68 * 0.6, 4)</f>
        <v/>
      </c>
      <c r="J68" s="3">
        <f>DM_GiaVatTu!$E$8</f>
        <v/>
      </c>
      <c r="K68" s="3">
        <f>ROUND((H68 + I68) * J68 * E68, 0)</f>
        <v/>
      </c>
      <c r="L68" s="3">
        <f>ROUND(E68 * 1.08 * IFERROR(XLOOKUP(B68, DM_DinhMuc_TT20!$B:$B, DM_DinhMuc_TT20!$G:$G, 150000), 150000), 0)</f>
        <v/>
      </c>
      <c r="M68" s="3">
        <f>ROUND(E68 * 1.10 * IFERROR(XLOOKUP(B68, DM_DinhMuc_TT20!$B:$B, DM_DinhMuc_TT20!$H:$H, 25000), 25000), 0)</f>
        <v/>
      </c>
      <c r="N68" s="3">
        <f>ROUND(E68 * IFERROR(XLOOKUP(B68, DM_DinhMuc_TT20!$B:$B, DM_DinhMuc_TT20!$I:$I, 80000), 80000), 0)</f>
        <v/>
      </c>
      <c r="O68" s="3" t="n">
        <v>0</v>
      </c>
      <c r="P68" s="3">
        <f>K68+L68+M68+N68+O68</f>
        <v/>
      </c>
      <c r="Q68" s="3">
        <f>IF(E68&gt;0, ROUND(P68/E68, 0), 0)</f>
        <v/>
      </c>
    </row>
    <row r="69">
      <c r="A69" s="2" t="n">
        <v>65</v>
      </c>
      <c r="B69" s="2" t="inlineStr">
        <is>
          <t>NB10</t>
        </is>
      </c>
      <c r="C69" s="2" t="inlineStr">
        <is>
          <t>Tổng Phenol</t>
        </is>
      </c>
      <c r="D69" s="2" t="inlineStr">
        <is>
          <t>mg/l</t>
        </is>
      </c>
      <c r="E69" s="2" t="n">
        <v>4</v>
      </c>
      <c r="F69" s="2" t="n">
        <v>1</v>
      </c>
      <c r="G69" s="2">
        <f>IFERROR(XLOOKUP(B69, DM_DinhMuc_TT20!$B:$B, DM_DinhMuc_TT20!$F:$F, 0.8), 0.8)</f>
        <v/>
      </c>
      <c r="H69" s="2">
        <f>ROUND((G69 * 0.4 * 1.2) / IF(F69&gt;0, F69, 1), 4)</f>
        <v/>
      </c>
      <c r="I69" s="2">
        <f>ROUND(G69 * 0.6, 4)</f>
        <v/>
      </c>
      <c r="J69" s="2">
        <f>DM_GiaVatTu!$E$8</f>
        <v/>
      </c>
      <c r="K69" s="2">
        <f>ROUND((H69 + I69) * J69 * E69, 0)</f>
        <v/>
      </c>
      <c r="L69" s="2">
        <f>ROUND(E69 * 1.08 * IFERROR(XLOOKUP(B69, DM_DinhMuc_TT20!$B:$B, DM_DinhMuc_TT20!$G:$G, 150000), 150000), 0)</f>
        <v/>
      </c>
      <c r="M69" s="2">
        <f>ROUND(E69 * 1.10 * IFERROR(XLOOKUP(B69, DM_DinhMuc_TT20!$B:$B, DM_DinhMuc_TT20!$H:$H, 25000), 25000), 0)</f>
        <v/>
      </c>
      <c r="N69" s="2">
        <f>ROUND(E69 * IFERROR(XLOOKUP(B69, DM_DinhMuc_TT20!$B:$B, DM_DinhMuc_TT20!$I:$I, 80000), 80000), 0)</f>
        <v/>
      </c>
      <c r="O69" s="2" t="n">
        <v>0</v>
      </c>
      <c r="P69" s="2">
        <f>K69+L69+M69+N69+O69</f>
        <v/>
      </c>
      <c r="Q69" s="2">
        <f>IF(E69&gt;0, ROUND(P69/E69, 0), 0)</f>
        <v/>
      </c>
    </row>
    <row r="70">
      <c r="A70" s="3" t="n">
        <v>66</v>
      </c>
      <c r="B70" s="3" t="inlineStr">
        <is>
          <t>NB22</t>
        </is>
      </c>
      <c r="C70" s="3" t="inlineStr">
        <is>
          <t>Tổng dầu mỡ khoáng</t>
        </is>
      </c>
      <c r="D70" s="3" t="inlineStr">
        <is>
          <t>mg/l</t>
        </is>
      </c>
      <c r="E70" s="3" t="n">
        <v>4</v>
      </c>
      <c r="F70" s="3" t="n">
        <v>1</v>
      </c>
      <c r="G70" s="3">
        <f>IFERROR(XLOOKUP(B70, DM_DinhMuc_TT20!$B:$B, DM_DinhMuc_TT20!$F:$F, 0.8), 0.8)</f>
        <v/>
      </c>
      <c r="H70" s="3">
        <f>ROUND((G70 * 0.4 * 1.2) / IF(F70&gt;0, F70, 1), 4)</f>
        <v/>
      </c>
      <c r="I70" s="3">
        <f>ROUND(G70 * 0.6, 4)</f>
        <v/>
      </c>
      <c r="J70" s="3">
        <f>DM_GiaVatTu!$E$8</f>
        <v/>
      </c>
      <c r="K70" s="3">
        <f>ROUND((H70 + I70) * J70 * E70, 0)</f>
        <v/>
      </c>
      <c r="L70" s="3">
        <f>ROUND(E70 * 1.08 * IFERROR(XLOOKUP(B70, DM_DinhMuc_TT20!$B:$B, DM_DinhMuc_TT20!$G:$G, 150000), 150000), 0)</f>
        <v/>
      </c>
      <c r="M70" s="3">
        <f>ROUND(E70 * 1.10 * IFERROR(XLOOKUP(B70, DM_DinhMuc_TT20!$B:$B, DM_DinhMuc_TT20!$H:$H, 25000), 25000), 0)</f>
        <v/>
      </c>
      <c r="N70" s="3">
        <f>ROUND(E70 * IFERROR(XLOOKUP(B70, DM_DinhMuc_TT20!$B:$B, DM_DinhMuc_TT20!$I:$I, 80000), 80000), 0)</f>
        <v/>
      </c>
      <c r="O70" s="3" t="n">
        <v>0</v>
      </c>
      <c r="P70" s="3">
        <f>K70+L70+M70+N70+O70</f>
        <v/>
      </c>
      <c r="Q70" s="3">
        <f>IF(E70&gt;0, ROUND(P70/E70, 0), 0)</f>
        <v/>
      </c>
    </row>
    <row r="71">
      <c r="A71" s="2" t="n">
        <v>67</v>
      </c>
      <c r="B71" s="2" t="inlineStr">
        <is>
          <t>NB18</t>
        </is>
      </c>
      <c r="C71" s="2" t="inlineStr">
        <is>
          <t>Coliform</t>
        </is>
      </c>
      <c r="D71" s="2" t="inlineStr">
        <is>
          <t>MPN/100ml</t>
        </is>
      </c>
      <c r="E71" s="2" t="n">
        <v>4</v>
      </c>
      <c r="F71" s="2" t="n">
        <v>1</v>
      </c>
      <c r="G71" s="2">
        <f>IFERROR(XLOOKUP(B71, DM_DinhMuc_TT20!$B:$B, DM_DinhMuc_TT20!$F:$F, 0.8), 0.8)</f>
        <v/>
      </c>
      <c r="H71" s="2">
        <f>ROUND((G71 * 0.4 * 1.2) / IF(F71&gt;0, F71, 1), 4)</f>
        <v/>
      </c>
      <c r="I71" s="2">
        <f>ROUND(G71 * 0.6, 4)</f>
        <v/>
      </c>
      <c r="J71" s="2">
        <f>DM_GiaVatTu!$E$8</f>
        <v/>
      </c>
      <c r="K71" s="2">
        <f>ROUND((H71 + I71) * J71 * E71, 0)</f>
        <v/>
      </c>
      <c r="L71" s="2">
        <f>ROUND(E71 * 1.08 * IFERROR(XLOOKUP(B71, DM_DinhMuc_TT20!$B:$B, DM_DinhMuc_TT20!$G:$G, 150000), 150000), 0)</f>
        <v/>
      </c>
      <c r="M71" s="2">
        <f>ROUND(E71 * 1.10 * IFERROR(XLOOKUP(B71, DM_DinhMuc_TT20!$B:$B, DM_DinhMuc_TT20!$H:$H, 25000), 25000), 0)</f>
        <v/>
      </c>
      <c r="N71" s="2">
        <f>ROUND(E71 * IFERROR(XLOOKUP(B71, DM_DinhMuc_TT20!$B:$B, DM_DinhMuc_TT20!$I:$I, 80000), 80000), 0)</f>
        <v/>
      </c>
      <c r="O71" s="2" t="n">
        <v>0</v>
      </c>
      <c r="P71" s="2">
        <f>K71+L71+M71+N71+O71</f>
        <v/>
      </c>
      <c r="Q71" s="2">
        <f>IF(E71&gt;0, ROUND(P71/E71, 0), 0)</f>
        <v/>
      </c>
    </row>
    <row r="72">
      <c r="A72" s="3" t="n">
        <v>68</v>
      </c>
      <c r="B72" s="3" t="inlineStr">
        <is>
          <t>NB10</t>
        </is>
      </c>
      <c r="C72" s="3" t="inlineStr">
        <is>
          <t>pH</t>
        </is>
      </c>
      <c r="D72" s="3" t="inlineStr">
        <is>
          <t>-</t>
        </is>
      </c>
      <c r="E72" s="3" t="n">
        <v>10</v>
      </c>
      <c r="F72" s="3" t="n">
        <v>1</v>
      </c>
      <c r="G72" s="3">
        <f>IFERROR(XLOOKUP(B72, DM_DinhMuc_TT20!$B:$B, DM_DinhMuc_TT20!$F:$F, 0.8), 0.8)</f>
        <v/>
      </c>
      <c r="H72" s="3">
        <f>ROUND((G72 * 0.4 * 1.2) / IF(F72&gt;0, F72, 1), 4)</f>
        <v/>
      </c>
      <c r="I72" s="3">
        <f>ROUND(G72 * 0.6, 4)</f>
        <v/>
      </c>
      <c r="J72" s="3">
        <f>DM_GiaVatTu!$E$8</f>
        <v/>
      </c>
      <c r="K72" s="3">
        <f>ROUND((H72 + I72) * J72 * E72, 0)</f>
        <v/>
      </c>
      <c r="L72" s="3">
        <f>ROUND(E72 * 1.08 * IFERROR(XLOOKUP(B72, DM_DinhMuc_TT20!$B:$B, DM_DinhMuc_TT20!$G:$G, 150000), 150000), 0)</f>
        <v/>
      </c>
      <c r="M72" s="3">
        <f>ROUND(E72 * 1.10 * IFERROR(XLOOKUP(B72, DM_DinhMuc_TT20!$B:$B, DM_DinhMuc_TT20!$H:$H, 25000), 25000), 0)</f>
        <v/>
      </c>
      <c r="N72" s="3">
        <f>ROUND(E72 * IFERROR(XLOOKUP(B72, DM_DinhMuc_TT20!$B:$B, DM_DinhMuc_TT20!$I:$I, 80000), 80000), 0)</f>
        <v/>
      </c>
      <c r="O72" s="3" t="n">
        <v>0</v>
      </c>
      <c r="P72" s="3">
        <f>K72+L72+M72+N72+O72</f>
        <v/>
      </c>
      <c r="Q72" s="3">
        <f>IF(E72&gt;0, ROUND(P72/E72, 0), 0)</f>
        <v/>
      </c>
    </row>
    <row r="73">
      <c r="A73" s="2" t="n">
        <v>69</v>
      </c>
      <c r="B73" s="2" t="inlineStr">
        <is>
          <t>NB5</t>
        </is>
      </c>
      <c r="C73" s="2" t="inlineStr">
        <is>
          <t>Nhiệt độ</t>
        </is>
      </c>
      <c r="D73" s="2" t="inlineStr">
        <is>
          <t>0C</t>
        </is>
      </c>
      <c r="E73" s="2" t="n">
        <v>10</v>
      </c>
      <c r="F73" s="2" t="n">
        <v>1</v>
      </c>
      <c r="G73" s="2">
        <f>IFERROR(XLOOKUP(B73, DM_DinhMuc_TT20!$B:$B, DM_DinhMuc_TT20!$F:$F, 0.8), 0.8)</f>
        <v/>
      </c>
      <c r="H73" s="2">
        <f>ROUND((G73 * 0.4 * 1.2) / IF(F73&gt;0, F73, 1), 4)</f>
        <v/>
      </c>
      <c r="I73" s="2">
        <f>ROUND(G73 * 0.6, 4)</f>
        <v/>
      </c>
      <c r="J73" s="2">
        <f>DM_GiaVatTu!$E$8</f>
        <v/>
      </c>
      <c r="K73" s="2">
        <f>ROUND((H73 + I73) * J73 * E73, 0)</f>
        <v/>
      </c>
      <c r="L73" s="2">
        <f>ROUND(E73 * 1.08 * IFERROR(XLOOKUP(B73, DM_DinhMuc_TT20!$B:$B, DM_DinhMuc_TT20!$G:$G, 150000), 150000), 0)</f>
        <v/>
      </c>
      <c r="M73" s="2">
        <f>ROUND(E73 * 1.10 * IFERROR(XLOOKUP(B73, DM_DinhMuc_TT20!$B:$B, DM_DinhMuc_TT20!$H:$H, 25000), 25000), 0)</f>
        <v/>
      </c>
      <c r="N73" s="2">
        <f>ROUND(E73 * IFERROR(XLOOKUP(B73, DM_DinhMuc_TT20!$B:$B, DM_DinhMuc_TT20!$I:$I, 80000), 80000), 0)</f>
        <v/>
      </c>
      <c r="O73" s="2" t="n">
        <v>0</v>
      </c>
      <c r="P73" s="2">
        <f>K73+L73+M73+N73+O73</f>
        <v/>
      </c>
      <c r="Q73" s="2">
        <f>IF(E73&gt;0, ROUND(P73/E73, 0), 0)</f>
        <v/>
      </c>
    </row>
    <row r="74">
      <c r="A74" s="3" t="n">
        <v>70</v>
      </c>
      <c r="B74" s="3" t="inlineStr">
        <is>
          <t>NB11</t>
        </is>
      </c>
      <c r="C74" s="3" t="inlineStr">
        <is>
          <t>DO</t>
        </is>
      </c>
      <c r="D74" s="3" t="inlineStr">
        <is>
          <t>mg/l</t>
        </is>
      </c>
      <c r="E74" s="3" t="n">
        <v>10</v>
      </c>
      <c r="F74" s="3" t="n">
        <v>1</v>
      </c>
      <c r="G74" s="3">
        <f>IFERROR(XLOOKUP(B74, DM_DinhMuc_TT20!$B:$B, DM_DinhMuc_TT20!$F:$F, 0.8), 0.8)</f>
        <v/>
      </c>
      <c r="H74" s="3">
        <f>ROUND((G74 * 0.4 * 1.2) / IF(F74&gt;0, F74, 1), 4)</f>
        <v/>
      </c>
      <c r="I74" s="3">
        <f>ROUND(G74 * 0.6, 4)</f>
        <v/>
      </c>
      <c r="J74" s="3">
        <f>DM_GiaVatTu!$E$8</f>
        <v/>
      </c>
      <c r="K74" s="3">
        <f>ROUND((H74 + I74) * J74 * E74, 0)</f>
        <v/>
      </c>
      <c r="L74" s="3">
        <f>ROUND(E74 * 1.08 * IFERROR(XLOOKUP(B74, DM_DinhMuc_TT20!$B:$B, DM_DinhMuc_TT20!$G:$G, 150000), 150000), 0)</f>
        <v/>
      </c>
      <c r="M74" s="3">
        <f>ROUND(E74 * 1.10 * IFERROR(XLOOKUP(B74, DM_DinhMuc_TT20!$B:$B, DM_DinhMuc_TT20!$H:$H, 25000), 25000), 0)</f>
        <v/>
      </c>
      <c r="N74" s="3">
        <f>ROUND(E74 * IFERROR(XLOOKUP(B74, DM_DinhMuc_TT20!$B:$B, DM_DinhMuc_TT20!$I:$I, 80000), 80000), 0)</f>
        <v/>
      </c>
      <c r="O74" s="3" t="n">
        <v>0</v>
      </c>
      <c r="P74" s="3">
        <f>K74+L74+M74+N74+O74</f>
        <v/>
      </c>
      <c r="Q74" s="3">
        <f>IF(E74&gt;0, ROUND(P74/E74, 0), 0)</f>
        <v/>
      </c>
    </row>
    <row r="75">
      <c r="A75" s="2" t="n">
        <v>71</v>
      </c>
      <c r="B75" s="2" t="inlineStr">
        <is>
          <t>NB17a</t>
        </is>
      </c>
      <c r="C75" s="2" t="inlineStr">
        <is>
          <t>Tổng chất rắn lơ</t>
        </is>
      </c>
      <c r="D75" s="2" t="inlineStr">
        <is>
          <t>mg/l</t>
        </is>
      </c>
      <c r="E75" s="2" t="n">
        <v>10</v>
      </c>
      <c r="F75" s="2" t="n">
        <v>1</v>
      </c>
      <c r="G75" s="2">
        <f>IFERROR(XLOOKUP(B75, DM_DinhMuc_TT20!$B:$B, DM_DinhMuc_TT20!$F:$F, 0.8), 0.8)</f>
        <v/>
      </c>
      <c r="H75" s="2">
        <f>ROUND((G75 * 0.4 * 1.2) / IF(F75&gt;0, F75, 1), 4)</f>
        <v/>
      </c>
      <c r="I75" s="2">
        <f>ROUND(G75 * 0.6, 4)</f>
        <v/>
      </c>
      <c r="J75" s="2">
        <f>DM_GiaVatTu!$E$8</f>
        <v/>
      </c>
      <c r="K75" s="2">
        <f>ROUND((H75 + I75) * J75 * E75, 0)</f>
        <v/>
      </c>
      <c r="L75" s="2">
        <f>ROUND(E75 * 1.08 * IFERROR(XLOOKUP(B75, DM_DinhMuc_TT20!$B:$B, DM_DinhMuc_TT20!$G:$G, 150000), 150000), 0)</f>
        <v/>
      </c>
      <c r="M75" s="2">
        <f>ROUND(E75 * 1.10 * IFERROR(XLOOKUP(B75, DM_DinhMuc_TT20!$B:$B, DM_DinhMuc_TT20!$H:$H, 25000), 25000), 0)</f>
        <v/>
      </c>
      <c r="N75" s="2">
        <f>ROUND(E75 * IFERROR(XLOOKUP(B75, DM_DinhMuc_TT20!$B:$B, DM_DinhMuc_TT20!$I:$I, 80000), 80000), 0)</f>
        <v/>
      </c>
      <c r="O75" s="2" t="n">
        <v>0</v>
      </c>
      <c r="P75" s="2">
        <f>K75+L75+M75+N75+O75</f>
        <v/>
      </c>
      <c r="Q75" s="2">
        <f>IF(E75&gt;0, ROUND(P75/E75, 0), 0)</f>
        <v/>
      </c>
    </row>
    <row r="76">
      <c r="A76" s="3" t="n">
        <v>72</v>
      </c>
      <c r="B76" s="3" t="inlineStr">
        <is>
          <t>NB15</t>
        </is>
      </c>
      <c r="C76" s="3" t="inlineStr">
        <is>
          <t>Amoni (tính theo N)</t>
        </is>
      </c>
      <c r="D76" s="3" t="inlineStr">
        <is>
          <t>mg/l</t>
        </is>
      </c>
      <c r="E76" s="3" t="n">
        <v>10</v>
      </c>
      <c r="F76" s="3" t="n">
        <v>1</v>
      </c>
      <c r="G76" s="3">
        <f>IFERROR(XLOOKUP(B76, DM_DinhMuc_TT20!$B:$B, DM_DinhMuc_TT20!$F:$F, 0.8), 0.8)</f>
        <v/>
      </c>
      <c r="H76" s="3">
        <f>ROUND((G76 * 0.4 * 1.2) / IF(F76&gt;0, F76, 1), 4)</f>
        <v/>
      </c>
      <c r="I76" s="3">
        <f>ROUND(G76 * 0.6, 4)</f>
        <v/>
      </c>
      <c r="J76" s="3">
        <f>DM_GiaVatTu!$E$8</f>
        <v/>
      </c>
      <c r="K76" s="3">
        <f>ROUND((H76 + I76) * J76 * E76, 0)</f>
        <v/>
      </c>
      <c r="L76" s="3">
        <f>ROUND(E76 * 1.08 * IFERROR(XLOOKUP(B76, DM_DinhMuc_TT20!$B:$B, DM_DinhMuc_TT20!$G:$G, 150000), 150000), 0)</f>
        <v/>
      </c>
      <c r="M76" s="3">
        <f>ROUND(E76 * 1.10 * IFERROR(XLOOKUP(B76, DM_DinhMuc_TT20!$B:$B, DM_DinhMuc_TT20!$H:$H, 25000), 25000), 0)</f>
        <v/>
      </c>
      <c r="N76" s="3">
        <f>ROUND(E76 * IFERROR(XLOOKUP(B76, DM_DinhMuc_TT20!$B:$B, DM_DinhMuc_TT20!$I:$I, 80000), 80000), 0)</f>
        <v/>
      </c>
      <c r="O76" s="3" t="n">
        <v>0</v>
      </c>
      <c r="P76" s="3">
        <f>K76+L76+M76+N76+O76</f>
        <v/>
      </c>
      <c r="Q76" s="3">
        <f>IF(E76&gt;0, ROUND(P76/E76, 0), 0)</f>
        <v/>
      </c>
    </row>
    <row r="77">
      <c r="A77" s="2" t="n">
        <v>73</v>
      </c>
      <c r="B77" s="2" t="inlineStr">
        <is>
          <t>NB10</t>
        </is>
      </c>
      <c r="C77" s="2" t="inlineStr">
        <is>
          <t>Phosphat</t>
        </is>
      </c>
      <c r="D77" s="2" t="inlineStr">
        <is>
          <t>mg/l</t>
        </is>
      </c>
      <c r="E77" s="2" t="n">
        <v>10</v>
      </c>
      <c r="F77" s="2" t="n">
        <v>1</v>
      </c>
      <c r="G77" s="2">
        <f>IFERROR(XLOOKUP(B77, DM_DinhMuc_TT20!$B:$B, DM_DinhMuc_TT20!$F:$F, 0.8), 0.8)</f>
        <v/>
      </c>
      <c r="H77" s="2">
        <f>ROUND((G77 * 0.4 * 1.2) / IF(F77&gt;0, F77, 1), 4)</f>
        <v/>
      </c>
      <c r="I77" s="2">
        <f>ROUND(G77 * 0.6, 4)</f>
        <v/>
      </c>
      <c r="J77" s="2">
        <f>DM_GiaVatTu!$E$8</f>
        <v/>
      </c>
      <c r="K77" s="2">
        <f>ROUND((H77 + I77) * J77 * E77, 0)</f>
        <v/>
      </c>
      <c r="L77" s="2">
        <f>ROUND(E77 * 1.08 * IFERROR(XLOOKUP(B77, DM_DinhMuc_TT20!$B:$B, DM_DinhMuc_TT20!$G:$G, 150000), 150000), 0)</f>
        <v/>
      </c>
      <c r="M77" s="2">
        <f>ROUND(E77 * 1.10 * IFERROR(XLOOKUP(B77, DM_DinhMuc_TT20!$B:$B, DM_DinhMuc_TT20!$H:$H, 25000), 25000), 0)</f>
        <v/>
      </c>
      <c r="N77" s="2">
        <f>ROUND(E77 * IFERROR(XLOOKUP(B77, DM_DinhMuc_TT20!$B:$B, DM_DinhMuc_TT20!$I:$I, 80000), 80000), 0)</f>
        <v/>
      </c>
      <c r="O77" s="2" t="n">
        <v>0</v>
      </c>
      <c r="P77" s="2">
        <f>K77+L77+M77+N77+O77</f>
        <v/>
      </c>
      <c r="Q77" s="2">
        <f>IF(E77&gt;0, ROUND(P77/E77, 0), 0)</f>
        <v/>
      </c>
    </row>
    <row r="78">
      <c r="A78" s="3" t="n">
        <v>74</v>
      </c>
      <c r="B78" s="3" t="inlineStr">
        <is>
          <t>NB15</t>
        </is>
      </c>
      <c r="C78" s="3" t="inlineStr">
        <is>
          <t>Florua</t>
        </is>
      </c>
      <c r="D78" s="3" t="inlineStr">
        <is>
          <t>mg/l</t>
        </is>
      </c>
      <c r="E78" s="3" t="n">
        <v>10</v>
      </c>
      <c r="F78" s="3" t="n">
        <v>1</v>
      </c>
      <c r="G78" s="3">
        <f>IFERROR(XLOOKUP(B78, DM_DinhMuc_TT20!$B:$B, DM_DinhMuc_TT20!$F:$F, 0.8), 0.8)</f>
        <v/>
      </c>
      <c r="H78" s="3">
        <f>ROUND((G78 * 0.4 * 1.2) / IF(F78&gt;0, F78, 1), 4)</f>
        <v/>
      </c>
      <c r="I78" s="3">
        <f>ROUND(G78 * 0.6, 4)</f>
        <v/>
      </c>
      <c r="J78" s="3">
        <f>DM_GiaVatTu!$E$8</f>
        <v/>
      </c>
      <c r="K78" s="3">
        <f>ROUND((H78 + I78) * J78 * E78, 0)</f>
        <v/>
      </c>
      <c r="L78" s="3">
        <f>ROUND(E78 * 1.08 * IFERROR(XLOOKUP(B78, DM_DinhMuc_TT20!$B:$B, DM_DinhMuc_TT20!$G:$G, 150000), 150000), 0)</f>
        <v/>
      </c>
      <c r="M78" s="3">
        <f>ROUND(E78 * 1.10 * IFERROR(XLOOKUP(B78, DM_DinhMuc_TT20!$B:$B, DM_DinhMuc_TT20!$H:$H, 25000), 25000), 0)</f>
        <v/>
      </c>
      <c r="N78" s="3">
        <f>ROUND(E78 * IFERROR(XLOOKUP(B78, DM_DinhMuc_TT20!$B:$B, DM_DinhMuc_TT20!$I:$I, 80000), 80000), 0)</f>
        <v/>
      </c>
      <c r="O78" s="3" t="n">
        <v>0</v>
      </c>
      <c r="P78" s="3">
        <f>K78+L78+M78+N78+O78</f>
        <v/>
      </c>
      <c r="Q78" s="3">
        <f>IF(E78&gt;0, ROUND(P78/E78, 0), 0)</f>
        <v/>
      </c>
    </row>
    <row r="79">
      <c r="A79" s="2" t="n">
        <v>75</v>
      </c>
      <c r="B79" s="2" t="inlineStr">
        <is>
          <t>NB20</t>
        </is>
      </c>
      <c r="C79" s="2" t="inlineStr">
        <is>
          <t>Xyanua</t>
        </is>
      </c>
      <c r="D79" s="2" t="inlineStr">
        <is>
          <t>mg/l</t>
        </is>
      </c>
      <c r="E79" s="2" t="n">
        <v>10</v>
      </c>
      <c r="F79" s="2" t="n">
        <v>1</v>
      </c>
      <c r="G79" s="2">
        <f>IFERROR(XLOOKUP(B79, DM_DinhMuc_TT20!$B:$B, DM_DinhMuc_TT20!$F:$F, 0.8), 0.8)</f>
        <v/>
      </c>
      <c r="H79" s="2">
        <f>ROUND((G79 * 0.4 * 1.2) / IF(F79&gt;0, F79, 1), 4)</f>
        <v/>
      </c>
      <c r="I79" s="2">
        <f>ROUND(G79 * 0.6, 4)</f>
        <v/>
      </c>
      <c r="J79" s="2">
        <f>DM_GiaVatTu!$E$8</f>
        <v/>
      </c>
      <c r="K79" s="2">
        <f>ROUND((H79 + I79) * J79 * E79, 0)</f>
        <v/>
      </c>
      <c r="L79" s="2">
        <f>ROUND(E79 * 1.08 * IFERROR(XLOOKUP(B79, DM_DinhMuc_TT20!$B:$B, DM_DinhMuc_TT20!$G:$G, 150000), 150000), 0)</f>
        <v/>
      </c>
      <c r="M79" s="2">
        <f>ROUND(E79 * 1.10 * IFERROR(XLOOKUP(B79, DM_DinhMuc_TT20!$B:$B, DM_DinhMuc_TT20!$H:$H, 25000), 25000), 0)</f>
        <v/>
      </c>
      <c r="N79" s="2">
        <f>ROUND(E79 * IFERROR(XLOOKUP(B79, DM_DinhMuc_TT20!$B:$B, DM_DinhMuc_TT20!$I:$I, 80000), 80000), 0)</f>
        <v/>
      </c>
      <c r="O79" s="2" t="n">
        <v>0</v>
      </c>
      <c r="P79" s="2">
        <f>K79+L79+M79+N79+O79</f>
        <v/>
      </c>
      <c r="Q79" s="2">
        <f>IF(E79&gt;0, ROUND(P79/E79, 0), 0)</f>
        <v/>
      </c>
    </row>
    <row r="80">
      <c r="A80" s="3" t="n">
        <v>76</v>
      </c>
      <c r="B80" s="3" t="inlineStr">
        <is>
          <t>NB21</t>
        </is>
      </c>
      <c r="C80" s="3" t="inlineStr">
        <is>
          <t>Cd</t>
        </is>
      </c>
      <c r="D80" s="3" t="inlineStr">
        <is>
          <t>mg/l</t>
        </is>
      </c>
      <c r="E80" s="3" t="n">
        <v>10</v>
      </c>
      <c r="F80" s="3" t="n">
        <v>1</v>
      </c>
      <c r="G80" s="3">
        <f>IFERROR(XLOOKUP(B80, DM_DinhMuc_TT20!$B:$B, DM_DinhMuc_TT20!$F:$F, 0.8), 0.8)</f>
        <v/>
      </c>
      <c r="H80" s="3">
        <f>ROUND((G80 * 0.4 * 1.2) / IF(F80&gt;0, F80, 1), 4)</f>
        <v/>
      </c>
      <c r="I80" s="3">
        <f>ROUND(G80 * 0.6, 4)</f>
        <v/>
      </c>
      <c r="J80" s="3">
        <f>DM_GiaVatTu!$E$8</f>
        <v/>
      </c>
      <c r="K80" s="3">
        <f>ROUND((H80 + I80) * J80 * E80, 0)</f>
        <v/>
      </c>
      <c r="L80" s="3">
        <f>ROUND(E80 * 1.08 * IFERROR(XLOOKUP(B80, DM_DinhMuc_TT20!$B:$B, DM_DinhMuc_TT20!$G:$G, 150000), 150000), 0)</f>
        <v/>
      </c>
      <c r="M80" s="3">
        <f>ROUND(E80 * 1.10 * IFERROR(XLOOKUP(B80, DM_DinhMuc_TT20!$B:$B, DM_DinhMuc_TT20!$H:$H, 25000), 25000), 0)</f>
        <v/>
      </c>
      <c r="N80" s="3">
        <f>ROUND(E80 * IFERROR(XLOOKUP(B80, DM_DinhMuc_TT20!$B:$B, DM_DinhMuc_TT20!$I:$I, 80000), 80000), 0)</f>
        <v/>
      </c>
      <c r="O80" s="3" t="n">
        <v>0</v>
      </c>
      <c r="P80" s="3">
        <f>K80+L80+M80+N80+O80</f>
        <v/>
      </c>
      <c r="Q80" s="3">
        <f>IF(E80&gt;0, ROUND(P80/E80, 0), 0)</f>
        <v/>
      </c>
    </row>
    <row r="81">
      <c r="A81" s="2" t="n">
        <v>77</v>
      </c>
      <c r="B81" s="2" t="inlineStr">
        <is>
          <t>NB21</t>
        </is>
      </c>
      <c r="C81" s="2" t="inlineStr">
        <is>
          <t>As</t>
        </is>
      </c>
      <c r="D81" s="2" t="inlineStr">
        <is>
          <t>mg/l</t>
        </is>
      </c>
      <c r="E81" s="2" t="n">
        <v>10</v>
      </c>
      <c r="F81" s="2" t="n">
        <v>1</v>
      </c>
      <c r="G81" s="2">
        <f>IFERROR(XLOOKUP(B81, DM_DinhMuc_TT20!$B:$B, DM_DinhMuc_TT20!$F:$F, 0.8), 0.8)</f>
        <v/>
      </c>
      <c r="H81" s="2">
        <f>ROUND((G81 * 0.4 * 1.2) / IF(F81&gt;0, F81, 1), 4)</f>
        <v/>
      </c>
      <c r="I81" s="2">
        <f>ROUND(G81 * 0.6, 4)</f>
        <v/>
      </c>
      <c r="J81" s="2">
        <f>DM_GiaVatTu!$E$8</f>
        <v/>
      </c>
      <c r="K81" s="2">
        <f>ROUND((H81 + I81) * J81 * E81, 0)</f>
        <v/>
      </c>
      <c r="L81" s="2">
        <f>ROUND(E81 * 1.08 * IFERROR(XLOOKUP(B81, DM_DinhMuc_TT20!$B:$B, DM_DinhMuc_TT20!$G:$G, 150000), 150000), 0)</f>
        <v/>
      </c>
      <c r="M81" s="2">
        <f>ROUND(E81 * 1.10 * IFERROR(XLOOKUP(B81, DM_DinhMuc_TT20!$B:$B, DM_DinhMuc_TT20!$H:$H, 25000), 25000), 0)</f>
        <v/>
      </c>
      <c r="N81" s="2">
        <f>ROUND(E81 * IFERROR(XLOOKUP(B81, DM_DinhMuc_TT20!$B:$B, DM_DinhMuc_TT20!$I:$I, 80000), 80000), 0)</f>
        <v/>
      </c>
      <c r="O81" s="2" t="n">
        <v>0</v>
      </c>
      <c r="P81" s="2">
        <f>K81+L81+M81+N81+O81</f>
        <v/>
      </c>
      <c r="Q81" s="2">
        <f>IF(E81&gt;0, ROUND(P81/E81, 0), 0)</f>
        <v/>
      </c>
    </row>
    <row r="82">
      <c r="A82" s="3" t="n">
        <v>78</v>
      </c>
      <c r="B82" s="3" t="inlineStr">
        <is>
          <t>NB21</t>
        </is>
      </c>
      <c r="C82" s="3" t="inlineStr">
        <is>
          <t>Hg</t>
        </is>
      </c>
      <c r="D82" s="3" t="inlineStr">
        <is>
          <t>mg/l</t>
        </is>
      </c>
      <c r="E82" s="3" t="n">
        <v>10</v>
      </c>
      <c r="F82" s="3" t="n">
        <v>1</v>
      </c>
      <c r="G82" s="3">
        <f>IFERROR(XLOOKUP(B82, DM_DinhMuc_TT20!$B:$B, DM_DinhMuc_TT20!$F:$F, 0.8), 0.8)</f>
        <v/>
      </c>
      <c r="H82" s="3">
        <f>ROUND((G82 * 0.4 * 1.2) / IF(F82&gt;0, F82, 1), 4)</f>
        <v/>
      </c>
      <c r="I82" s="3">
        <f>ROUND(G82 * 0.6, 4)</f>
        <v/>
      </c>
      <c r="J82" s="3">
        <f>DM_GiaVatTu!$E$8</f>
        <v/>
      </c>
      <c r="K82" s="3">
        <f>ROUND((H82 + I82) * J82 * E82, 0)</f>
        <v/>
      </c>
      <c r="L82" s="3">
        <f>ROUND(E82 * 1.08 * IFERROR(XLOOKUP(B82, DM_DinhMuc_TT20!$B:$B, DM_DinhMuc_TT20!$G:$G, 150000), 150000), 0)</f>
        <v/>
      </c>
      <c r="M82" s="3">
        <f>ROUND(E82 * 1.10 * IFERROR(XLOOKUP(B82, DM_DinhMuc_TT20!$B:$B, DM_DinhMuc_TT20!$H:$H, 25000), 25000), 0)</f>
        <v/>
      </c>
      <c r="N82" s="3">
        <f>ROUND(E82 * IFERROR(XLOOKUP(B82, DM_DinhMuc_TT20!$B:$B, DM_DinhMuc_TT20!$I:$I, 80000), 80000), 0)</f>
        <v/>
      </c>
      <c r="O82" s="3" t="n">
        <v>0</v>
      </c>
      <c r="P82" s="3">
        <f>K82+L82+M82+N82+O82</f>
        <v/>
      </c>
      <c r="Q82" s="3">
        <f>IF(E82&gt;0, ROUND(P82/E82, 0), 0)</f>
        <v/>
      </c>
    </row>
    <row r="83">
      <c r="A83" s="2" t="n">
        <v>79</v>
      </c>
      <c r="B83" s="2" t="inlineStr">
        <is>
          <t>NB21</t>
        </is>
      </c>
      <c r="C83" s="2" t="inlineStr">
        <is>
          <t>Cu</t>
        </is>
      </c>
      <c r="D83" s="2" t="inlineStr">
        <is>
          <t>mg/l</t>
        </is>
      </c>
      <c r="E83" s="2" t="n">
        <v>10</v>
      </c>
      <c r="F83" s="2" t="n">
        <v>1</v>
      </c>
      <c r="G83" s="2">
        <f>IFERROR(XLOOKUP(B83, DM_DinhMuc_TT20!$B:$B, DM_DinhMuc_TT20!$F:$F, 0.8), 0.8)</f>
        <v/>
      </c>
      <c r="H83" s="2">
        <f>ROUND((G83 * 0.4 * 1.2) / IF(F83&gt;0, F83, 1), 4)</f>
        <v/>
      </c>
      <c r="I83" s="2">
        <f>ROUND(G83 * 0.6, 4)</f>
        <v/>
      </c>
      <c r="J83" s="2">
        <f>DM_GiaVatTu!$E$8</f>
        <v/>
      </c>
      <c r="K83" s="2">
        <f>ROUND((H83 + I83) * J83 * E83, 0)</f>
        <v/>
      </c>
      <c r="L83" s="2">
        <f>ROUND(E83 * 1.08 * IFERROR(XLOOKUP(B83, DM_DinhMuc_TT20!$B:$B, DM_DinhMuc_TT20!$G:$G, 150000), 150000), 0)</f>
        <v/>
      </c>
      <c r="M83" s="2">
        <f>ROUND(E83 * 1.10 * IFERROR(XLOOKUP(B83, DM_DinhMuc_TT20!$B:$B, DM_DinhMuc_TT20!$H:$H, 25000), 25000), 0)</f>
        <v/>
      </c>
      <c r="N83" s="2">
        <f>ROUND(E83 * IFERROR(XLOOKUP(B83, DM_DinhMuc_TT20!$B:$B, DM_DinhMuc_TT20!$I:$I, 80000), 80000), 0)</f>
        <v/>
      </c>
      <c r="O83" s="2" t="n">
        <v>0</v>
      </c>
      <c r="P83" s="2">
        <f>K83+L83+M83+N83+O83</f>
        <v/>
      </c>
      <c r="Q83" s="2">
        <f>IF(E83&gt;0, ROUND(P83/E83, 0), 0)</f>
        <v/>
      </c>
    </row>
    <row r="84">
      <c r="A84" s="3" t="n">
        <v>80</v>
      </c>
      <c r="B84" s="3" t="inlineStr">
        <is>
          <t>NB21</t>
        </is>
      </c>
      <c r="C84" s="3" t="inlineStr">
        <is>
          <t>Pb</t>
        </is>
      </c>
      <c r="D84" s="3" t="inlineStr">
        <is>
          <t>mg/l</t>
        </is>
      </c>
      <c r="E84" s="3" t="n">
        <v>10</v>
      </c>
      <c r="F84" s="3" t="n">
        <v>1</v>
      </c>
      <c r="G84" s="3">
        <f>IFERROR(XLOOKUP(B84, DM_DinhMuc_TT20!$B:$B, DM_DinhMuc_TT20!$F:$F, 0.8), 0.8)</f>
        <v/>
      </c>
      <c r="H84" s="3">
        <f>ROUND((G84 * 0.4 * 1.2) / IF(F84&gt;0, F84, 1), 4)</f>
        <v/>
      </c>
      <c r="I84" s="3">
        <f>ROUND(G84 * 0.6, 4)</f>
        <v/>
      </c>
      <c r="J84" s="3">
        <f>DM_GiaVatTu!$E$8</f>
        <v/>
      </c>
      <c r="K84" s="3">
        <f>ROUND((H84 + I84) * J84 * E84, 0)</f>
        <v/>
      </c>
      <c r="L84" s="3">
        <f>ROUND(E84 * 1.08 * IFERROR(XLOOKUP(B84, DM_DinhMuc_TT20!$B:$B, DM_DinhMuc_TT20!$G:$G, 150000), 150000), 0)</f>
        <v/>
      </c>
      <c r="M84" s="3">
        <f>ROUND(E84 * 1.10 * IFERROR(XLOOKUP(B84, DM_DinhMuc_TT20!$B:$B, DM_DinhMuc_TT20!$H:$H, 25000), 25000), 0)</f>
        <v/>
      </c>
      <c r="N84" s="3">
        <f>ROUND(E84 * IFERROR(XLOOKUP(B84, DM_DinhMuc_TT20!$B:$B, DM_DinhMuc_TT20!$I:$I, 80000), 80000), 0)</f>
        <v/>
      </c>
      <c r="O84" s="3" t="n">
        <v>0</v>
      </c>
      <c r="P84" s="3">
        <f>K84+L84+M84+N84+O84</f>
        <v/>
      </c>
      <c r="Q84" s="3">
        <f>IF(E84&gt;0, ROUND(P84/E84, 0), 0)</f>
        <v/>
      </c>
    </row>
    <row r="85">
      <c r="A85" s="2" t="n">
        <v>81</v>
      </c>
      <c r="B85" s="2" t="inlineStr">
        <is>
          <t>NB21</t>
        </is>
      </c>
      <c r="C85" s="2" t="inlineStr">
        <is>
          <t>Fe</t>
        </is>
      </c>
      <c r="D85" s="2" t="inlineStr">
        <is>
          <t>mg/l</t>
        </is>
      </c>
      <c r="E85" s="2" t="n">
        <v>10</v>
      </c>
      <c r="F85" s="2" t="n">
        <v>1</v>
      </c>
      <c r="G85" s="2">
        <f>IFERROR(XLOOKUP(B85, DM_DinhMuc_TT20!$B:$B, DM_DinhMuc_TT20!$F:$F, 0.8), 0.8)</f>
        <v/>
      </c>
      <c r="H85" s="2">
        <f>ROUND((G85 * 0.4 * 1.2) / IF(F85&gt;0, F85, 1), 4)</f>
        <v/>
      </c>
      <c r="I85" s="2">
        <f>ROUND(G85 * 0.6, 4)</f>
        <v/>
      </c>
      <c r="J85" s="2">
        <f>DM_GiaVatTu!$E$8</f>
        <v/>
      </c>
      <c r="K85" s="2">
        <f>ROUND((H85 + I85) * J85 * E85, 0)</f>
        <v/>
      </c>
      <c r="L85" s="2">
        <f>ROUND(E85 * 1.08 * IFERROR(XLOOKUP(B85, DM_DinhMuc_TT20!$B:$B, DM_DinhMuc_TT20!$G:$G, 150000), 150000), 0)</f>
        <v/>
      </c>
      <c r="M85" s="2">
        <f>ROUND(E85 * 1.10 * IFERROR(XLOOKUP(B85, DM_DinhMuc_TT20!$B:$B, DM_DinhMuc_TT20!$H:$H, 25000), 25000), 0)</f>
        <v/>
      </c>
      <c r="N85" s="2">
        <f>ROUND(E85 * IFERROR(XLOOKUP(B85, DM_DinhMuc_TT20!$B:$B, DM_DinhMuc_TT20!$I:$I, 80000), 80000), 0)</f>
        <v/>
      </c>
      <c r="O85" s="2" t="n">
        <v>0</v>
      </c>
      <c r="P85" s="2">
        <f>K85+L85+M85+N85+O85</f>
        <v/>
      </c>
      <c r="Q85" s="2">
        <f>IF(E85&gt;0, ROUND(P85/E85, 0), 0)</f>
        <v/>
      </c>
    </row>
    <row r="86">
      <c r="A86" s="3" t="n">
        <v>82</v>
      </c>
      <c r="B86" s="3" t="inlineStr">
        <is>
          <t>NB21</t>
        </is>
      </c>
      <c r="C86" s="3" t="inlineStr">
        <is>
          <t>Zn</t>
        </is>
      </c>
      <c r="D86" s="3" t="inlineStr">
        <is>
          <t>mg/l</t>
        </is>
      </c>
      <c r="E86" s="3" t="n">
        <v>10</v>
      </c>
      <c r="F86" s="3" t="n">
        <v>1</v>
      </c>
      <c r="G86" s="3">
        <f>IFERROR(XLOOKUP(B86, DM_DinhMuc_TT20!$B:$B, DM_DinhMuc_TT20!$F:$F, 0.8), 0.8)</f>
        <v/>
      </c>
      <c r="H86" s="3">
        <f>ROUND((G86 * 0.4 * 1.2) / IF(F86&gt;0, F86, 1), 4)</f>
        <v/>
      </c>
      <c r="I86" s="3">
        <f>ROUND(G86 * 0.6, 4)</f>
        <v/>
      </c>
      <c r="J86" s="3">
        <f>DM_GiaVatTu!$E$8</f>
        <v/>
      </c>
      <c r="K86" s="3">
        <f>ROUND((H86 + I86) * J86 * E86, 0)</f>
        <v/>
      </c>
      <c r="L86" s="3">
        <f>ROUND(E86 * 1.08 * IFERROR(XLOOKUP(B86, DM_DinhMuc_TT20!$B:$B, DM_DinhMuc_TT20!$G:$G, 150000), 150000), 0)</f>
        <v/>
      </c>
      <c r="M86" s="3">
        <f>ROUND(E86 * 1.10 * IFERROR(XLOOKUP(B86, DM_DinhMuc_TT20!$B:$B, DM_DinhMuc_TT20!$H:$H, 25000), 25000), 0)</f>
        <v/>
      </c>
      <c r="N86" s="3">
        <f>ROUND(E86 * IFERROR(XLOOKUP(B86, DM_DinhMuc_TT20!$B:$B, DM_DinhMuc_TT20!$I:$I, 80000), 80000), 0)</f>
        <v/>
      </c>
      <c r="O86" s="3" t="n">
        <v>0</v>
      </c>
      <c r="P86" s="3">
        <f>K86+L86+M86+N86+O86</f>
        <v/>
      </c>
      <c r="Q86" s="3">
        <f>IF(E86&gt;0, ROUND(P86/E86, 0), 0)</f>
        <v/>
      </c>
    </row>
    <row r="87">
      <c r="A87" s="2" t="n">
        <v>83</v>
      </c>
      <c r="B87" s="2" t="inlineStr">
        <is>
          <t>NB21</t>
        </is>
      </c>
      <c r="C87" s="2" t="inlineStr">
        <is>
          <t>Tổng Cr</t>
        </is>
      </c>
      <c r="D87" s="2" t="inlineStr">
        <is>
          <t>mg/l</t>
        </is>
      </c>
      <c r="E87" s="2" t="n">
        <v>10</v>
      </c>
      <c r="F87" s="2" t="n">
        <v>1</v>
      </c>
      <c r="G87" s="2">
        <f>IFERROR(XLOOKUP(B87, DM_DinhMuc_TT20!$B:$B, DM_DinhMuc_TT20!$F:$F, 0.8), 0.8)</f>
        <v/>
      </c>
      <c r="H87" s="2">
        <f>ROUND((G87 * 0.4 * 1.2) / IF(F87&gt;0, F87, 1), 4)</f>
        <v/>
      </c>
      <c r="I87" s="2">
        <f>ROUND(G87 * 0.6, 4)</f>
        <v/>
      </c>
      <c r="J87" s="2">
        <f>DM_GiaVatTu!$E$8</f>
        <v/>
      </c>
      <c r="K87" s="2">
        <f>ROUND((H87 + I87) * J87 * E87, 0)</f>
        <v/>
      </c>
      <c r="L87" s="2">
        <f>ROUND(E87 * 1.08 * IFERROR(XLOOKUP(B87, DM_DinhMuc_TT20!$B:$B, DM_DinhMuc_TT20!$G:$G, 150000), 150000), 0)</f>
        <v/>
      </c>
      <c r="M87" s="2">
        <f>ROUND(E87 * 1.10 * IFERROR(XLOOKUP(B87, DM_DinhMuc_TT20!$B:$B, DM_DinhMuc_TT20!$H:$H, 25000), 25000), 0)</f>
        <v/>
      </c>
      <c r="N87" s="2">
        <f>ROUND(E87 * IFERROR(XLOOKUP(B87, DM_DinhMuc_TT20!$B:$B, DM_DinhMuc_TT20!$I:$I, 80000), 80000), 0)</f>
        <v/>
      </c>
      <c r="O87" s="2" t="n">
        <v>0</v>
      </c>
      <c r="P87" s="2">
        <f>K87+L87+M87+N87+O87</f>
        <v/>
      </c>
      <c r="Q87" s="2">
        <f>IF(E87&gt;0, ROUND(P87/E87, 0), 0)</f>
        <v/>
      </c>
    </row>
    <row r="88">
      <c r="A88" s="3" t="n">
        <v>84</v>
      </c>
      <c r="B88" s="3" t="inlineStr">
        <is>
          <t>NB21</t>
        </is>
      </c>
      <c r="C88" s="3" t="inlineStr">
        <is>
          <t>Mn</t>
        </is>
      </c>
      <c r="D88" s="3" t="inlineStr">
        <is>
          <t>mg/l</t>
        </is>
      </c>
      <c r="E88" s="3" t="n">
        <v>10</v>
      </c>
      <c r="F88" s="3" t="n">
        <v>1</v>
      </c>
      <c r="G88" s="3">
        <f>IFERROR(XLOOKUP(B88, DM_DinhMuc_TT20!$B:$B, DM_DinhMuc_TT20!$F:$F, 0.8), 0.8)</f>
        <v/>
      </c>
      <c r="H88" s="3">
        <f>ROUND((G88 * 0.4 * 1.2) / IF(F88&gt;0, F88, 1), 4)</f>
        <v/>
      </c>
      <c r="I88" s="3">
        <f>ROUND(G88 * 0.6, 4)</f>
        <v/>
      </c>
      <c r="J88" s="3">
        <f>DM_GiaVatTu!$E$8</f>
        <v/>
      </c>
      <c r="K88" s="3">
        <f>ROUND((H88 + I88) * J88 * E88, 0)</f>
        <v/>
      </c>
      <c r="L88" s="3">
        <f>ROUND(E88 * 1.08 * IFERROR(XLOOKUP(B88, DM_DinhMuc_TT20!$B:$B, DM_DinhMuc_TT20!$G:$G, 150000), 150000), 0)</f>
        <v/>
      </c>
      <c r="M88" s="3">
        <f>ROUND(E88 * 1.10 * IFERROR(XLOOKUP(B88, DM_DinhMuc_TT20!$B:$B, DM_DinhMuc_TT20!$H:$H, 25000), 25000), 0)</f>
        <v/>
      </c>
      <c r="N88" s="3">
        <f>ROUND(E88 * IFERROR(XLOOKUP(B88, DM_DinhMuc_TT20!$B:$B, DM_DinhMuc_TT20!$I:$I, 80000), 80000), 0)</f>
        <v/>
      </c>
      <c r="O88" s="3" t="n">
        <v>0</v>
      </c>
      <c r="P88" s="3">
        <f>K88+L88+M88+N88+O88</f>
        <v/>
      </c>
      <c r="Q88" s="3">
        <f>IF(E88&gt;0, ROUND(P88/E88, 0), 0)</f>
        <v/>
      </c>
    </row>
    <row r="89">
      <c r="A89" s="2" t="n">
        <v>85</v>
      </c>
      <c r="B89" s="2" t="inlineStr">
        <is>
          <t>NB21</t>
        </is>
      </c>
      <c r="C89" s="2" t="inlineStr">
        <is>
          <t>Cr VI</t>
        </is>
      </c>
      <c r="D89" s="2" t="inlineStr">
        <is>
          <t>mg/l</t>
        </is>
      </c>
      <c r="E89" s="2" t="n">
        <v>10</v>
      </c>
      <c r="F89" s="2" t="n">
        <v>1</v>
      </c>
      <c r="G89" s="2">
        <f>IFERROR(XLOOKUP(B89, DM_DinhMuc_TT20!$B:$B, DM_DinhMuc_TT20!$F:$F, 0.8), 0.8)</f>
        <v/>
      </c>
      <c r="H89" s="2">
        <f>ROUND((G89 * 0.4 * 1.2) / IF(F89&gt;0, F89, 1), 4)</f>
        <v/>
      </c>
      <c r="I89" s="2">
        <f>ROUND(G89 * 0.6, 4)</f>
        <v/>
      </c>
      <c r="J89" s="2">
        <f>DM_GiaVatTu!$E$8</f>
        <v/>
      </c>
      <c r="K89" s="2">
        <f>ROUND((H89 + I89) * J89 * E89, 0)</f>
        <v/>
      </c>
      <c r="L89" s="2">
        <f>ROUND(E89 * 1.08 * IFERROR(XLOOKUP(B89, DM_DinhMuc_TT20!$B:$B, DM_DinhMuc_TT20!$G:$G, 150000), 150000), 0)</f>
        <v/>
      </c>
      <c r="M89" s="2">
        <f>ROUND(E89 * 1.10 * IFERROR(XLOOKUP(B89, DM_DinhMuc_TT20!$B:$B, DM_DinhMuc_TT20!$H:$H, 25000), 25000), 0)</f>
        <v/>
      </c>
      <c r="N89" s="2">
        <f>ROUND(E89 * IFERROR(XLOOKUP(B89, DM_DinhMuc_TT20!$B:$B, DM_DinhMuc_TT20!$I:$I, 80000), 80000), 0)</f>
        <v/>
      </c>
      <c r="O89" s="2" t="n">
        <v>0</v>
      </c>
      <c r="P89" s="2">
        <f>K89+L89+M89+N89+O89</f>
        <v/>
      </c>
      <c r="Q89" s="2">
        <f>IF(E89&gt;0, ROUND(P89/E89, 0), 0)</f>
        <v/>
      </c>
    </row>
    <row r="90">
      <c r="A90" s="3" t="n">
        <v>86</v>
      </c>
      <c r="B90" s="3" t="inlineStr">
        <is>
          <t>NB10</t>
        </is>
      </c>
      <c r="C90" s="3" t="inlineStr">
        <is>
          <t>Tổng Phenol</t>
        </is>
      </c>
      <c r="D90" s="3" t="inlineStr">
        <is>
          <t>mg/l</t>
        </is>
      </c>
      <c r="E90" s="3" t="n">
        <v>10</v>
      </c>
      <c r="F90" s="3" t="n">
        <v>1</v>
      </c>
      <c r="G90" s="3">
        <f>IFERROR(XLOOKUP(B90, DM_DinhMuc_TT20!$B:$B, DM_DinhMuc_TT20!$F:$F, 0.8), 0.8)</f>
        <v/>
      </c>
      <c r="H90" s="3">
        <f>ROUND((G90 * 0.4 * 1.2) / IF(F90&gt;0, F90, 1), 4)</f>
        <v/>
      </c>
      <c r="I90" s="3">
        <f>ROUND(G90 * 0.6, 4)</f>
        <v/>
      </c>
      <c r="J90" s="3">
        <f>DM_GiaVatTu!$E$8</f>
        <v/>
      </c>
      <c r="K90" s="3">
        <f>ROUND((H90 + I90) * J90 * E90, 0)</f>
        <v/>
      </c>
      <c r="L90" s="3">
        <f>ROUND(E90 * 1.08 * IFERROR(XLOOKUP(B90, DM_DinhMuc_TT20!$B:$B, DM_DinhMuc_TT20!$G:$G, 150000), 150000), 0)</f>
        <v/>
      </c>
      <c r="M90" s="3">
        <f>ROUND(E90 * 1.10 * IFERROR(XLOOKUP(B90, DM_DinhMuc_TT20!$B:$B, DM_DinhMuc_TT20!$H:$H, 25000), 25000), 0)</f>
        <v/>
      </c>
      <c r="N90" s="3">
        <f>ROUND(E90 * IFERROR(XLOOKUP(B90, DM_DinhMuc_TT20!$B:$B, DM_DinhMuc_TT20!$I:$I, 80000), 80000), 0)</f>
        <v/>
      </c>
      <c r="O90" s="3" t="n">
        <v>0</v>
      </c>
      <c r="P90" s="3">
        <f>K90+L90+M90+N90+O90</f>
        <v/>
      </c>
      <c r="Q90" s="3">
        <f>IF(E90&gt;0, ROUND(P90/E90, 0), 0)</f>
        <v/>
      </c>
    </row>
    <row r="91">
      <c r="A91" s="2" t="n">
        <v>87</v>
      </c>
      <c r="B91" s="2" t="inlineStr">
        <is>
          <t>NB22</t>
        </is>
      </c>
      <c r="C91" s="2" t="inlineStr">
        <is>
          <t>Tổng dầu mỡ khoáng</t>
        </is>
      </c>
      <c r="D91" s="2" t="inlineStr">
        <is>
          <t>mg/l</t>
        </is>
      </c>
      <c r="E91" s="2" t="n">
        <v>10</v>
      </c>
      <c r="F91" s="2" t="n">
        <v>1</v>
      </c>
      <c r="G91" s="2">
        <f>IFERROR(XLOOKUP(B91, DM_DinhMuc_TT20!$B:$B, DM_DinhMuc_TT20!$F:$F, 0.8), 0.8)</f>
        <v/>
      </c>
      <c r="H91" s="2">
        <f>ROUND((G91 * 0.4 * 1.2) / IF(F91&gt;0, F91, 1), 4)</f>
        <v/>
      </c>
      <c r="I91" s="2">
        <f>ROUND(G91 * 0.6, 4)</f>
        <v/>
      </c>
      <c r="J91" s="2">
        <f>DM_GiaVatTu!$E$8</f>
        <v/>
      </c>
      <c r="K91" s="2">
        <f>ROUND((H91 + I91) * J91 * E91, 0)</f>
        <v/>
      </c>
      <c r="L91" s="2">
        <f>ROUND(E91 * 1.08 * IFERROR(XLOOKUP(B91, DM_DinhMuc_TT20!$B:$B, DM_DinhMuc_TT20!$G:$G, 150000), 150000), 0)</f>
        <v/>
      </c>
      <c r="M91" s="2">
        <f>ROUND(E91 * 1.10 * IFERROR(XLOOKUP(B91, DM_DinhMuc_TT20!$B:$B, DM_DinhMuc_TT20!$H:$H, 25000), 25000), 0)</f>
        <v/>
      </c>
      <c r="N91" s="2">
        <f>ROUND(E91 * IFERROR(XLOOKUP(B91, DM_DinhMuc_TT20!$B:$B, DM_DinhMuc_TT20!$I:$I, 80000), 80000), 0)</f>
        <v/>
      </c>
      <c r="O91" s="2" t="n">
        <v>0</v>
      </c>
      <c r="P91" s="2">
        <f>K91+L91+M91+N91+O91</f>
        <v/>
      </c>
      <c r="Q91" s="2">
        <f>IF(E91&gt;0, ROUND(P91/E91, 0), 0)</f>
        <v/>
      </c>
    </row>
    <row r="92">
      <c r="A92" s="3" t="n">
        <v>88</v>
      </c>
      <c r="B92" s="3" t="inlineStr">
        <is>
          <t>NB18</t>
        </is>
      </c>
      <c r="C92" s="3" t="inlineStr">
        <is>
          <t>Coliform</t>
        </is>
      </c>
      <c r="D92" s="3" t="inlineStr">
        <is>
          <t>MPN/100ml</t>
        </is>
      </c>
      <c r="E92" s="3" t="n">
        <v>10</v>
      </c>
      <c r="F92" s="3" t="n">
        <v>1</v>
      </c>
      <c r="G92" s="3">
        <f>IFERROR(XLOOKUP(B92, DM_DinhMuc_TT20!$B:$B, DM_DinhMuc_TT20!$F:$F, 0.8), 0.8)</f>
        <v/>
      </c>
      <c r="H92" s="3">
        <f>ROUND((G92 * 0.4 * 1.2) / IF(F92&gt;0, F92, 1), 4)</f>
        <v/>
      </c>
      <c r="I92" s="3">
        <f>ROUND(G92 * 0.6, 4)</f>
        <v/>
      </c>
      <c r="J92" s="3">
        <f>DM_GiaVatTu!$E$8</f>
        <v/>
      </c>
      <c r="K92" s="3">
        <f>ROUND((H92 + I92) * J92 * E92, 0)</f>
        <v/>
      </c>
      <c r="L92" s="3">
        <f>ROUND(E92 * 1.08 * IFERROR(XLOOKUP(B92, DM_DinhMuc_TT20!$B:$B, DM_DinhMuc_TT20!$G:$G, 150000), 150000), 0)</f>
        <v/>
      </c>
      <c r="M92" s="3">
        <f>ROUND(E92 * 1.10 * IFERROR(XLOOKUP(B92, DM_DinhMuc_TT20!$B:$B, DM_DinhMuc_TT20!$H:$H, 25000), 25000), 0)</f>
        <v/>
      </c>
      <c r="N92" s="3">
        <f>ROUND(E92 * IFERROR(XLOOKUP(B92, DM_DinhMuc_TT20!$B:$B, DM_DinhMuc_TT20!$I:$I, 80000), 80000), 0)</f>
        <v/>
      </c>
      <c r="O92" s="3" t="n">
        <v>0</v>
      </c>
      <c r="P92" s="3">
        <f>K92+L92+M92+N92+O92</f>
        <v/>
      </c>
      <c r="Q92" s="3">
        <f>IF(E92&gt;0, ROUND(P92/E92, 0), 0)</f>
        <v/>
      </c>
    </row>
    <row r="93">
      <c r="A93" s="2" t="n">
        <v>89</v>
      </c>
      <c r="B93" s="2" t="inlineStr">
        <is>
          <t>NB10</t>
        </is>
      </c>
      <c r="C93" s="2" t="inlineStr">
        <is>
          <t>Phiêu sinh thực vật</t>
        </is>
      </c>
      <c r="D93" s="2" t="inlineStr"/>
      <c r="E93" s="2" t="n">
        <v>5</v>
      </c>
      <c r="F93" s="2" t="n">
        <v>1</v>
      </c>
      <c r="G93" s="2">
        <f>IFERROR(XLOOKUP(B93, DM_DinhMuc_TT20!$B:$B, DM_DinhMuc_TT20!$F:$F, 0.8), 0.8)</f>
        <v/>
      </c>
      <c r="H93" s="2">
        <f>ROUND((G93 * 0.4 * 1.2) / IF(F93&gt;0, F93, 1), 4)</f>
        <v/>
      </c>
      <c r="I93" s="2">
        <f>ROUND(G93 * 0.6, 4)</f>
        <v/>
      </c>
      <c r="J93" s="2">
        <f>DM_GiaVatTu!$E$8</f>
        <v/>
      </c>
      <c r="K93" s="2">
        <f>ROUND((H93 + I93) * J93 * E93, 0)</f>
        <v/>
      </c>
      <c r="L93" s="2">
        <f>ROUND(E93 * 1.08 * IFERROR(XLOOKUP(B93, DM_DinhMuc_TT20!$B:$B, DM_DinhMuc_TT20!$G:$G, 150000), 150000), 0)</f>
        <v/>
      </c>
      <c r="M93" s="2">
        <f>ROUND(E93 * 1.10 * IFERROR(XLOOKUP(B93, DM_DinhMuc_TT20!$B:$B, DM_DinhMuc_TT20!$H:$H, 25000), 25000), 0)</f>
        <v/>
      </c>
      <c r="N93" s="2">
        <f>ROUND(E93 * IFERROR(XLOOKUP(B93, DM_DinhMuc_TT20!$B:$B, DM_DinhMuc_TT20!$I:$I, 80000), 80000), 0)</f>
        <v/>
      </c>
      <c r="O93" s="2" t="n">
        <v>0</v>
      </c>
      <c r="P93" s="2">
        <f>K93+L93+M93+N93+O93</f>
        <v/>
      </c>
      <c r="Q93" s="2">
        <f>IF(E93&gt;0, ROUND(P93/E93, 0), 0)</f>
        <v/>
      </c>
    </row>
    <row r="94">
      <c r="A94" s="3" t="n">
        <v>90</v>
      </c>
      <c r="B94" s="3" t="inlineStr">
        <is>
          <t>NB10</t>
        </is>
      </c>
      <c r="C94" s="3" t="inlineStr">
        <is>
          <t>Phiêu sinh động vật</t>
        </is>
      </c>
      <c r="D94" s="3" t="inlineStr"/>
      <c r="E94" s="3" t="n">
        <v>5</v>
      </c>
      <c r="F94" s="3" t="n">
        <v>1</v>
      </c>
      <c r="G94" s="3">
        <f>IFERROR(XLOOKUP(B94, DM_DinhMuc_TT20!$B:$B, DM_DinhMuc_TT20!$F:$F, 0.8), 0.8)</f>
        <v/>
      </c>
      <c r="H94" s="3">
        <f>ROUND((G94 * 0.4 * 1.2) / IF(F94&gt;0, F94, 1), 4)</f>
        <v/>
      </c>
      <c r="I94" s="3">
        <f>ROUND(G94 * 0.6, 4)</f>
        <v/>
      </c>
      <c r="J94" s="3">
        <f>DM_GiaVatTu!$E$8</f>
        <v/>
      </c>
      <c r="K94" s="3">
        <f>ROUND((H94 + I94) * J94 * E94, 0)</f>
        <v/>
      </c>
      <c r="L94" s="3">
        <f>ROUND(E94 * 1.08 * IFERROR(XLOOKUP(B94, DM_DinhMuc_TT20!$B:$B, DM_DinhMuc_TT20!$G:$G, 150000), 150000), 0)</f>
        <v/>
      </c>
      <c r="M94" s="3">
        <f>ROUND(E94 * 1.10 * IFERROR(XLOOKUP(B94, DM_DinhMuc_TT20!$B:$B, DM_DinhMuc_TT20!$H:$H, 25000), 25000), 0)</f>
        <v/>
      </c>
      <c r="N94" s="3">
        <f>ROUND(E94 * IFERROR(XLOOKUP(B94, DM_DinhMuc_TT20!$B:$B, DM_DinhMuc_TT20!$I:$I, 80000), 80000), 0)</f>
        <v/>
      </c>
      <c r="O94" s="3" t="n">
        <v>0</v>
      </c>
      <c r="P94" s="3">
        <f>K94+L94+M94+N94+O94</f>
        <v/>
      </c>
      <c r="Q94" s="3">
        <f>IF(E94&gt;0, ROUND(P94/E94, 0), 0)</f>
        <v/>
      </c>
    </row>
    <row r="95">
      <c r="A95" s="2" t="n">
        <v>91</v>
      </c>
      <c r="B95" s="2" t="inlineStr">
        <is>
          <t>NB19c</t>
        </is>
      </c>
      <c r="C95" s="2" t="inlineStr">
        <is>
          <t>Động vật đáy</t>
        </is>
      </c>
      <c r="D95" s="2" t="inlineStr"/>
      <c r="E95" s="2" t="n">
        <v>5</v>
      </c>
      <c r="F95" s="2" t="n">
        <v>1</v>
      </c>
      <c r="G95" s="2">
        <f>IFERROR(XLOOKUP(B95, DM_DinhMuc_TT20!$B:$B, DM_DinhMuc_TT20!$F:$F, 0.8), 0.8)</f>
        <v/>
      </c>
      <c r="H95" s="2">
        <f>ROUND((G95 * 0.4 * 1.2) / IF(F95&gt;0, F95, 1), 4)</f>
        <v/>
      </c>
      <c r="I95" s="2">
        <f>ROUND(G95 * 0.6, 4)</f>
        <v/>
      </c>
      <c r="J95" s="2">
        <f>DM_GiaVatTu!$E$8</f>
        <v/>
      </c>
      <c r="K95" s="2">
        <f>ROUND((H95 + I95) * J95 * E95, 0)</f>
        <v/>
      </c>
      <c r="L95" s="2">
        <f>ROUND(E95 * 1.08 * IFERROR(XLOOKUP(B95, DM_DinhMuc_TT20!$B:$B, DM_DinhMuc_TT20!$G:$G, 150000), 150000), 0)</f>
        <v/>
      </c>
      <c r="M95" s="2">
        <f>ROUND(E95 * 1.10 * IFERROR(XLOOKUP(B95, DM_DinhMuc_TT20!$B:$B, DM_DinhMuc_TT20!$H:$H, 25000), 25000), 0)</f>
        <v/>
      </c>
      <c r="N95" s="2">
        <f>ROUND(E95 * IFERROR(XLOOKUP(B95, DM_DinhMuc_TT20!$B:$B, DM_DinhMuc_TT20!$I:$I, 80000), 80000), 0)</f>
        <v/>
      </c>
      <c r="O95" s="2" t="n">
        <v>0</v>
      </c>
      <c r="P95" s="2">
        <f>K95+L95+M95+N95+O95</f>
        <v/>
      </c>
      <c r="Q95" s="2">
        <f>IF(E95&gt;0, ROUND(P95/E95, 0), 0)</f>
        <v/>
      </c>
    </row>
    <row r="96">
      <c r="A96" s="3" t="n">
        <v>92</v>
      </c>
      <c r="B96" s="3" t="inlineStr">
        <is>
          <t>NT4b</t>
        </is>
      </c>
      <c r="C96" s="3" t="inlineStr">
        <is>
          <t>Màu</t>
        </is>
      </c>
      <c r="D96" s="3" t="inlineStr">
        <is>
          <t>mg/l</t>
        </is>
      </c>
      <c r="E96" s="3" t="n">
        <v>4</v>
      </c>
      <c r="F96" s="3" t="n">
        <v>1</v>
      </c>
      <c r="G96" s="3">
        <f>IFERROR(XLOOKUP(B96, DM_DinhMuc_TT20!$B:$B, DM_DinhMuc_TT20!$F:$F, 0.8), 0.8)</f>
        <v/>
      </c>
      <c r="H96" s="3">
        <f>ROUND((G96 * 0.4 * 1.2) / IF(F96&gt;0, F96, 1), 4)</f>
        <v/>
      </c>
      <c r="I96" s="3">
        <f>ROUND(G96 * 0.6, 4)</f>
        <v/>
      </c>
      <c r="J96" s="3">
        <f>DM_GiaVatTu!$E$8</f>
        <v/>
      </c>
      <c r="K96" s="3">
        <f>ROUND((H96 + I96) * J96 * E96, 0)</f>
        <v/>
      </c>
      <c r="L96" s="3">
        <f>ROUND(E96 * 1.08 * IFERROR(XLOOKUP(B96, DM_DinhMuc_TT20!$B:$B, DM_DinhMuc_TT20!$G:$G, 150000), 150000), 0)</f>
        <v/>
      </c>
      <c r="M96" s="3">
        <f>ROUND(E96 * 1.10 * IFERROR(XLOOKUP(B96, DM_DinhMuc_TT20!$B:$B, DM_DinhMuc_TT20!$H:$H, 25000), 25000), 0)</f>
        <v/>
      </c>
      <c r="N96" s="3">
        <f>ROUND(E96 * IFERROR(XLOOKUP(B96, DM_DinhMuc_TT20!$B:$B, DM_DinhMuc_TT20!$I:$I, 80000), 80000), 0)</f>
        <v/>
      </c>
      <c r="O96" s="3" t="n">
        <v>0</v>
      </c>
      <c r="P96" s="3">
        <f>K96+L96+M96+N96+O96</f>
        <v/>
      </c>
      <c r="Q96" s="3">
        <f>IF(E96&gt;0, ROUND(P96/E96, 0), 0)</f>
        <v/>
      </c>
    </row>
    <row r="97">
      <c r="A97" s="2" t="n">
        <v>93</v>
      </c>
      <c r="B97" s="2" t="inlineStr">
        <is>
          <t>NT5a</t>
        </is>
      </c>
      <c r="C97" s="2" t="inlineStr">
        <is>
          <t>BOD5</t>
        </is>
      </c>
      <c r="D97" s="2" t="inlineStr">
        <is>
          <t>mg/l</t>
        </is>
      </c>
      <c r="E97" s="2" t="n">
        <v>4</v>
      </c>
      <c r="F97" s="2" t="n">
        <v>1</v>
      </c>
      <c r="G97" s="2">
        <f>IFERROR(XLOOKUP(B97, DM_DinhMuc_TT20!$B:$B, DM_DinhMuc_TT20!$F:$F, 0.8), 0.8)</f>
        <v/>
      </c>
      <c r="H97" s="2">
        <f>ROUND((G97 * 0.4 * 1.2) / IF(F97&gt;0, F97, 1), 4)</f>
        <v/>
      </c>
      <c r="I97" s="2">
        <f>ROUND(G97 * 0.6, 4)</f>
        <v/>
      </c>
      <c r="J97" s="2">
        <f>DM_GiaVatTu!$E$8</f>
        <v/>
      </c>
      <c r="K97" s="2">
        <f>ROUND((H97 + I97) * J97 * E97, 0)</f>
        <v/>
      </c>
      <c r="L97" s="2">
        <f>ROUND(E97 * 1.08 * IFERROR(XLOOKUP(B97, DM_DinhMuc_TT20!$B:$B, DM_DinhMuc_TT20!$G:$G, 150000), 150000), 0)</f>
        <v/>
      </c>
      <c r="M97" s="2">
        <f>ROUND(E97 * 1.10 * IFERROR(XLOOKUP(B97, DM_DinhMuc_TT20!$B:$B, DM_DinhMuc_TT20!$H:$H, 25000), 25000), 0)</f>
        <v/>
      </c>
      <c r="N97" s="2">
        <f>ROUND(E97 * IFERROR(XLOOKUP(B97, DM_DinhMuc_TT20!$B:$B, DM_DinhMuc_TT20!$I:$I, 80000), 80000), 0)</f>
        <v/>
      </c>
      <c r="O97" s="2" t="n">
        <v>0</v>
      </c>
      <c r="P97" s="2">
        <f>K97+L97+M97+N97+O97</f>
        <v/>
      </c>
      <c r="Q97" s="2">
        <f>IF(E97&gt;0, ROUND(P97/E97, 0), 0)</f>
        <v/>
      </c>
    </row>
    <row r="98">
      <c r="A98" s="3" t="n">
        <v>94</v>
      </c>
      <c r="B98" s="3" t="inlineStr">
        <is>
          <t>NT10l1</t>
        </is>
      </c>
      <c r="C98" s="3" t="inlineStr">
        <is>
          <t>Asen</t>
        </is>
      </c>
      <c r="D98" s="3" t="inlineStr">
        <is>
          <t>mg/l</t>
        </is>
      </c>
      <c r="E98" s="3" t="n">
        <v>4</v>
      </c>
      <c r="F98" s="3" t="n">
        <v>1</v>
      </c>
      <c r="G98" s="3">
        <f>IFERROR(XLOOKUP(B98, DM_DinhMuc_TT20!$B:$B, DM_DinhMuc_TT20!$F:$F, 0.8), 0.8)</f>
        <v/>
      </c>
      <c r="H98" s="3">
        <f>ROUND((G98 * 0.4 * 1.2) / IF(F98&gt;0, F98, 1), 4)</f>
        <v/>
      </c>
      <c r="I98" s="3">
        <f>ROUND(G98 * 0.6, 4)</f>
        <v/>
      </c>
      <c r="J98" s="3">
        <f>DM_GiaVatTu!$E$8</f>
        <v/>
      </c>
      <c r="K98" s="3">
        <f>ROUND((H98 + I98) * J98 * E98, 0)</f>
        <v/>
      </c>
      <c r="L98" s="3">
        <f>ROUND(E98 * 1.08 * IFERROR(XLOOKUP(B98, DM_DinhMuc_TT20!$B:$B, DM_DinhMuc_TT20!$G:$G, 150000), 150000), 0)</f>
        <v/>
      </c>
      <c r="M98" s="3">
        <f>ROUND(E98 * 1.10 * IFERROR(XLOOKUP(B98, DM_DinhMuc_TT20!$B:$B, DM_DinhMuc_TT20!$H:$H, 25000), 25000), 0)</f>
        <v/>
      </c>
      <c r="N98" s="3">
        <f>ROUND(E98 * IFERROR(XLOOKUP(B98, DM_DinhMuc_TT20!$B:$B, DM_DinhMuc_TT20!$I:$I, 80000), 80000), 0)</f>
        <v/>
      </c>
      <c r="O98" s="3" t="n">
        <v>0</v>
      </c>
      <c r="P98" s="3">
        <f>K98+L98+M98+N98+O98</f>
        <v/>
      </c>
      <c r="Q98" s="3">
        <f>IF(E98&gt;0, ROUND(P98/E98, 0), 0)</f>
        <v/>
      </c>
    </row>
    <row r="99">
      <c r="A99" s="2" t="n">
        <v>95</v>
      </c>
      <c r="B99" s="2" t="inlineStr">
        <is>
          <t>NT10l2</t>
        </is>
      </c>
      <c r="C99" s="2" t="inlineStr">
        <is>
          <t>Thủy ngân</t>
        </is>
      </c>
      <c r="D99" s="2" t="inlineStr">
        <is>
          <t>mg/l</t>
        </is>
      </c>
      <c r="E99" s="2" t="n">
        <v>4</v>
      </c>
      <c r="F99" s="2" t="n">
        <v>1</v>
      </c>
      <c r="G99" s="2">
        <f>IFERROR(XLOOKUP(B99, DM_DinhMuc_TT20!$B:$B, DM_DinhMuc_TT20!$F:$F, 0.8), 0.8)</f>
        <v/>
      </c>
      <c r="H99" s="2">
        <f>ROUND((G99 * 0.4 * 1.2) / IF(F99&gt;0, F99, 1), 4)</f>
        <v/>
      </c>
      <c r="I99" s="2">
        <f>ROUND(G99 * 0.6, 4)</f>
        <v/>
      </c>
      <c r="J99" s="2">
        <f>DM_GiaVatTu!$E$8</f>
        <v/>
      </c>
      <c r="K99" s="2">
        <f>ROUND((H99 + I99) * J99 * E99, 0)</f>
        <v/>
      </c>
      <c r="L99" s="2">
        <f>ROUND(E99 * 1.08 * IFERROR(XLOOKUP(B99, DM_DinhMuc_TT20!$B:$B, DM_DinhMuc_TT20!$G:$G, 150000), 150000), 0)</f>
        <v/>
      </c>
      <c r="M99" s="2">
        <f>ROUND(E99 * 1.10 * IFERROR(XLOOKUP(B99, DM_DinhMuc_TT20!$B:$B, DM_DinhMuc_TT20!$H:$H, 25000), 25000), 0)</f>
        <v/>
      </c>
      <c r="N99" s="2">
        <f>ROUND(E99 * IFERROR(XLOOKUP(B99, DM_DinhMuc_TT20!$B:$B, DM_DinhMuc_TT20!$I:$I, 80000), 80000), 0)</f>
        <v/>
      </c>
      <c r="O99" s="2" t="n">
        <v>0</v>
      </c>
      <c r="P99" s="2">
        <f>K99+L99+M99+N99+O99</f>
        <v/>
      </c>
      <c r="Q99" s="2">
        <f>IF(E99&gt;0, ROUND(P99/E99, 0), 0)</f>
        <v/>
      </c>
    </row>
    <row r="100">
      <c r="A100" s="3" t="n">
        <v>96</v>
      </c>
      <c r="B100" s="3" t="inlineStr">
        <is>
          <t>NT10k1</t>
        </is>
      </c>
      <c r="C100" s="3" t="inlineStr">
        <is>
          <t>Chì</t>
        </is>
      </c>
      <c r="D100" s="3" t="inlineStr">
        <is>
          <t>mg/l</t>
        </is>
      </c>
      <c r="E100" s="3" t="n">
        <v>4</v>
      </c>
      <c r="F100" s="3" t="n">
        <v>1</v>
      </c>
      <c r="G100" s="3">
        <f>IFERROR(XLOOKUP(B100, DM_DinhMuc_TT20!$B:$B, DM_DinhMuc_TT20!$F:$F, 0.8), 0.8)</f>
        <v/>
      </c>
      <c r="H100" s="3">
        <f>ROUND((G100 * 0.4 * 1.2) / IF(F100&gt;0, F100, 1), 4)</f>
        <v/>
      </c>
      <c r="I100" s="3">
        <f>ROUND(G100 * 0.6, 4)</f>
        <v/>
      </c>
      <c r="J100" s="3">
        <f>DM_GiaVatTu!$E$8</f>
        <v/>
      </c>
      <c r="K100" s="3">
        <f>ROUND((H100 + I100) * J100 * E100, 0)</f>
        <v/>
      </c>
      <c r="L100" s="3">
        <f>ROUND(E100 * 1.08 * IFERROR(XLOOKUP(B100, DM_DinhMuc_TT20!$B:$B, DM_DinhMuc_TT20!$G:$G, 150000), 150000), 0)</f>
        <v/>
      </c>
      <c r="M100" s="3">
        <f>ROUND(E100 * 1.10 * IFERROR(XLOOKUP(B100, DM_DinhMuc_TT20!$B:$B, DM_DinhMuc_TT20!$H:$H, 25000), 25000), 0)</f>
        <v/>
      </c>
      <c r="N100" s="3">
        <f>ROUND(E100 * IFERROR(XLOOKUP(B100, DM_DinhMuc_TT20!$B:$B, DM_DinhMuc_TT20!$I:$I, 80000), 80000), 0)</f>
        <v/>
      </c>
      <c r="O100" s="3" t="n">
        <v>0</v>
      </c>
      <c r="P100" s="3">
        <f>K100+L100+M100+N100+O100</f>
        <v/>
      </c>
      <c r="Q100" s="3">
        <f>IF(E100&gt;0, ROUND(P100/E100, 0), 0)</f>
        <v/>
      </c>
    </row>
    <row r="101">
      <c r="A101" s="2" t="n">
        <v>97</v>
      </c>
      <c r="B101" s="2" t="inlineStr">
        <is>
          <t>NT10k2</t>
        </is>
      </c>
      <c r="C101" s="2" t="inlineStr">
        <is>
          <t>Cadimi</t>
        </is>
      </c>
      <c r="D101" s="2" t="inlineStr">
        <is>
          <t>mg/l</t>
        </is>
      </c>
      <c r="E101" s="2" t="n">
        <v>4</v>
      </c>
      <c r="F101" s="2" t="n">
        <v>1</v>
      </c>
      <c r="G101" s="2">
        <f>IFERROR(XLOOKUP(B101, DM_DinhMuc_TT20!$B:$B, DM_DinhMuc_TT20!$F:$F, 0.8), 0.8)</f>
        <v/>
      </c>
      <c r="H101" s="2">
        <f>ROUND((G101 * 0.4 * 1.2) / IF(F101&gt;0, F101, 1), 4)</f>
        <v/>
      </c>
      <c r="I101" s="2">
        <f>ROUND(G101 * 0.6, 4)</f>
        <v/>
      </c>
      <c r="J101" s="2">
        <f>DM_GiaVatTu!$E$8</f>
        <v/>
      </c>
      <c r="K101" s="2">
        <f>ROUND((H101 + I101) * J101 * E101, 0)</f>
        <v/>
      </c>
      <c r="L101" s="2">
        <f>ROUND(E101 * 1.08 * IFERROR(XLOOKUP(B101, DM_DinhMuc_TT20!$B:$B, DM_DinhMuc_TT20!$G:$G, 150000), 150000), 0)</f>
        <v/>
      </c>
      <c r="M101" s="2">
        <f>ROUND(E101 * 1.10 * IFERROR(XLOOKUP(B101, DM_DinhMuc_TT20!$B:$B, DM_DinhMuc_TT20!$H:$H, 25000), 25000), 0)</f>
        <v/>
      </c>
      <c r="N101" s="2">
        <f>ROUND(E101 * IFERROR(XLOOKUP(B101, DM_DinhMuc_TT20!$B:$B, DM_DinhMuc_TT20!$I:$I, 80000), 80000), 0)</f>
        <v/>
      </c>
      <c r="O101" s="2" t="n">
        <v>0</v>
      </c>
      <c r="P101" s="2">
        <f>K101+L101+M101+N101+O101</f>
        <v/>
      </c>
      <c r="Q101" s="2">
        <f>IF(E101&gt;0, ROUND(P101/E101, 0), 0)</f>
        <v/>
      </c>
    </row>
    <row r="102">
      <c r="A102" s="3" t="n">
        <v>98</v>
      </c>
      <c r="B102" s="3" t="inlineStr">
        <is>
          <t>NT10m5</t>
        </is>
      </c>
      <c r="C102" s="3" t="inlineStr">
        <is>
          <t>Crom (III)</t>
        </is>
      </c>
      <c r="D102" s="3" t="inlineStr">
        <is>
          <t>mg/l</t>
        </is>
      </c>
      <c r="E102" s="3" t="n">
        <v>4</v>
      </c>
      <c r="F102" s="3" t="n">
        <v>1</v>
      </c>
      <c r="G102" s="3">
        <f>IFERROR(XLOOKUP(B102, DM_DinhMuc_TT20!$B:$B, DM_DinhMuc_TT20!$F:$F, 0.8), 0.8)</f>
        <v/>
      </c>
      <c r="H102" s="3">
        <f>ROUND((G102 * 0.4 * 1.2) / IF(F102&gt;0, F102, 1), 4)</f>
        <v/>
      </c>
      <c r="I102" s="3">
        <f>ROUND(G102 * 0.6, 4)</f>
        <v/>
      </c>
      <c r="J102" s="3">
        <f>DM_GiaVatTu!$E$8</f>
        <v/>
      </c>
      <c r="K102" s="3">
        <f>ROUND((H102 + I102) * J102 * E102, 0)</f>
        <v/>
      </c>
      <c r="L102" s="3">
        <f>ROUND(E102 * 1.08 * IFERROR(XLOOKUP(B102, DM_DinhMuc_TT20!$B:$B, DM_DinhMuc_TT20!$G:$G, 150000), 150000), 0)</f>
        <v/>
      </c>
      <c r="M102" s="3">
        <f>ROUND(E102 * 1.10 * IFERROR(XLOOKUP(B102, DM_DinhMuc_TT20!$B:$B, DM_DinhMuc_TT20!$H:$H, 25000), 25000), 0)</f>
        <v/>
      </c>
      <c r="N102" s="3">
        <f>ROUND(E102 * IFERROR(XLOOKUP(B102, DM_DinhMuc_TT20!$B:$B, DM_DinhMuc_TT20!$I:$I, 80000), 80000), 0)</f>
        <v/>
      </c>
      <c r="O102" s="3" t="n">
        <v>0</v>
      </c>
      <c r="P102" s="3">
        <f>K102+L102+M102+N102+O102</f>
        <v/>
      </c>
      <c r="Q102" s="3">
        <f>IF(E102&gt;0, ROUND(P102/E102, 0), 0)</f>
        <v/>
      </c>
    </row>
    <row r="103">
      <c r="A103" s="2" t="n">
        <v>99</v>
      </c>
      <c r="B103" s="2" t="inlineStr">
        <is>
          <t>NT10đ</t>
        </is>
      </c>
      <c r="C103" s="2" t="inlineStr">
        <is>
          <t>Crom (VI)</t>
        </is>
      </c>
      <c r="D103" s="2" t="inlineStr">
        <is>
          <t>mg/l</t>
        </is>
      </c>
      <c r="E103" s="2" t="n">
        <v>4</v>
      </c>
      <c r="F103" s="2" t="n">
        <v>1</v>
      </c>
      <c r="G103" s="2">
        <f>IFERROR(XLOOKUP(B103, DM_DinhMuc_TT20!$B:$B, DM_DinhMuc_TT20!$F:$F, 0.8), 0.8)</f>
        <v/>
      </c>
      <c r="H103" s="2">
        <f>ROUND((G103 * 0.4 * 1.2) / IF(F103&gt;0, F103, 1), 4)</f>
        <v/>
      </c>
      <c r="I103" s="2">
        <f>ROUND(G103 * 0.6, 4)</f>
        <v/>
      </c>
      <c r="J103" s="2">
        <f>DM_GiaVatTu!$E$8</f>
        <v/>
      </c>
      <c r="K103" s="2">
        <f>ROUND((H103 + I103) * J103 * E103, 0)</f>
        <v/>
      </c>
      <c r="L103" s="2">
        <f>ROUND(E103 * 1.08 * IFERROR(XLOOKUP(B103, DM_DinhMuc_TT20!$B:$B, DM_DinhMuc_TT20!$G:$G, 150000), 150000), 0)</f>
        <v/>
      </c>
      <c r="M103" s="2">
        <f>ROUND(E103 * 1.10 * IFERROR(XLOOKUP(B103, DM_DinhMuc_TT20!$B:$B, DM_DinhMuc_TT20!$H:$H, 25000), 25000), 0)</f>
        <v/>
      </c>
      <c r="N103" s="2">
        <f>ROUND(E103 * IFERROR(XLOOKUP(B103, DM_DinhMuc_TT20!$B:$B, DM_DinhMuc_TT20!$I:$I, 80000), 80000), 0)</f>
        <v/>
      </c>
      <c r="O103" s="2" t="n">
        <v>0</v>
      </c>
      <c r="P103" s="2">
        <f>K103+L103+M103+N103+O103</f>
        <v/>
      </c>
      <c r="Q103" s="2">
        <f>IF(E103&gt;0, ROUND(P103/E103, 0), 0)</f>
        <v/>
      </c>
    </row>
    <row r="104">
      <c r="A104" s="3" t="n">
        <v>100</v>
      </c>
      <c r="B104" s="3" t="inlineStr">
        <is>
          <t>NT10m1</t>
        </is>
      </c>
      <c r="C104" s="3" t="inlineStr">
        <is>
          <t>Đồng</t>
        </is>
      </c>
      <c r="D104" s="3" t="inlineStr">
        <is>
          <t>mg/l</t>
        </is>
      </c>
      <c r="E104" s="3" t="n">
        <v>4</v>
      </c>
      <c r="F104" s="3" t="n">
        <v>1</v>
      </c>
      <c r="G104" s="3">
        <f>IFERROR(XLOOKUP(B104, DM_DinhMuc_TT20!$B:$B, DM_DinhMuc_TT20!$F:$F, 0.8), 0.8)</f>
        <v/>
      </c>
      <c r="H104" s="3">
        <f>ROUND((G104 * 0.4 * 1.2) / IF(F104&gt;0, F104, 1), 4)</f>
        <v/>
      </c>
      <c r="I104" s="3">
        <f>ROUND(G104 * 0.6, 4)</f>
        <v/>
      </c>
      <c r="J104" s="3">
        <f>DM_GiaVatTu!$E$8</f>
        <v/>
      </c>
      <c r="K104" s="3">
        <f>ROUND((H104 + I104) * J104 * E104, 0)</f>
        <v/>
      </c>
      <c r="L104" s="3">
        <f>ROUND(E104 * 1.08 * IFERROR(XLOOKUP(B104, DM_DinhMuc_TT20!$B:$B, DM_DinhMuc_TT20!$G:$G, 150000), 150000), 0)</f>
        <v/>
      </c>
      <c r="M104" s="3">
        <f>ROUND(E104 * 1.10 * IFERROR(XLOOKUP(B104, DM_DinhMuc_TT20!$B:$B, DM_DinhMuc_TT20!$H:$H, 25000), 25000), 0)</f>
        <v/>
      </c>
      <c r="N104" s="3">
        <f>ROUND(E104 * IFERROR(XLOOKUP(B104, DM_DinhMuc_TT20!$B:$B, DM_DinhMuc_TT20!$I:$I, 80000), 80000), 0)</f>
        <v/>
      </c>
      <c r="O104" s="3" t="n">
        <v>0</v>
      </c>
      <c r="P104" s="3">
        <f>K104+L104+M104+N104+O104</f>
        <v/>
      </c>
      <c r="Q104" s="3">
        <f>IF(E104&gt;0, ROUND(P104/E104, 0), 0)</f>
        <v/>
      </c>
    </row>
    <row r="105">
      <c r="A105" s="2" t="n">
        <v>101</v>
      </c>
      <c r="B105" s="2" t="inlineStr">
        <is>
          <t>NT10m2</t>
        </is>
      </c>
      <c r="C105" s="2" t="inlineStr">
        <is>
          <t>Kẽm</t>
        </is>
      </c>
      <c r="D105" s="2" t="inlineStr">
        <is>
          <t>mg/l</t>
        </is>
      </c>
      <c r="E105" s="2" t="n">
        <v>4</v>
      </c>
      <c r="F105" s="2" t="n">
        <v>1</v>
      </c>
      <c r="G105" s="2">
        <f>IFERROR(XLOOKUP(B105, DM_DinhMuc_TT20!$B:$B, DM_DinhMuc_TT20!$F:$F, 0.8), 0.8)</f>
        <v/>
      </c>
      <c r="H105" s="2">
        <f>ROUND((G105 * 0.4 * 1.2) / IF(F105&gt;0, F105, 1), 4)</f>
        <v/>
      </c>
      <c r="I105" s="2">
        <f>ROUND(G105 * 0.6, 4)</f>
        <v/>
      </c>
      <c r="J105" s="2">
        <f>DM_GiaVatTu!$E$8</f>
        <v/>
      </c>
      <c r="K105" s="2">
        <f>ROUND((H105 + I105) * J105 * E105, 0)</f>
        <v/>
      </c>
      <c r="L105" s="2">
        <f>ROUND(E105 * 1.08 * IFERROR(XLOOKUP(B105, DM_DinhMuc_TT20!$B:$B, DM_DinhMuc_TT20!$G:$G, 150000), 150000), 0)</f>
        <v/>
      </c>
      <c r="M105" s="2">
        <f>ROUND(E105 * 1.10 * IFERROR(XLOOKUP(B105, DM_DinhMuc_TT20!$B:$B, DM_DinhMuc_TT20!$H:$H, 25000), 25000), 0)</f>
        <v/>
      </c>
      <c r="N105" s="2">
        <f>ROUND(E105 * IFERROR(XLOOKUP(B105, DM_DinhMuc_TT20!$B:$B, DM_DinhMuc_TT20!$I:$I, 80000), 80000), 0)</f>
        <v/>
      </c>
      <c r="O105" s="2" t="n">
        <v>0</v>
      </c>
      <c r="P105" s="2">
        <f>K105+L105+M105+N105+O105</f>
        <v/>
      </c>
      <c r="Q105" s="2">
        <f>IF(E105&gt;0, ROUND(P105/E105, 0), 0)</f>
        <v/>
      </c>
    </row>
    <row r="106">
      <c r="A106" s="3" t="n">
        <v>102</v>
      </c>
      <c r="B106" s="3" t="inlineStr">
        <is>
          <t>NT10m6</t>
        </is>
      </c>
      <c r="C106" s="3" t="inlineStr">
        <is>
          <t>Niken</t>
        </is>
      </c>
      <c r="D106" s="3" t="inlineStr">
        <is>
          <t>mg/l</t>
        </is>
      </c>
      <c r="E106" s="3" t="n">
        <v>4</v>
      </c>
      <c r="F106" s="3" t="n">
        <v>1</v>
      </c>
      <c r="G106" s="3">
        <f>IFERROR(XLOOKUP(B106, DM_DinhMuc_TT20!$B:$B, DM_DinhMuc_TT20!$F:$F, 0.8), 0.8)</f>
        <v/>
      </c>
      <c r="H106" s="3">
        <f>ROUND((G106 * 0.4 * 1.2) / IF(F106&gt;0, F106, 1), 4)</f>
        <v/>
      </c>
      <c r="I106" s="3">
        <f>ROUND(G106 * 0.6, 4)</f>
        <v/>
      </c>
      <c r="J106" s="3">
        <f>DM_GiaVatTu!$E$8</f>
        <v/>
      </c>
      <c r="K106" s="3">
        <f>ROUND((H106 + I106) * J106 * E106, 0)</f>
        <v/>
      </c>
      <c r="L106" s="3">
        <f>ROUND(E106 * 1.08 * IFERROR(XLOOKUP(B106, DM_DinhMuc_TT20!$B:$B, DM_DinhMuc_TT20!$G:$G, 150000), 150000), 0)</f>
        <v/>
      </c>
      <c r="M106" s="3">
        <f>ROUND(E106 * 1.10 * IFERROR(XLOOKUP(B106, DM_DinhMuc_TT20!$B:$B, DM_DinhMuc_TT20!$H:$H, 25000), 25000), 0)</f>
        <v/>
      </c>
      <c r="N106" s="3">
        <f>ROUND(E106 * IFERROR(XLOOKUP(B106, DM_DinhMuc_TT20!$B:$B, DM_DinhMuc_TT20!$I:$I, 80000), 80000), 0)</f>
        <v/>
      </c>
      <c r="O106" s="3" t="n">
        <v>0</v>
      </c>
      <c r="P106" s="3">
        <f>K106+L106+M106+N106+O106</f>
        <v/>
      </c>
      <c r="Q106" s="3">
        <f>IF(E106&gt;0, ROUND(P106/E106, 0), 0)</f>
        <v/>
      </c>
    </row>
    <row r="107">
      <c r="A107" s="2" t="n">
        <v>103</v>
      </c>
      <c r="B107" s="2" t="inlineStr">
        <is>
          <t>NT10m3</t>
        </is>
      </c>
      <c r="C107" s="2" t="inlineStr">
        <is>
          <t>Mangan</t>
        </is>
      </c>
      <c r="D107" s="2" t="inlineStr">
        <is>
          <t>mg/l</t>
        </is>
      </c>
      <c r="E107" s="2" t="n">
        <v>4</v>
      </c>
      <c r="F107" s="2" t="n">
        <v>1</v>
      </c>
      <c r="G107" s="2">
        <f>IFERROR(XLOOKUP(B107, DM_DinhMuc_TT20!$B:$B, DM_DinhMuc_TT20!$F:$F, 0.8), 0.8)</f>
        <v/>
      </c>
      <c r="H107" s="2">
        <f>ROUND((G107 * 0.4 * 1.2) / IF(F107&gt;0, F107, 1), 4)</f>
        <v/>
      </c>
      <c r="I107" s="2">
        <f>ROUND(G107 * 0.6, 4)</f>
        <v/>
      </c>
      <c r="J107" s="2">
        <f>DM_GiaVatTu!$E$8</f>
        <v/>
      </c>
      <c r="K107" s="2">
        <f>ROUND((H107 + I107) * J107 * E107, 0)</f>
        <v/>
      </c>
      <c r="L107" s="2">
        <f>ROUND(E107 * 1.08 * IFERROR(XLOOKUP(B107, DM_DinhMuc_TT20!$B:$B, DM_DinhMuc_TT20!$G:$G, 150000), 150000), 0)</f>
        <v/>
      </c>
      <c r="M107" s="2">
        <f>ROUND(E107 * 1.10 * IFERROR(XLOOKUP(B107, DM_DinhMuc_TT20!$B:$B, DM_DinhMuc_TT20!$H:$H, 25000), 25000), 0)</f>
        <v/>
      </c>
      <c r="N107" s="2">
        <f>ROUND(E107 * IFERROR(XLOOKUP(B107, DM_DinhMuc_TT20!$B:$B, DM_DinhMuc_TT20!$I:$I, 80000), 80000), 0)</f>
        <v/>
      </c>
      <c r="O107" s="2" t="n">
        <v>0</v>
      </c>
      <c r="P107" s="2">
        <f>K107+L107+M107+N107+O107</f>
        <v/>
      </c>
      <c r="Q107" s="2">
        <f>IF(E107&gt;0, ROUND(P107/E107, 0), 0)</f>
        <v/>
      </c>
    </row>
    <row r="108">
      <c r="A108" s="3" t="n">
        <v>104</v>
      </c>
      <c r="B108" s="3" t="inlineStr">
        <is>
          <t>NT10m4</t>
        </is>
      </c>
      <c r="C108" s="3" t="inlineStr">
        <is>
          <t>Sắt</t>
        </is>
      </c>
      <c r="D108" s="3" t="inlineStr">
        <is>
          <t>mg/l</t>
        </is>
      </c>
      <c r="E108" s="3" t="n">
        <v>4</v>
      </c>
      <c r="F108" s="3" t="n">
        <v>1</v>
      </c>
      <c r="G108" s="3">
        <f>IFERROR(XLOOKUP(B108, DM_DinhMuc_TT20!$B:$B, DM_DinhMuc_TT20!$F:$F, 0.8), 0.8)</f>
        <v/>
      </c>
      <c r="H108" s="3">
        <f>ROUND((G108 * 0.4 * 1.2) / IF(F108&gt;0, F108, 1), 4)</f>
        <v/>
      </c>
      <c r="I108" s="3">
        <f>ROUND(G108 * 0.6, 4)</f>
        <v/>
      </c>
      <c r="J108" s="3">
        <f>DM_GiaVatTu!$E$8</f>
        <v/>
      </c>
      <c r="K108" s="3">
        <f>ROUND((H108 + I108) * J108 * E108, 0)</f>
        <v/>
      </c>
      <c r="L108" s="3">
        <f>ROUND(E108 * 1.08 * IFERROR(XLOOKUP(B108, DM_DinhMuc_TT20!$B:$B, DM_DinhMuc_TT20!$G:$G, 150000), 150000), 0)</f>
        <v/>
      </c>
      <c r="M108" s="3">
        <f>ROUND(E108 * 1.10 * IFERROR(XLOOKUP(B108, DM_DinhMuc_TT20!$B:$B, DM_DinhMuc_TT20!$H:$H, 25000), 25000), 0)</f>
        <v/>
      </c>
      <c r="N108" s="3">
        <f>ROUND(E108 * IFERROR(XLOOKUP(B108, DM_DinhMuc_TT20!$B:$B, DM_DinhMuc_TT20!$I:$I, 80000), 80000), 0)</f>
        <v/>
      </c>
      <c r="O108" s="3" t="n">
        <v>0</v>
      </c>
      <c r="P108" s="3">
        <f>K108+L108+M108+N108+O108</f>
        <v/>
      </c>
      <c r="Q108" s="3">
        <f>IF(E108&gt;0, ROUND(P108/E108, 0), 0)</f>
        <v/>
      </c>
    </row>
    <row r="109">
      <c r="A109" s="2" t="n">
        <v>105</v>
      </c>
      <c r="B109" s="2" t="inlineStr">
        <is>
          <t>NT9</t>
        </is>
      </c>
      <c r="C109" s="2" t="inlineStr">
        <is>
          <t>Tổng Xyanua</t>
        </is>
      </c>
      <c r="D109" s="2" t="inlineStr">
        <is>
          <t>mg/l</t>
        </is>
      </c>
      <c r="E109" s="2" t="n">
        <v>4</v>
      </c>
      <c r="F109" s="2" t="n">
        <v>1</v>
      </c>
      <c r="G109" s="2">
        <f>IFERROR(XLOOKUP(B109, DM_DinhMuc_TT20!$B:$B, DM_DinhMuc_TT20!$F:$F, 0.8), 0.8)</f>
        <v/>
      </c>
      <c r="H109" s="2">
        <f>ROUND((G109 * 0.4 * 1.2) / IF(F109&gt;0, F109, 1), 4)</f>
        <v/>
      </c>
      <c r="I109" s="2">
        <f>ROUND(G109 * 0.6, 4)</f>
        <v/>
      </c>
      <c r="J109" s="2">
        <f>DM_GiaVatTu!$E$8</f>
        <v/>
      </c>
      <c r="K109" s="2">
        <f>ROUND((H109 + I109) * J109 * E109, 0)</f>
        <v/>
      </c>
      <c r="L109" s="2">
        <f>ROUND(E109 * 1.08 * IFERROR(XLOOKUP(B109, DM_DinhMuc_TT20!$B:$B, DM_DinhMuc_TT20!$G:$G, 150000), 150000), 0)</f>
        <v/>
      </c>
      <c r="M109" s="2">
        <f>ROUND(E109 * 1.10 * IFERROR(XLOOKUP(B109, DM_DinhMuc_TT20!$B:$B, DM_DinhMuc_TT20!$H:$H, 25000), 25000), 0)</f>
        <v/>
      </c>
      <c r="N109" s="2">
        <f>ROUND(E109 * IFERROR(XLOOKUP(B109, DM_DinhMuc_TT20!$B:$B, DM_DinhMuc_TT20!$I:$I, 80000), 80000), 0)</f>
        <v/>
      </c>
      <c r="O109" s="2" t="n">
        <v>0</v>
      </c>
      <c r="P109" s="2">
        <f>K109+L109+M109+N109+O109</f>
        <v/>
      </c>
      <c r="Q109" s="2">
        <f>IF(E109&gt;0, ROUND(P109/E109, 0), 0)</f>
        <v/>
      </c>
    </row>
    <row r="110">
      <c r="A110" s="3" t="n">
        <v>106</v>
      </c>
      <c r="B110" s="3" t="inlineStr">
        <is>
          <t>NT8</t>
        </is>
      </c>
      <c r="C110" s="3" t="inlineStr">
        <is>
          <t>Tổng dầu mỡ khoáng</t>
        </is>
      </c>
      <c r="D110" s="3" t="inlineStr">
        <is>
          <t>mg/l</t>
        </is>
      </c>
      <c r="E110" s="3" t="n">
        <v>4</v>
      </c>
      <c r="F110" s="3" t="n">
        <v>1</v>
      </c>
      <c r="G110" s="3">
        <f>IFERROR(XLOOKUP(B110, DM_DinhMuc_TT20!$B:$B, DM_DinhMuc_TT20!$F:$F, 0.8), 0.8)</f>
        <v/>
      </c>
      <c r="H110" s="3">
        <f>ROUND((G110 * 0.4 * 1.2) / IF(F110&gt;0, F110, 1), 4)</f>
        <v/>
      </c>
      <c r="I110" s="3">
        <f>ROUND(G110 * 0.6, 4)</f>
        <v/>
      </c>
      <c r="J110" s="3">
        <f>DM_GiaVatTu!$E$8</f>
        <v/>
      </c>
      <c r="K110" s="3">
        <f>ROUND((H110 + I110) * J110 * E110, 0)</f>
        <v/>
      </c>
      <c r="L110" s="3">
        <f>ROUND(E110 * 1.08 * IFERROR(XLOOKUP(B110, DM_DinhMuc_TT20!$B:$B, DM_DinhMuc_TT20!$G:$G, 150000), 150000), 0)</f>
        <v/>
      </c>
      <c r="M110" s="3">
        <f>ROUND(E110 * 1.10 * IFERROR(XLOOKUP(B110, DM_DinhMuc_TT20!$B:$B, DM_DinhMuc_TT20!$H:$H, 25000), 25000), 0)</f>
        <v/>
      </c>
      <c r="N110" s="3">
        <f>ROUND(E110 * IFERROR(XLOOKUP(B110, DM_DinhMuc_TT20!$B:$B, DM_DinhMuc_TT20!$I:$I, 80000), 80000), 0)</f>
        <v/>
      </c>
      <c r="O110" s="3" t="n">
        <v>0</v>
      </c>
      <c r="P110" s="3">
        <f>K110+L110+M110+N110+O110</f>
        <v/>
      </c>
      <c r="Q110" s="3">
        <f>IF(E110&gt;0, ROUND(P110/E110, 0), 0)</f>
        <v/>
      </c>
    </row>
    <row r="111">
      <c r="A111" s="2" t="n">
        <v>107</v>
      </c>
      <c r="B111" s="2" t="inlineStr">
        <is>
          <t>NT10d</t>
        </is>
      </c>
      <c r="C111" s="2" t="inlineStr">
        <is>
          <t>Sunfua</t>
        </is>
      </c>
      <c r="D111" s="2" t="inlineStr">
        <is>
          <t>mg/l</t>
        </is>
      </c>
      <c r="E111" s="2" t="n">
        <v>4</v>
      </c>
      <c r="F111" s="2" t="n">
        <v>1</v>
      </c>
      <c r="G111" s="2">
        <f>IFERROR(XLOOKUP(B111, DM_DinhMuc_TT20!$B:$B, DM_DinhMuc_TT20!$F:$F, 0.8), 0.8)</f>
        <v/>
      </c>
      <c r="H111" s="2">
        <f>ROUND((G111 * 0.4 * 1.2) / IF(F111&gt;0, F111, 1), 4)</f>
        <v/>
      </c>
      <c r="I111" s="2">
        <f>ROUND(G111 * 0.6, 4)</f>
        <v/>
      </c>
      <c r="J111" s="2">
        <f>DM_GiaVatTu!$E$8</f>
        <v/>
      </c>
      <c r="K111" s="2">
        <f>ROUND((H111 + I111) * J111 * E111, 0)</f>
        <v/>
      </c>
      <c r="L111" s="2">
        <f>ROUND(E111 * 1.08 * IFERROR(XLOOKUP(B111, DM_DinhMuc_TT20!$B:$B, DM_DinhMuc_TT20!$G:$G, 150000), 150000), 0)</f>
        <v/>
      </c>
      <c r="M111" s="2">
        <f>ROUND(E111 * 1.10 * IFERROR(XLOOKUP(B111, DM_DinhMuc_TT20!$B:$B, DM_DinhMuc_TT20!$H:$H, 25000), 25000), 0)</f>
        <v/>
      </c>
      <c r="N111" s="2">
        <f>ROUND(E111 * IFERROR(XLOOKUP(B111, DM_DinhMuc_TT20!$B:$B, DM_DinhMuc_TT20!$I:$I, 80000), 80000), 0)</f>
        <v/>
      </c>
      <c r="O111" s="2" t="n">
        <v>0</v>
      </c>
      <c r="P111" s="2">
        <f>K111+L111+M111+N111+O111</f>
        <v/>
      </c>
      <c r="Q111" s="2">
        <f>IF(E111&gt;0, ROUND(P111/E111, 0), 0)</f>
        <v/>
      </c>
    </row>
    <row r="112">
      <c r="A112" s="3" t="n">
        <v>108</v>
      </c>
      <c r="B112" s="3" t="inlineStr">
        <is>
          <t>NT10b</t>
        </is>
      </c>
      <c r="C112" s="3" t="inlineStr">
        <is>
          <t>Tổng N</t>
        </is>
      </c>
      <c r="D112" s="3" t="inlineStr">
        <is>
          <t>mg/l</t>
        </is>
      </c>
      <c r="E112" s="3" t="n">
        <v>4</v>
      </c>
      <c r="F112" s="3" t="n">
        <v>1</v>
      </c>
      <c r="G112" s="3">
        <f>IFERROR(XLOOKUP(B112, DM_DinhMuc_TT20!$B:$B, DM_DinhMuc_TT20!$F:$F, 0.8), 0.8)</f>
        <v/>
      </c>
      <c r="H112" s="3">
        <f>ROUND((G112 * 0.4 * 1.2) / IF(F112&gt;0, F112, 1), 4)</f>
        <v/>
      </c>
      <c r="I112" s="3">
        <f>ROUND(G112 * 0.6, 4)</f>
        <v/>
      </c>
      <c r="J112" s="3">
        <f>DM_GiaVatTu!$E$8</f>
        <v/>
      </c>
      <c r="K112" s="3">
        <f>ROUND((H112 + I112) * J112 * E112, 0)</f>
        <v/>
      </c>
      <c r="L112" s="3">
        <f>ROUND(E112 * 1.08 * IFERROR(XLOOKUP(B112, DM_DinhMuc_TT20!$B:$B, DM_DinhMuc_TT20!$G:$G, 150000), 150000), 0)</f>
        <v/>
      </c>
      <c r="M112" s="3">
        <f>ROUND(E112 * 1.10 * IFERROR(XLOOKUP(B112, DM_DinhMuc_TT20!$B:$B, DM_DinhMuc_TT20!$H:$H, 25000), 25000), 0)</f>
        <v/>
      </c>
      <c r="N112" s="3">
        <f>ROUND(E112 * IFERROR(XLOOKUP(B112, DM_DinhMuc_TT20!$B:$B, DM_DinhMuc_TT20!$I:$I, 80000), 80000), 0)</f>
        <v/>
      </c>
      <c r="O112" s="3" t="n">
        <v>0</v>
      </c>
      <c r="P112" s="3">
        <f>K112+L112+M112+N112+O112</f>
        <v/>
      </c>
      <c r="Q112" s="3">
        <f>IF(E112&gt;0, ROUND(P112/E112, 0), 0)</f>
        <v/>
      </c>
    </row>
    <row r="113">
      <c r="A113" s="2" t="n">
        <v>109</v>
      </c>
      <c r="B113" s="2" t="inlineStr">
        <is>
          <t>NT10a</t>
        </is>
      </c>
      <c r="C113" s="2" t="inlineStr">
        <is>
          <t>Tổng P</t>
        </is>
      </c>
      <c r="D113" s="2" t="inlineStr">
        <is>
          <t>mg/l</t>
        </is>
      </c>
      <c r="E113" s="2" t="n">
        <v>4</v>
      </c>
      <c r="F113" s="2" t="n">
        <v>1</v>
      </c>
      <c r="G113" s="2">
        <f>IFERROR(XLOOKUP(B113, DM_DinhMuc_TT20!$B:$B, DM_DinhMuc_TT20!$F:$F, 0.8), 0.8)</f>
        <v/>
      </c>
      <c r="H113" s="2">
        <f>ROUND((G113 * 0.4 * 1.2) / IF(F113&gt;0, F113, 1), 4)</f>
        <v/>
      </c>
      <c r="I113" s="2">
        <f>ROUND(G113 * 0.6, 4)</f>
        <v/>
      </c>
      <c r="J113" s="2">
        <f>DM_GiaVatTu!$E$8</f>
        <v/>
      </c>
      <c r="K113" s="2">
        <f>ROUND((H113 + I113) * J113 * E113, 0)</f>
        <v/>
      </c>
      <c r="L113" s="2">
        <f>ROUND(E113 * 1.08 * IFERROR(XLOOKUP(B113, DM_DinhMuc_TT20!$B:$B, DM_DinhMuc_TT20!$G:$G, 150000), 150000), 0)</f>
        <v/>
      </c>
      <c r="M113" s="2">
        <f>ROUND(E113 * 1.10 * IFERROR(XLOOKUP(B113, DM_DinhMuc_TT20!$B:$B, DM_DinhMuc_TT20!$H:$H, 25000), 25000), 0)</f>
        <v/>
      </c>
      <c r="N113" s="2">
        <f>ROUND(E113 * IFERROR(XLOOKUP(B113, DM_DinhMuc_TT20!$B:$B, DM_DinhMuc_TT20!$I:$I, 80000), 80000), 0)</f>
        <v/>
      </c>
      <c r="O113" s="2" t="n">
        <v>0</v>
      </c>
      <c r="P113" s="2">
        <f>K113+L113+M113+N113+O113</f>
        <v/>
      </c>
      <c r="Q113" s="2">
        <f>IF(E113&gt;0, ROUND(P113/E113, 0), 0)</f>
        <v/>
      </c>
    </row>
    <row r="114">
      <c r="A114" s="3" t="n">
        <v>110</v>
      </c>
      <c r="B114" s="3" t="inlineStr">
        <is>
          <t>NT10j</t>
        </is>
      </c>
      <c r="C114" s="3" t="inlineStr">
        <is>
          <t>Clo dư</t>
        </is>
      </c>
      <c r="D114" s="3" t="inlineStr">
        <is>
          <t>mg/l</t>
        </is>
      </c>
      <c r="E114" s="3" t="n">
        <v>4</v>
      </c>
      <c r="F114" s="3" t="n">
        <v>1</v>
      </c>
      <c r="G114" s="3">
        <f>IFERROR(XLOOKUP(B114, DM_DinhMuc_TT20!$B:$B, DM_DinhMuc_TT20!$F:$F, 0.8), 0.8)</f>
        <v/>
      </c>
      <c r="H114" s="3">
        <f>ROUND((G114 * 0.4 * 1.2) / IF(F114&gt;0, F114, 1), 4)</f>
        <v/>
      </c>
      <c r="I114" s="3">
        <f>ROUND(G114 * 0.6, 4)</f>
        <v/>
      </c>
      <c r="J114" s="3">
        <f>DM_GiaVatTu!$E$8</f>
        <v/>
      </c>
      <c r="K114" s="3">
        <f>ROUND((H114 + I114) * J114 * E114, 0)</f>
        <v/>
      </c>
      <c r="L114" s="3">
        <f>ROUND(E114 * 1.08 * IFERROR(XLOOKUP(B114, DM_DinhMuc_TT20!$B:$B, DM_DinhMuc_TT20!$G:$G, 150000), 150000), 0)</f>
        <v/>
      </c>
      <c r="M114" s="3">
        <f>ROUND(E114 * 1.10 * IFERROR(XLOOKUP(B114, DM_DinhMuc_TT20!$B:$B, DM_DinhMuc_TT20!$H:$H, 25000), 25000), 0)</f>
        <v/>
      </c>
      <c r="N114" s="3">
        <f>ROUND(E114 * IFERROR(XLOOKUP(B114, DM_DinhMuc_TT20!$B:$B, DM_DinhMuc_TT20!$I:$I, 80000), 80000), 0)</f>
        <v/>
      </c>
      <c r="O114" s="3" t="n">
        <v>0</v>
      </c>
      <c r="P114" s="3">
        <f>K114+L114+M114+N114+O114</f>
        <v/>
      </c>
      <c r="Q114" s="3">
        <f>IF(E114&gt;0, ROUND(P114/E114, 0), 0)</f>
        <v/>
      </c>
    </row>
    <row r="115">
      <c r="A115" s="2" t="n">
        <v>111</v>
      </c>
      <c r="B115" s="2" t="inlineStr">
        <is>
          <t>NT7a</t>
        </is>
      </c>
      <c r="C115" s="2" t="inlineStr">
        <is>
          <t>Coliform</t>
        </is>
      </c>
      <c r="D115" s="2" t="inlineStr">
        <is>
          <t>MPN/ 100ml</t>
        </is>
      </c>
      <c r="E115" s="2" t="n">
        <v>4</v>
      </c>
      <c r="F115" s="2" t="n">
        <v>1</v>
      </c>
      <c r="G115" s="2">
        <f>IFERROR(XLOOKUP(B115, DM_DinhMuc_TT20!$B:$B, DM_DinhMuc_TT20!$F:$F, 0.8), 0.8)</f>
        <v/>
      </c>
      <c r="H115" s="2">
        <f>ROUND((G115 * 0.4 * 1.2) / IF(F115&gt;0, F115, 1), 4)</f>
        <v/>
      </c>
      <c r="I115" s="2">
        <f>ROUND(G115 * 0.6, 4)</f>
        <v/>
      </c>
      <c r="J115" s="2">
        <f>DM_GiaVatTu!$E$8</f>
        <v/>
      </c>
      <c r="K115" s="2">
        <f>ROUND((H115 + I115) * J115 * E115, 0)</f>
        <v/>
      </c>
      <c r="L115" s="2">
        <f>ROUND(E115 * 1.08 * IFERROR(XLOOKUP(B115, DM_DinhMuc_TT20!$B:$B, DM_DinhMuc_TT20!$G:$G, 150000), 150000), 0)</f>
        <v/>
      </c>
      <c r="M115" s="2">
        <f>ROUND(E115 * 1.10 * IFERROR(XLOOKUP(B115, DM_DinhMuc_TT20!$B:$B, DM_DinhMuc_TT20!$H:$H, 25000), 25000), 0)</f>
        <v/>
      </c>
      <c r="N115" s="2">
        <f>ROUND(E115 * IFERROR(XLOOKUP(B115, DM_DinhMuc_TT20!$B:$B, DM_DinhMuc_TT20!$I:$I, 80000), 80000), 0)</f>
        <v/>
      </c>
      <c r="O115" s="2" t="n">
        <v>0</v>
      </c>
      <c r="P115" s="2">
        <f>K115+L115+M115+N115+O115</f>
        <v/>
      </c>
      <c r="Q115" s="2">
        <f>IF(E115&gt;0, ROUND(P115/E115, 0), 0)</f>
        <v/>
      </c>
    </row>
    <row r="116">
      <c r="A116" s="3" t="n">
        <v>112</v>
      </c>
      <c r="B116" s="3" t="inlineStr">
        <is>
          <t>KT9c</t>
        </is>
      </c>
      <c r="C116" s="3" t="inlineStr">
        <is>
          <t>Amoniac</t>
        </is>
      </c>
      <c r="D116" s="3" t="inlineStr">
        <is>
          <t>mg/Nm3</t>
        </is>
      </c>
      <c r="E116" s="3" t="n">
        <v>4</v>
      </c>
      <c r="F116" s="3" t="n">
        <v>1</v>
      </c>
      <c r="G116" s="3">
        <f>IFERROR(XLOOKUP(B116, DM_DinhMuc_TT20!$B:$B, DM_DinhMuc_TT20!$F:$F, 0.8), 0.8)</f>
        <v/>
      </c>
      <c r="H116" s="3">
        <f>ROUND((G116 * 0.4 * 1.2) / IF(F116&gt;0, F116, 1), 4)</f>
        <v/>
      </c>
      <c r="I116" s="3">
        <f>ROUND(G116 * 0.6, 4)</f>
        <v/>
      </c>
      <c r="J116" s="3">
        <f>DM_GiaVatTu!$E$8</f>
        <v/>
      </c>
      <c r="K116" s="3">
        <f>ROUND((H116 + I116) * J116 * E116, 0)</f>
        <v/>
      </c>
      <c r="L116" s="3">
        <f>ROUND(E116 * 1.08 * IFERROR(XLOOKUP(B116, DM_DinhMuc_TT20!$B:$B, DM_DinhMuc_TT20!$G:$G, 150000), 150000), 0)</f>
        <v/>
      </c>
      <c r="M116" s="3">
        <f>ROUND(E116 * 1.10 * IFERROR(XLOOKUP(B116, DM_DinhMuc_TT20!$B:$B, DM_DinhMuc_TT20!$H:$H, 25000), 25000), 0)</f>
        <v/>
      </c>
      <c r="N116" s="3">
        <f>ROUND(E116 * IFERROR(XLOOKUP(B116, DM_DinhMuc_TT20!$B:$B, DM_DinhMuc_TT20!$I:$I, 80000), 80000), 0)</f>
        <v/>
      </c>
      <c r="O116" s="3" t="n">
        <v>0</v>
      </c>
      <c r="P116" s="3">
        <f>K116+L116+M116+N116+O116</f>
        <v/>
      </c>
      <c r="Q116" s="3">
        <f>IF(E116&gt;0, ROUND(P116/E116, 0), 0)</f>
        <v/>
      </c>
    </row>
    <row r="117">
      <c r="A117" s="2" t="n">
        <v>113</v>
      </c>
      <c r="B117" s="2" t="inlineStr">
        <is>
          <t>KK1a</t>
        </is>
      </c>
      <c r="C117" s="2" t="inlineStr">
        <is>
          <t>Nhiệt độ</t>
        </is>
      </c>
      <c r="D117" s="2" t="inlineStr">
        <is>
          <t>0C</t>
        </is>
      </c>
      <c r="E117" s="2" t="n">
        <v>10</v>
      </c>
      <c r="F117" s="2" t="n">
        <v>1</v>
      </c>
      <c r="G117" s="2">
        <f>IFERROR(XLOOKUP(B117, DM_DinhMuc_TT20!$B:$B, DM_DinhMuc_TT20!$F:$F, 0.8), 0.8)</f>
        <v/>
      </c>
      <c r="H117" s="2">
        <f>ROUND((G117 * 0.4 * 1.2) / IF(F117&gt;0, F117, 1), 4)</f>
        <v/>
      </c>
      <c r="I117" s="2">
        <f>ROUND(G117 * 0.6, 4)</f>
        <v/>
      </c>
      <c r="J117" s="2">
        <f>DM_GiaVatTu!$E$8</f>
        <v/>
      </c>
      <c r="K117" s="2">
        <f>ROUND((H117 + I117) * J117 * E117, 0)</f>
        <v/>
      </c>
      <c r="L117" s="2">
        <f>ROUND(E117 * 1.08 * IFERROR(XLOOKUP(B117, DM_DinhMuc_TT20!$B:$B, DM_DinhMuc_TT20!$G:$G, 150000), 150000), 0)</f>
        <v/>
      </c>
      <c r="M117" s="2">
        <f>ROUND(E117 * 1.10 * IFERROR(XLOOKUP(B117, DM_DinhMuc_TT20!$B:$B, DM_DinhMuc_TT20!$H:$H, 25000), 25000), 0)</f>
        <v/>
      </c>
      <c r="N117" s="2">
        <f>ROUND(E117 * IFERROR(XLOOKUP(B117, DM_DinhMuc_TT20!$B:$B, DM_DinhMuc_TT20!$I:$I, 80000), 80000), 0)</f>
        <v/>
      </c>
      <c r="O117" s="2" t="n">
        <v>0</v>
      </c>
      <c r="P117" s="2">
        <f>K117+L117+M117+N117+O117</f>
        <v/>
      </c>
      <c r="Q117" s="2">
        <f>IF(E117&gt;0, ROUND(P117/E117, 0), 0)</f>
        <v/>
      </c>
    </row>
    <row r="118">
      <c r="A118" s="3" t="n">
        <v>114</v>
      </c>
      <c r="B118" s="3" t="inlineStr">
        <is>
          <t>KK1b</t>
        </is>
      </c>
      <c r="C118" s="3" t="inlineStr">
        <is>
          <t>Độ ẩm</t>
        </is>
      </c>
      <c r="D118" s="3" t="inlineStr">
        <is>
          <t>%</t>
        </is>
      </c>
      <c r="E118" s="3" t="n">
        <v>10</v>
      </c>
      <c r="F118" s="3" t="n">
        <v>1</v>
      </c>
      <c r="G118" s="3">
        <f>IFERROR(XLOOKUP(B118, DM_DinhMuc_TT20!$B:$B, DM_DinhMuc_TT20!$F:$F, 0.8), 0.8)</f>
        <v/>
      </c>
      <c r="H118" s="3">
        <f>ROUND((G118 * 0.4 * 1.2) / IF(F118&gt;0, F118, 1), 4)</f>
        <v/>
      </c>
      <c r="I118" s="3">
        <f>ROUND(G118 * 0.6, 4)</f>
        <v/>
      </c>
      <c r="J118" s="3">
        <f>DM_GiaVatTu!$E$8</f>
        <v/>
      </c>
      <c r="K118" s="3">
        <f>ROUND((H118 + I118) * J118 * E118, 0)</f>
        <v/>
      </c>
      <c r="L118" s="3">
        <f>ROUND(E118 * 1.08 * IFERROR(XLOOKUP(B118, DM_DinhMuc_TT20!$B:$B, DM_DinhMuc_TT20!$G:$G, 150000), 150000), 0)</f>
        <v/>
      </c>
      <c r="M118" s="3">
        <f>ROUND(E118 * 1.10 * IFERROR(XLOOKUP(B118, DM_DinhMuc_TT20!$B:$B, DM_DinhMuc_TT20!$H:$H, 25000), 25000), 0)</f>
        <v/>
      </c>
      <c r="N118" s="3">
        <f>ROUND(E118 * IFERROR(XLOOKUP(B118, DM_DinhMuc_TT20!$B:$B, DM_DinhMuc_TT20!$I:$I, 80000), 80000), 0)</f>
        <v/>
      </c>
      <c r="O118" s="3" t="n">
        <v>0</v>
      </c>
      <c r="P118" s="3">
        <f>K118+L118+M118+N118+O118</f>
        <v/>
      </c>
      <c r="Q118" s="3">
        <f>IF(E118&gt;0, ROUND(P118/E118, 0), 0)</f>
        <v/>
      </c>
    </row>
    <row r="119">
      <c r="A119" s="2" t="n">
        <v>115</v>
      </c>
      <c r="B119" s="2" t="inlineStr">
        <is>
          <t>KK2b</t>
        </is>
      </c>
      <c r="C119" s="2" t="inlineStr">
        <is>
          <t>Hướng gió</t>
        </is>
      </c>
      <c r="D119" s="2" t="inlineStr">
        <is>
          <t>-</t>
        </is>
      </c>
      <c r="E119" s="2" t="n">
        <v>10</v>
      </c>
      <c r="F119" s="2" t="n">
        <v>1</v>
      </c>
      <c r="G119" s="2">
        <f>IFERROR(XLOOKUP(B119, DM_DinhMuc_TT20!$B:$B, DM_DinhMuc_TT20!$F:$F, 0.8), 0.8)</f>
        <v/>
      </c>
      <c r="H119" s="2">
        <f>ROUND((G119 * 0.4 * 1.2) / IF(F119&gt;0, F119, 1), 4)</f>
        <v/>
      </c>
      <c r="I119" s="2">
        <f>ROUND(G119 * 0.6, 4)</f>
        <v/>
      </c>
      <c r="J119" s="2">
        <f>DM_GiaVatTu!$E$8</f>
        <v/>
      </c>
      <c r="K119" s="2">
        <f>ROUND((H119 + I119) * J119 * E119, 0)</f>
        <v/>
      </c>
      <c r="L119" s="2">
        <f>ROUND(E119 * 1.08 * IFERROR(XLOOKUP(B119, DM_DinhMuc_TT20!$B:$B, DM_DinhMuc_TT20!$G:$G, 150000), 150000), 0)</f>
        <v/>
      </c>
      <c r="M119" s="2">
        <f>ROUND(E119 * 1.10 * IFERROR(XLOOKUP(B119, DM_DinhMuc_TT20!$B:$B, DM_DinhMuc_TT20!$H:$H, 25000), 25000), 0)</f>
        <v/>
      </c>
      <c r="N119" s="2">
        <f>ROUND(E119 * IFERROR(XLOOKUP(B119, DM_DinhMuc_TT20!$B:$B, DM_DinhMuc_TT20!$I:$I, 80000), 80000), 0)</f>
        <v/>
      </c>
      <c r="O119" s="2" t="n">
        <v>0</v>
      </c>
      <c r="P119" s="2">
        <f>K119+L119+M119+N119+O119</f>
        <v/>
      </c>
      <c r="Q119" s="2">
        <f>IF(E119&gt;0, ROUND(P119/E119, 0), 0)</f>
        <v/>
      </c>
    </row>
    <row r="120">
      <c r="A120" s="3" t="n">
        <v>116</v>
      </c>
      <c r="B120" s="3" t="inlineStr">
        <is>
          <t>KK2a</t>
        </is>
      </c>
      <c r="C120" s="3" t="inlineStr">
        <is>
          <t>Tốc độ gió</t>
        </is>
      </c>
      <c r="D120" s="3" t="inlineStr">
        <is>
          <t>m/s</t>
        </is>
      </c>
      <c r="E120" s="3" t="n">
        <v>10</v>
      </c>
      <c r="F120" s="3" t="n">
        <v>1</v>
      </c>
      <c r="G120" s="3">
        <f>IFERROR(XLOOKUP(B120, DM_DinhMuc_TT20!$B:$B, DM_DinhMuc_TT20!$F:$F, 0.8), 0.8)</f>
        <v/>
      </c>
      <c r="H120" s="3">
        <f>ROUND((G120 * 0.4 * 1.2) / IF(F120&gt;0, F120, 1), 4)</f>
        <v/>
      </c>
      <c r="I120" s="3">
        <f>ROUND(G120 * 0.6, 4)</f>
        <v/>
      </c>
      <c r="J120" s="3">
        <f>DM_GiaVatTu!$E$8</f>
        <v/>
      </c>
      <c r="K120" s="3">
        <f>ROUND((H120 + I120) * J120 * E120, 0)</f>
        <v/>
      </c>
      <c r="L120" s="3">
        <f>ROUND(E120 * 1.08 * IFERROR(XLOOKUP(B120, DM_DinhMuc_TT20!$B:$B, DM_DinhMuc_TT20!$G:$G, 150000), 150000), 0)</f>
        <v/>
      </c>
      <c r="M120" s="3">
        <f>ROUND(E120 * 1.10 * IFERROR(XLOOKUP(B120, DM_DinhMuc_TT20!$B:$B, DM_DinhMuc_TT20!$H:$H, 25000), 25000), 0)</f>
        <v/>
      </c>
      <c r="N120" s="3">
        <f>ROUND(E120 * IFERROR(XLOOKUP(B120, DM_DinhMuc_TT20!$B:$B, DM_DinhMuc_TT20!$I:$I, 80000), 80000), 0)</f>
        <v/>
      </c>
      <c r="O120" s="3" t="n">
        <v>0</v>
      </c>
      <c r="P120" s="3">
        <f>K120+L120+M120+N120+O120</f>
        <v/>
      </c>
      <c r="Q120" s="3">
        <f>IF(E120&gt;0, ROUND(P120/E120, 0), 0)</f>
        <v/>
      </c>
    </row>
    <row r="121">
      <c r="A121" s="2" t="n">
        <v>117</v>
      </c>
      <c r="B121" s="2" t="inlineStr">
        <is>
          <t>TO1a</t>
        </is>
      </c>
      <c r="C121" s="2" t="inlineStr">
        <is>
          <t>Tiếng ồn</t>
        </is>
      </c>
      <c r="D121" s="2" t="inlineStr">
        <is>
          <t>dBA</t>
        </is>
      </c>
      <c r="E121" s="2" t="n">
        <v>10</v>
      </c>
      <c r="F121" s="2" t="n">
        <v>1</v>
      </c>
      <c r="G121" s="2">
        <f>IFERROR(XLOOKUP(B121, DM_DinhMuc_TT20!$B:$B, DM_DinhMuc_TT20!$F:$F, 0.8), 0.8)</f>
        <v/>
      </c>
      <c r="H121" s="2">
        <f>ROUND((G121 * 0.4 * 1.2) / IF(F121&gt;0, F121, 1), 4)</f>
        <v/>
      </c>
      <c r="I121" s="2">
        <f>ROUND(G121 * 0.6, 4)</f>
        <v/>
      </c>
      <c r="J121" s="2">
        <f>DM_GiaVatTu!$E$8</f>
        <v/>
      </c>
      <c r="K121" s="2">
        <f>ROUND((H121 + I121) * J121 * E121, 0)</f>
        <v/>
      </c>
      <c r="L121" s="2">
        <f>ROUND(E121 * 1.08 * IFERROR(XLOOKUP(B121, DM_DinhMuc_TT20!$B:$B, DM_DinhMuc_TT20!$G:$G, 150000), 150000), 0)</f>
        <v/>
      </c>
      <c r="M121" s="2">
        <f>ROUND(E121 * 1.10 * IFERROR(XLOOKUP(B121, DM_DinhMuc_TT20!$B:$B, DM_DinhMuc_TT20!$H:$H, 25000), 25000), 0)</f>
        <v/>
      </c>
      <c r="N121" s="2">
        <f>ROUND(E121 * IFERROR(XLOOKUP(B121, DM_DinhMuc_TT20!$B:$B, DM_DinhMuc_TT20!$I:$I, 80000), 80000), 0)</f>
        <v/>
      </c>
      <c r="O121" s="2" t="n">
        <v>0</v>
      </c>
      <c r="P121" s="2">
        <f>K121+L121+M121+N121+O121</f>
        <v/>
      </c>
      <c r="Q121" s="2">
        <f>IF(E121&gt;0, ROUND(P121/E121, 0), 0)</f>
        <v/>
      </c>
    </row>
    <row r="122">
      <c r="A122" s="3" t="n">
        <v>118</v>
      </c>
      <c r="B122" s="3" t="inlineStr">
        <is>
          <t>ĐR01</t>
        </is>
      </c>
      <c r="C122" s="3" t="inlineStr">
        <is>
          <t>Độ rung</t>
        </is>
      </c>
      <c r="D122" s="3" t="inlineStr">
        <is>
          <t>dB</t>
        </is>
      </c>
      <c r="E122" s="3" t="n">
        <v>10</v>
      </c>
      <c r="F122" s="3" t="n">
        <v>1</v>
      </c>
      <c r="G122" s="3">
        <f>IFERROR(XLOOKUP(B122, DM_DinhMuc_TT20!$B:$B, DM_DinhMuc_TT20!$F:$F, 0.8), 0.8)</f>
        <v/>
      </c>
      <c r="H122" s="3">
        <f>ROUND((G122 * 0.4 * 1.2) / IF(F122&gt;0, F122, 1), 4)</f>
        <v/>
      </c>
      <c r="I122" s="3">
        <f>ROUND(G122 * 0.6, 4)</f>
        <v/>
      </c>
      <c r="J122" s="3">
        <f>DM_GiaVatTu!$E$8</f>
        <v/>
      </c>
      <c r="K122" s="3">
        <f>ROUND((H122 + I122) * J122 * E122, 0)</f>
        <v/>
      </c>
      <c r="L122" s="3">
        <f>ROUND(E122 * 1.08 * IFERROR(XLOOKUP(B122, DM_DinhMuc_TT20!$B:$B, DM_DinhMuc_TT20!$G:$G, 150000), 150000), 0)</f>
        <v/>
      </c>
      <c r="M122" s="3">
        <f>ROUND(E122 * 1.10 * IFERROR(XLOOKUP(B122, DM_DinhMuc_TT20!$B:$B, DM_DinhMuc_TT20!$H:$H, 25000), 25000), 0)</f>
        <v/>
      </c>
      <c r="N122" s="3">
        <f>ROUND(E122 * IFERROR(XLOOKUP(B122, DM_DinhMuc_TT20!$B:$B, DM_DinhMuc_TT20!$I:$I, 80000), 80000), 0)</f>
        <v/>
      </c>
      <c r="O122" s="3" t="n">
        <v>0</v>
      </c>
      <c r="P122" s="3">
        <f>K122+L122+M122+N122+O122</f>
        <v/>
      </c>
      <c r="Q122" s="3">
        <f>IF(E122&gt;0, ROUND(P122/E122, 0), 0)</f>
        <v/>
      </c>
    </row>
    <row r="123">
      <c r="A123" s="2" t="n">
        <v>119</v>
      </c>
      <c r="B123" s="2" t="inlineStr">
        <is>
          <t>KK4a</t>
        </is>
      </c>
      <c r="C123" s="2" t="inlineStr">
        <is>
          <t>Tổng bụi lơ lửng</t>
        </is>
      </c>
      <c r="D123" s="2" t="inlineStr">
        <is>
          <t>µg/Nm3</t>
        </is>
      </c>
      <c r="E123" s="2" t="n">
        <v>10</v>
      </c>
      <c r="F123" s="2" t="n">
        <v>1</v>
      </c>
      <c r="G123" s="2">
        <f>IFERROR(XLOOKUP(B123, DM_DinhMuc_TT20!$B:$B, DM_DinhMuc_TT20!$F:$F, 0.8), 0.8)</f>
        <v/>
      </c>
      <c r="H123" s="2">
        <f>ROUND((G123 * 0.4 * 1.2) / IF(F123&gt;0, F123, 1), 4)</f>
        <v/>
      </c>
      <c r="I123" s="2">
        <f>ROUND(G123 * 0.6, 4)</f>
        <v/>
      </c>
      <c r="J123" s="2">
        <f>DM_GiaVatTu!$E$8</f>
        <v/>
      </c>
      <c r="K123" s="2">
        <f>ROUND((H123 + I123) * J123 * E123, 0)</f>
        <v/>
      </c>
      <c r="L123" s="2">
        <f>ROUND(E123 * 1.08 * IFERROR(XLOOKUP(B123, DM_DinhMuc_TT20!$B:$B, DM_DinhMuc_TT20!$G:$G, 150000), 150000), 0)</f>
        <v/>
      </c>
      <c r="M123" s="2">
        <f>ROUND(E123 * 1.10 * IFERROR(XLOOKUP(B123, DM_DinhMuc_TT20!$B:$B, DM_DinhMuc_TT20!$H:$H, 25000), 25000), 0)</f>
        <v/>
      </c>
      <c r="N123" s="2">
        <f>ROUND(E123 * IFERROR(XLOOKUP(B123, DM_DinhMuc_TT20!$B:$B, DM_DinhMuc_TT20!$I:$I, 80000), 80000), 0)</f>
        <v/>
      </c>
      <c r="O123" s="2" t="n">
        <v>0</v>
      </c>
      <c r="P123" s="2">
        <f>K123+L123+M123+N123+O123</f>
        <v/>
      </c>
      <c r="Q123" s="2">
        <f>IF(E123&gt;0, ROUND(P123/E123, 0), 0)</f>
        <v/>
      </c>
    </row>
    <row r="124">
      <c r="A124" s="3" t="n">
        <v>120</v>
      </c>
      <c r="B124" s="3" t="inlineStr">
        <is>
          <t>KK4c</t>
        </is>
      </c>
      <c r="C124" s="3" t="inlineStr">
        <is>
          <t>Bụi PM10</t>
        </is>
      </c>
      <c r="D124" s="3" t="inlineStr">
        <is>
          <t>µg/Nm3</t>
        </is>
      </c>
      <c r="E124" s="3" t="n">
        <v>10</v>
      </c>
      <c r="F124" s="3" t="n">
        <v>1</v>
      </c>
      <c r="G124" s="3">
        <f>IFERROR(XLOOKUP(B124, DM_DinhMuc_TT20!$B:$B, DM_DinhMuc_TT20!$F:$F, 0.8), 0.8)</f>
        <v/>
      </c>
      <c r="H124" s="3">
        <f>ROUND((G124 * 0.4 * 1.2) / IF(F124&gt;0, F124, 1), 4)</f>
        <v/>
      </c>
      <c r="I124" s="3">
        <f>ROUND(G124 * 0.6, 4)</f>
        <v/>
      </c>
      <c r="J124" s="3">
        <f>DM_GiaVatTu!$E$8</f>
        <v/>
      </c>
      <c r="K124" s="3">
        <f>ROUND((H124 + I124) * J124 * E124, 0)</f>
        <v/>
      </c>
      <c r="L124" s="3">
        <f>ROUND(E124 * 1.08 * IFERROR(XLOOKUP(B124, DM_DinhMuc_TT20!$B:$B, DM_DinhMuc_TT20!$G:$G, 150000), 150000), 0)</f>
        <v/>
      </c>
      <c r="M124" s="3">
        <f>ROUND(E124 * 1.10 * IFERROR(XLOOKUP(B124, DM_DinhMuc_TT20!$B:$B, DM_DinhMuc_TT20!$H:$H, 25000), 25000), 0)</f>
        <v/>
      </c>
      <c r="N124" s="3">
        <f>ROUND(E124 * IFERROR(XLOOKUP(B124, DM_DinhMuc_TT20!$B:$B, DM_DinhMuc_TT20!$I:$I, 80000), 80000), 0)</f>
        <v/>
      </c>
      <c r="O124" s="3" t="n">
        <v>0</v>
      </c>
      <c r="P124" s="3">
        <f>K124+L124+M124+N124+O124</f>
        <v/>
      </c>
      <c r="Q124" s="3">
        <f>IF(E124&gt;0, ROUND(P124/E124, 0), 0)</f>
        <v/>
      </c>
    </row>
    <row r="125">
      <c r="A125" s="2" t="n">
        <v>121</v>
      </c>
      <c r="B125" s="2" t="inlineStr">
        <is>
          <t>KK7</t>
        </is>
      </c>
      <c r="C125" s="2" t="inlineStr">
        <is>
          <t>SO 2</t>
        </is>
      </c>
      <c r="D125" s="2" t="inlineStr">
        <is>
          <t>µg/Nm3</t>
        </is>
      </c>
      <c r="E125" s="2" t="n">
        <v>10</v>
      </c>
      <c r="F125" s="2" t="n">
        <v>1</v>
      </c>
      <c r="G125" s="2">
        <f>IFERROR(XLOOKUP(B125, DM_DinhMuc_TT20!$B:$B, DM_DinhMuc_TT20!$F:$F, 0.8), 0.8)</f>
        <v/>
      </c>
      <c r="H125" s="2">
        <f>ROUND((G125 * 0.4 * 1.2) / IF(F125&gt;0, F125, 1), 4)</f>
        <v/>
      </c>
      <c r="I125" s="2">
        <f>ROUND(G125 * 0.6, 4)</f>
        <v/>
      </c>
      <c r="J125" s="2">
        <f>DM_GiaVatTu!$E$8</f>
        <v/>
      </c>
      <c r="K125" s="2">
        <f>ROUND((H125 + I125) * J125 * E125, 0)</f>
        <v/>
      </c>
      <c r="L125" s="2">
        <f>ROUND(E125 * 1.08 * IFERROR(XLOOKUP(B125, DM_DinhMuc_TT20!$B:$B, DM_DinhMuc_TT20!$G:$G, 150000), 150000), 0)</f>
        <v/>
      </c>
      <c r="M125" s="2">
        <f>ROUND(E125 * 1.10 * IFERROR(XLOOKUP(B125, DM_DinhMuc_TT20!$B:$B, DM_DinhMuc_TT20!$H:$H, 25000), 25000), 0)</f>
        <v/>
      </c>
      <c r="N125" s="2">
        <f>ROUND(E125 * IFERROR(XLOOKUP(B125, DM_DinhMuc_TT20!$B:$B, DM_DinhMuc_TT20!$I:$I, 80000), 80000), 0)</f>
        <v/>
      </c>
      <c r="O125" s="2" t="n">
        <v>0</v>
      </c>
      <c r="P125" s="2">
        <f>K125+L125+M125+N125+O125</f>
        <v/>
      </c>
      <c r="Q125" s="2">
        <f>IF(E125&gt;0, ROUND(P125/E125, 0), 0)</f>
        <v/>
      </c>
    </row>
    <row r="126">
      <c r="A126" s="3" t="n">
        <v>122</v>
      </c>
      <c r="B126" s="3" t="inlineStr">
        <is>
          <t>KK6</t>
        </is>
      </c>
      <c r="C126" s="3" t="inlineStr">
        <is>
          <t>NO 2</t>
        </is>
      </c>
      <c r="D126" s="3" t="inlineStr">
        <is>
          <t>µg/Nm3</t>
        </is>
      </c>
      <c r="E126" s="3" t="n">
        <v>10</v>
      </c>
      <c r="F126" s="3" t="n">
        <v>1</v>
      </c>
      <c r="G126" s="3">
        <f>IFERROR(XLOOKUP(B126, DM_DinhMuc_TT20!$B:$B, DM_DinhMuc_TT20!$F:$F, 0.8), 0.8)</f>
        <v/>
      </c>
      <c r="H126" s="3">
        <f>ROUND((G126 * 0.4 * 1.2) / IF(F126&gt;0, F126, 1), 4)</f>
        <v/>
      </c>
      <c r="I126" s="3">
        <f>ROUND(G126 * 0.6, 4)</f>
        <v/>
      </c>
      <c r="J126" s="3">
        <f>DM_GiaVatTu!$E$8</f>
        <v/>
      </c>
      <c r="K126" s="3">
        <f>ROUND((H126 + I126) * J126 * E126, 0)</f>
        <v/>
      </c>
      <c r="L126" s="3">
        <f>ROUND(E126 * 1.08 * IFERROR(XLOOKUP(B126, DM_DinhMuc_TT20!$B:$B, DM_DinhMuc_TT20!$G:$G, 150000), 150000), 0)</f>
        <v/>
      </c>
      <c r="M126" s="3">
        <f>ROUND(E126 * 1.10 * IFERROR(XLOOKUP(B126, DM_DinhMuc_TT20!$B:$B, DM_DinhMuc_TT20!$H:$H, 25000), 25000), 0)</f>
        <v/>
      </c>
      <c r="N126" s="3">
        <f>ROUND(E126 * IFERROR(XLOOKUP(B126, DM_DinhMuc_TT20!$B:$B, DM_DinhMuc_TT20!$I:$I, 80000), 80000), 0)</f>
        <v/>
      </c>
      <c r="O126" s="3" t="n">
        <v>0</v>
      </c>
      <c r="P126" s="3">
        <f>K126+L126+M126+N126+O126</f>
        <v/>
      </c>
      <c r="Q126" s="3">
        <f>IF(E126&gt;0, ROUND(P126/E126, 0), 0)</f>
        <v/>
      </c>
    </row>
    <row r="127">
      <c r="A127" s="2" t="n">
        <v>123</v>
      </c>
      <c r="B127" s="2" t="inlineStr">
        <is>
          <t>KK5a</t>
        </is>
      </c>
      <c r="C127" s="2" t="inlineStr">
        <is>
          <t>CO</t>
        </is>
      </c>
      <c r="D127" s="2" t="inlineStr">
        <is>
          <t>µg/Nm3</t>
        </is>
      </c>
      <c r="E127" s="2" t="n">
        <v>10</v>
      </c>
      <c r="F127" s="2" t="n">
        <v>1</v>
      </c>
      <c r="G127" s="2">
        <f>IFERROR(XLOOKUP(B127, DM_DinhMuc_TT20!$B:$B, DM_DinhMuc_TT20!$F:$F, 0.8), 0.8)</f>
        <v/>
      </c>
      <c r="H127" s="2">
        <f>ROUND((G127 * 0.4 * 1.2) / IF(F127&gt;0, F127, 1), 4)</f>
        <v/>
      </c>
      <c r="I127" s="2">
        <f>ROUND(G127 * 0.6, 4)</f>
        <v/>
      </c>
      <c r="J127" s="2">
        <f>DM_GiaVatTu!$E$8</f>
        <v/>
      </c>
      <c r="K127" s="2">
        <f>ROUND((H127 + I127) * J127 * E127, 0)</f>
        <v/>
      </c>
      <c r="L127" s="2">
        <f>ROUND(E127 * 1.08 * IFERROR(XLOOKUP(B127, DM_DinhMuc_TT20!$B:$B, DM_DinhMuc_TT20!$G:$G, 150000), 150000), 0)</f>
        <v/>
      </c>
      <c r="M127" s="2">
        <f>ROUND(E127 * 1.10 * IFERROR(XLOOKUP(B127, DM_DinhMuc_TT20!$B:$B, DM_DinhMuc_TT20!$H:$H, 25000), 25000), 0)</f>
        <v/>
      </c>
      <c r="N127" s="2">
        <f>ROUND(E127 * IFERROR(XLOOKUP(B127, DM_DinhMuc_TT20!$B:$B, DM_DinhMuc_TT20!$I:$I, 80000), 80000), 0)</f>
        <v/>
      </c>
      <c r="O127" s="2" t="n">
        <v>0</v>
      </c>
      <c r="P127" s="2">
        <f>K127+L127+M127+N127+O127</f>
        <v/>
      </c>
      <c r="Q127" s="2">
        <f>IF(E127&gt;0, ROUND(P127/E127, 0), 0)</f>
        <v/>
      </c>
    </row>
    <row r="128">
      <c r="A128" s="3" t="n">
        <v>124</v>
      </c>
      <c r="B128" s="3" t="inlineStr">
        <is>
          <t>KT16</t>
        </is>
      </c>
      <c r="C128" s="3" t="inlineStr">
        <is>
          <t>Lưu lượng</t>
        </is>
      </c>
      <c r="D128" s="3" t="inlineStr">
        <is>
          <t>m3/h</t>
        </is>
      </c>
      <c r="E128" s="3" t="n">
        <v>8</v>
      </c>
      <c r="F128" s="3" t="n">
        <v>1</v>
      </c>
      <c r="G128" s="3">
        <f>IFERROR(XLOOKUP(B128, DM_DinhMuc_TT20!$B:$B, DM_DinhMuc_TT20!$F:$F, 0.8), 0.8)</f>
        <v/>
      </c>
      <c r="H128" s="3">
        <f>ROUND((G128 * 0.4 * 1.2) / IF(F128&gt;0, F128, 1), 4)</f>
        <v/>
      </c>
      <c r="I128" s="3">
        <f>ROUND(G128 * 0.6, 4)</f>
        <v/>
      </c>
      <c r="J128" s="3">
        <f>DM_GiaVatTu!$E$8</f>
        <v/>
      </c>
      <c r="K128" s="3">
        <f>ROUND((H128 + I128) * J128 * E128, 0)</f>
        <v/>
      </c>
      <c r="L128" s="3">
        <f>ROUND(E128 * 1.08 * IFERROR(XLOOKUP(B128, DM_DinhMuc_TT20!$B:$B, DM_DinhMuc_TT20!$G:$G, 150000), 150000), 0)</f>
        <v/>
      </c>
      <c r="M128" s="3">
        <f>ROUND(E128 * 1.10 * IFERROR(XLOOKUP(B128, DM_DinhMuc_TT20!$B:$B, DM_DinhMuc_TT20!$H:$H, 25000), 25000), 0)</f>
        <v/>
      </c>
      <c r="N128" s="3">
        <f>ROUND(E128 * IFERROR(XLOOKUP(B128, DM_DinhMuc_TT20!$B:$B, DM_DinhMuc_TT20!$I:$I, 80000), 80000), 0)</f>
        <v/>
      </c>
      <c r="O128" s="3" t="n">
        <v>0</v>
      </c>
      <c r="P128" s="3">
        <f>K128+L128+M128+N128+O128</f>
        <v/>
      </c>
      <c r="Q128" s="3">
        <f>IF(E128&gt;0, ROUND(P128/E128, 0), 0)</f>
        <v/>
      </c>
    </row>
    <row r="129">
      <c r="A129" s="2" t="n">
        <v>125</v>
      </c>
      <c r="B129" s="2" t="inlineStr">
        <is>
          <t>KT4</t>
        </is>
      </c>
      <c r="C129" s="2" t="inlineStr">
        <is>
          <t>Nhiệt độ</t>
        </is>
      </c>
      <c r="D129" s="2" t="inlineStr">
        <is>
          <t>0C</t>
        </is>
      </c>
      <c r="E129" s="2" t="n">
        <v>8</v>
      </c>
      <c r="F129" s="2" t="n">
        <v>1</v>
      </c>
      <c r="G129" s="2">
        <f>IFERROR(XLOOKUP(B129, DM_DinhMuc_TT20!$B:$B, DM_DinhMuc_TT20!$F:$F, 0.8), 0.8)</f>
        <v/>
      </c>
      <c r="H129" s="2">
        <f>ROUND((G129 * 0.4 * 1.2) / IF(F129&gt;0, F129, 1), 4)</f>
        <v/>
      </c>
      <c r="I129" s="2">
        <f>ROUND(G129 * 0.6, 4)</f>
        <v/>
      </c>
      <c r="J129" s="2">
        <f>DM_GiaVatTu!$E$8</f>
        <v/>
      </c>
      <c r="K129" s="2">
        <f>ROUND((H129 + I129) * J129 * E129, 0)</f>
        <v/>
      </c>
      <c r="L129" s="2">
        <f>ROUND(E129 * 1.08 * IFERROR(XLOOKUP(B129, DM_DinhMuc_TT20!$B:$B, DM_DinhMuc_TT20!$G:$G, 150000), 150000), 0)</f>
        <v/>
      </c>
      <c r="M129" s="2">
        <f>ROUND(E129 * 1.10 * IFERROR(XLOOKUP(B129, DM_DinhMuc_TT20!$B:$B, DM_DinhMuc_TT20!$H:$H, 25000), 25000), 0)</f>
        <v/>
      </c>
      <c r="N129" s="2">
        <f>ROUND(E129 * IFERROR(XLOOKUP(B129, DM_DinhMuc_TT20!$B:$B, DM_DinhMuc_TT20!$I:$I, 80000), 80000), 0)</f>
        <v/>
      </c>
      <c r="O129" s="2" t="n">
        <v>0</v>
      </c>
      <c r="P129" s="2">
        <f>K129+L129+M129+N129+O129</f>
        <v/>
      </c>
      <c r="Q129" s="2">
        <f>IF(E129&gt;0, ROUND(P129/E129, 0), 0)</f>
        <v/>
      </c>
    </row>
    <row r="130">
      <c r="A130" s="3" t="n">
        <v>126</v>
      </c>
      <c r="B130" s="3" t="inlineStr">
        <is>
          <t>KT10a</t>
        </is>
      </c>
      <c r="C130" s="3" t="inlineStr">
        <is>
          <t>Bụi tổng</t>
        </is>
      </c>
      <c r="D130" s="3" t="inlineStr">
        <is>
          <t>mg/Nm3</t>
        </is>
      </c>
      <c r="E130" s="3" t="n">
        <v>8</v>
      </c>
      <c r="F130" s="3" t="n">
        <v>1</v>
      </c>
      <c r="G130" s="3">
        <f>IFERROR(XLOOKUP(B130, DM_DinhMuc_TT20!$B:$B, DM_DinhMuc_TT20!$F:$F, 0.8), 0.8)</f>
        <v/>
      </c>
      <c r="H130" s="3">
        <f>ROUND((G130 * 0.4 * 1.2) / IF(F130&gt;0, F130, 1), 4)</f>
        <v/>
      </c>
      <c r="I130" s="3">
        <f>ROUND(G130 * 0.6, 4)</f>
        <v/>
      </c>
      <c r="J130" s="3">
        <f>DM_GiaVatTu!$E$8</f>
        <v/>
      </c>
      <c r="K130" s="3">
        <f>ROUND((H130 + I130) * J130 * E130, 0)</f>
        <v/>
      </c>
      <c r="L130" s="3">
        <f>ROUND(E130 * 1.08 * IFERROR(XLOOKUP(B130, DM_DinhMuc_TT20!$B:$B, DM_DinhMuc_TT20!$G:$G, 150000), 150000), 0)</f>
        <v/>
      </c>
      <c r="M130" s="3">
        <f>ROUND(E130 * 1.10 * IFERROR(XLOOKUP(B130, DM_DinhMuc_TT20!$B:$B, DM_DinhMuc_TT20!$H:$H, 25000), 25000), 0)</f>
        <v/>
      </c>
      <c r="N130" s="3">
        <f>ROUND(E130 * IFERROR(XLOOKUP(B130, DM_DinhMuc_TT20!$B:$B, DM_DinhMuc_TT20!$I:$I, 80000), 80000), 0)</f>
        <v/>
      </c>
      <c r="O130" s="3" t="n">
        <v>0</v>
      </c>
      <c r="P130" s="3">
        <f>K130+L130+M130+N130+O130</f>
        <v/>
      </c>
      <c r="Q130" s="3">
        <f>IF(E130&gt;0, ROUND(P130/E130, 0), 0)</f>
        <v/>
      </c>
    </row>
    <row r="131">
      <c r="A131" s="2" t="n">
        <v>127</v>
      </c>
      <c r="B131" s="2" t="inlineStr">
        <is>
          <t>KT9b</t>
        </is>
      </c>
      <c r="C131" s="2" t="inlineStr">
        <is>
          <t>CO</t>
        </is>
      </c>
      <c r="D131" s="2" t="inlineStr">
        <is>
          <t>mg/Nm3</t>
        </is>
      </c>
      <c r="E131" s="2" t="n">
        <v>8</v>
      </c>
      <c r="F131" s="2" t="n">
        <v>1</v>
      </c>
      <c r="G131" s="2">
        <f>IFERROR(XLOOKUP(B131, DM_DinhMuc_TT20!$B:$B, DM_DinhMuc_TT20!$F:$F, 0.8), 0.8)</f>
        <v/>
      </c>
      <c r="H131" s="2">
        <f>ROUND((G131 * 0.4 * 1.2) / IF(F131&gt;0, F131, 1), 4)</f>
        <v/>
      </c>
      <c r="I131" s="2">
        <f>ROUND(G131 * 0.6, 4)</f>
        <v/>
      </c>
      <c r="J131" s="2">
        <f>DM_GiaVatTu!$E$8</f>
        <v/>
      </c>
      <c r="K131" s="2">
        <f>ROUND((H131 + I131) * J131 * E131, 0)</f>
        <v/>
      </c>
      <c r="L131" s="2">
        <f>ROUND(E131 * 1.08 * IFERROR(XLOOKUP(B131, DM_DinhMuc_TT20!$B:$B, DM_DinhMuc_TT20!$G:$G, 150000), 150000), 0)</f>
        <v/>
      </c>
      <c r="M131" s="2">
        <f>ROUND(E131 * 1.10 * IFERROR(XLOOKUP(B131, DM_DinhMuc_TT20!$B:$B, DM_DinhMuc_TT20!$H:$H, 25000), 25000), 0)</f>
        <v/>
      </c>
      <c r="N131" s="2">
        <f>ROUND(E131 * IFERROR(XLOOKUP(B131, DM_DinhMuc_TT20!$B:$B, DM_DinhMuc_TT20!$I:$I, 80000), 80000), 0)</f>
        <v/>
      </c>
      <c r="O131" s="2" t="n">
        <v>0</v>
      </c>
      <c r="P131" s="2">
        <f>K131+L131+M131+N131+O131</f>
        <v/>
      </c>
      <c r="Q131" s="2">
        <f>IF(E131&gt;0, ROUND(P131/E131, 0), 0)</f>
        <v/>
      </c>
    </row>
    <row r="132">
      <c r="A132" s="3" t="n">
        <v>128</v>
      </c>
      <c r="B132" s="3" t="inlineStr">
        <is>
          <t>KT9e</t>
        </is>
      </c>
      <c r="C132" s="3" t="inlineStr">
        <is>
          <t>NOx (tính theo NO2)</t>
        </is>
      </c>
      <c r="D132" s="3" t="inlineStr">
        <is>
          <t>mg/Nm3</t>
        </is>
      </c>
      <c r="E132" s="3" t="n">
        <v>8</v>
      </c>
      <c r="F132" s="3" t="n">
        <v>1</v>
      </c>
      <c r="G132" s="3">
        <f>IFERROR(XLOOKUP(B132, DM_DinhMuc_TT20!$B:$B, DM_DinhMuc_TT20!$F:$F, 0.8), 0.8)</f>
        <v/>
      </c>
      <c r="H132" s="3">
        <f>ROUND((G132 * 0.4 * 1.2) / IF(F132&gt;0, F132, 1), 4)</f>
        <v/>
      </c>
      <c r="I132" s="3">
        <f>ROUND(G132 * 0.6, 4)</f>
        <v/>
      </c>
      <c r="J132" s="3">
        <f>DM_GiaVatTu!$E$8</f>
        <v/>
      </c>
      <c r="K132" s="3">
        <f>ROUND((H132 + I132) * J132 * E132, 0)</f>
        <v/>
      </c>
      <c r="L132" s="3">
        <f>ROUND(E132 * 1.08 * IFERROR(XLOOKUP(B132, DM_DinhMuc_TT20!$B:$B, DM_DinhMuc_TT20!$G:$G, 150000), 150000), 0)</f>
        <v/>
      </c>
      <c r="M132" s="3">
        <f>ROUND(E132 * 1.10 * IFERROR(XLOOKUP(B132, DM_DinhMuc_TT20!$B:$B, DM_DinhMuc_TT20!$H:$H, 25000), 25000), 0)</f>
        <v/>
      </c>
      <c r="N132" s="3">
        <f>ROUND(E132 * IFERROR(XLOOKUP(B132, DM_DinhMuc_TT20!$B:$B, DM_DinhMuc_TT20!$I:$I, 80000), 80000), 0)</f>
        <v/>
      </c>
      <c r="O132" s="3" t="n">
        <v>0</v>
      </c>
      <c r="P132" s="3">
        <f>K132+L132+M132+N132+O132</f>
        <v/>
      </c>
      <c r="Q132" s="3">
        <f>IF(E132&gt;0, ROUND(P132/E132, 0), 0)</f>
        <v/>
      </c>
    </row>
    <row r="133">
      <c r="A133" s="2" t="n">
        <v>129</v>
      </c>
      <c r="B133" s="2" t="inlineStr">
        <is>
          <t>KT9đ</t>
        </is>
      </c>
      <c r="C133" s="2" t="inlineStr">
        <is>
          <t>SO 2</t>
        </is>
      </c>
      <c r="D133" s="2" t="inlineStr">
        <is>
          <t>mg/Nm3</t>
        </is>
      </c>
      <c r="E133" s="2" t="n">
        <v>8</v>
      </c>
      <c r="F133" s="2" t="n">
        <v>1</v>
      </c>
      <c r="G133" s="2">
        <f>IFERROR(XLOOKUP(B133, DM_DinhMuc_TT20!$B:$B, DM_DinhMuc_TT20!$F:$F, 0.8), 0.8)</f>
        <v/>
      </c>
      <c r="H133" s="2">
        <f>ROUND((G133 * 0.4 * 1.2) / IF(F133&gt;0, F133, 1), 4)</f>
        <v/>
      </c>
      <c r="I133" s="2">
        <f>ROUND(G133 * 0.6, 4)</f>
        <v/>
      </c>
      <c r="J133" s="2">
        <f>DM_GiaVatTu!$E$8</f>
        <v/>
      </c>
      <c r="K133" s="2">
        <f>ROUND((H133 + I133) * J133 * E133, 0)</f>
        <v/>
      </c>
      <c r="L133" s="2">
        <f>ROUND(E133 * 1.08 * IFERROR(XLOOKUP(B133, DM_DinhMuc_TT20!$B:$B, DM_DinhMuc_TT20!$G:$G, 150000), 150000), 0)</f>
        <v/>
      </c>
      <c r="M133" s="2">
        <f>ROUND(E133 * 1.10 * IFERROR(XLOOKUP(B133, DM_DinhMuc_TT20!$B:$B, DM_DinhMuc_TT20!$H:$H, 25000), 25000), 0)</f>
        <v/>
      </c>
      <c r="N133" s="2">
        <f>ROUND(E133 * IFERROR(XLOOKUP(B133, DM_DinhMuc_TT20!$B:$B, DM_DinhMuc_TT20!$I:$I, 80000), 80000), 0)</f>
        <v/>
      </c>
      <c r="O133" s="2" t="n">
        <v>0</v>
      </c>
      <c r="P133" s="2">
        <f>K133+L133+M133+N133+O133</f>
        <v/>
      </c>
      <c r="Q133" s="2">
        <f>IF(E133&gt;0, ROUND(P133/E133, 0), 0)</f>
        <v/>
      </c>
    </row>
    <row r="134">
      <c r="A134" s="3" t="n">
        <v>130</v>
      </c>
      <c r="B134" s="3" t="inlineStr">
        <is>
          <t>KT9a</t>
        </is>
      </c>
      <c r="C134" s="3" t="inlineStr">
        <is>
          <t>O2</t>
        </is>
      </c>
      <c r="D134" s="3" t="inlineStr">
        <is>
          <t>%</t>
        </is>
      </c>
      <c r="E134" s="3" t="n">
        <v>8</v>
      </c>
      <c r="F134" s="3" t="n">
        <v>1</v>
      </c>
      <c r="G134" s="3">
        <f>IFERROR(XLOOKUP(B134, DM_DinhMuc_TT20!$B:$B, DM_DinhMuc_TT20!$F:$F, 0.8), 0.8)</f>
        <v/>
      </c>
      <c r="H134" s="3">
        <f>ROUND((G134 * 0.4 * 1.2) / IF(F134&gt;0, F134, 1), 4)</f>
        <v/>
      </c>
      <c r="I134" s="3">
        <f>ROUND(G134 * 0.6, 4)</f>
        <v/>
      </c>
      <c r="J134" s="3">
        <f>DM_GiaVatTu!$E$8</f>
        <v/>
      </c>
      <c r="K134" s="3">
        <f>ROUND((H134 + I134) * J134 * E134, 0)</f>
        <v/>
      </c>
      <c r="L134" s="3">
        <f>ROUND(E134 * 1.08 * IFERROR(XLOOKUP(B134, DM_DinhMuc_TT20!$B:$B, DM_DinhMuc_TT20!$G:$G, 150000), 150000), 0)</f>
        <v/>
      </c>
      <c r="M134" s="3">
        <f>ROUND(E134 * 1.10 * IFERROR(XLOOKUP(B134, DM_DinhMuc_TT20!$B:$B, DM_DinhMuc_TT20!$H:$H, 25000), 25000), 0)</f>
        <v/>
      </c>
      <c r="N134" s="3">
        <f>ROUND(E134 * IFERROR(XLOOKUP(B134, DM_DinhMuc_TT20!$B:$B, DM_DinhMuc_TT20!$I:$I, 80000), 80000), 0)</f>
        <v/>
      </c>
      <c r="O134" s="3" t="n">
        <v>0</v>
      </c>
      <c r="P134" s="3">
        <f>K134+L134+M134+N134+O134</f>
        <v/>
      </c>
      <c r="Q134" s="3">
        <f>IF(E134&gt;0, ROUND(P134/E134, 0), 0)</f>
        <v/>
      </c>
    </row>
    <row r="135">
      <c r="A135" s="2" t="n">
        <v>131</v>
      </c>
      <c r="B135" s="2" t="inlineStr">
        <is>
          <t>NT1</t>
        </is>
      </c>
      <c r="C135" s="2" t="inlineStr">
        <is>
          <t>Nhiệt độ</t>
        </is>
      </c>
      <c r="D135" s="2" t="inlineStr">
        <is>
          <t>0C</t>
        </is>
      </c>
      <c r="E135" s="2" t="n">
        <v>8</v>
      </c>
      <c r="F135" s="2" t="n">
        <v>1</v>
      </c>
      <c r="G135" s="2">
        <f>IFERROR(XLOOKUP(B135, DM_DinhMuc_TT20!$B:$B, DM_DinhMuc_TT20!$F:$F, 0.8), 0.8)</f>
        <v/>
      </c>
      <c r="H135" s="2">
        <f>ROUND((G135 * 0.4 * 1.2) / IF(F135&gt;0, F135, 1), 4)</f>
        <v/>
      </c>
      <c r="I135" s="2">
        <f>ROUND(G135 * 0.6, 4)</f>
        <v/>
      </c>
      <c r="J135" s="2">
        <f>DM_GiaVatTu!$E$8</f>
        <v/>
      </c>
      <c r="K135" s="2">
        <f>ROUND((H135 + I135) * J135 * E135, 0)</f>
        <v/>
      </c>
      <c r="L135" s="2">
        <f>ROUND(E135 * 1.08 * IFERROR(XLOOKUP(B135, DM_DinhMuc_TT20!$B:$B, DM_DinhMuc_TT20!$G:$G, 150000), 150000), 0)</f>
        <v/>
      </c>
      <c r="M135" s="2">
        <f>ROUND(E135 * 1.10 * IFERROR(XLOOKUP(B135, DM_DinhMuc_TT20!$B:$B, DM_DinhMuc_TT20!$H:$H, 25000), 25000), 0)</f>
        <v/>
      </c>
      <c r="N135" s="2">
        <f>ROUND(E135 * IFERROR(XLOOKUP(B135, DM_DinhMuc_TT20!$B:$B, DM_DinhMuc_TT20!$I:$I, 80000), 80000), 0)</f>
        <v/>
      </c>
      <c r="O135" s="2" t="n">
        <v>0</v>
      </c>
      <c r="P135" s="2">
        <f>K135+L135+M135+N135+O135</f>
        <v/>
      </c>
      <c r="Q135" s="2">
        <f>IF(E135&gt;0, ROUND(P135/E135, 0), 0)</f>
        <v/>
      </c>
    </row>
    <row r="136">
      <c r="A136" s="3" t="n">
        <v>132</v>
      </c>
      <c r="B136" s="3" t="inlineStr">
        <is>
          <t>NT2</t>
        </is>
      </c>
      <c r="C136" s="3" t="inlineStr">
        <is>
          <t>pH</t>
        </is>
      </c>
      <c r="D136" s="3" t="inlineStr">
        <is>
          <t>-</t>
        </is>
      </c>
      <c r="E136" s="3" t="n">
        <v>8</v>
      </c>
      <c r="F136" s="3" t="n">
        <v>1</v>
      </c>
      <c r="G136" s="3">
        <f>IFERROR(XLOOKUP(B136, DM_DinhMuc_TT20!$B:$B, DM_DinhMuc_TT20!$F:$F, 0.8), 0.8)</f>
        <v/>
      </c>
      <c r="H136" s="3">
        <f>ROUND((G136 * 0.4 * 1.2) / IF(F136&gt;0, F136, 1), 4)</f>
        <v/>
      </c>
      <c r="I136" s="3">
        <f>ROUND(G136 * 0.6, 4)</f>
        <v/>
      </c>
      <c r="J136" s="3">
        <f>DM_GiaVatTu!$E$8</f>
        <v/>
      </c>
      <c r="K136" s="3">
        <f>ROUND((H136 + I136) * J136 * E136, 0)</f>
        <v/>
      </c>
      <c r="L136" s="3">
        <f>ROUND(E136 * 1.08 * IFERROR(XLOOKUP(B136, DM_DinhMuc_TT20!$B:$B, DM_DinhMuc_TT20!$G:$G, 150000), 150000), 0)</f>
        <v/>
      </c>
      <c r="M136" s="3">
        <f>ROUND(E136 * 1.10 * IFERROR(XLOOKUP(B136, DM_DinhMuc_TT20!$B:$B, DM_DinhMuc_TT20!$H:$H, 25000), 25000), 0)</f>
        <v/>
      </c>
      <c r="N136" s="3">
        <f>ROUND(E136 * IFERROR(XLOOKUP(B136, DM_DinhMuc_TT20!$B:$B, DM_DinhMuc_TT20!$I:$I, 80000), 80000), 0)</f>
        <v/>
      </c>
      <c r="O136" s="3" t="n">
        <v>0</v>
      </c>
      <c r="P136" s="3">
        <f>K136+L136+M136+N136+O136</f>
        <v/>
      </c>
      <c r="Q136" s="3">
        <f>IF(E136&gt;0, ROUND(P136/E136, 0), 0)</f>
        <v/>
      </c>
    </row>
    <row r="137">
      <c r="A137" s="2" t="n">
        <v>133</v>
      </c>
      <c r="B137" s="2" t="inlineStr">
        <is>
          <t>NT10j</t>
        </is>
      </c>
      <c r="C137" s="2" t="inlineStr">
        <is>
          <t>Clo dư</t>
        </is>
      </c>
      <c r="D137" s="2" t="inlineStr">
        <is>
          <t>mg/l</t>
        </is>
      </c>
      <c r="E137" s="2" t="n">
        <v>8</v>
      </c>
      <c r="F137" s="2" t="n">
        <v>1</v>
      </c>
      <c r="G137" s="2">
        <f>IFERROR(XLOOKUP(B137, DM_DinhMuc_TT20!$B:$B, DM_DinhMuc_TT20!$F:$F, 0.8), 0.8)</f>
        <v/>
      </c>
      <c r="H137" s="2">
        <f>ROUND((G137 * 0.4 * 1.2) / IF(F137&gt;0, F137, 1), 4)</f>
        <v/>
      </c>
      <c r="I137" s="2">
        <f>ROUND(G137 * 0.6, 4)</f>
        <v/>
      </c>
      <c r="J137" s="2">
        <f>DM_GiaVatTu!$E$8</f>
        <v/>
      </c>
      <c r="K137" s="2">
        <f>ROUND((H137 + I137) * J137 * E137, 0)</f>
        <v/>
      </c>
      <c r="L137" s="2">
        <f>ROUND(E137 * 1.08 * IFERROR(XLOOKUP(B137, DM_DinhMuc_TT20!$B:$B, DM_DinhMuc_TT20!$G:$G, 150000), 150000), 0)</f>
        <v/>
      </c>
      <c r="M137" s="2">
        <f>ROUND(E137 * 1.10 * IFERROR(XLOOKUP(B137, DM_DinhMuc_TT20!$B:$B, DM_DinhMuc_TT20!$H:$H, 25000), 25000), 0)</f>
        <v/>
      </c>
      <c r="N137" s="2">
        <f>ROUND(E137 * IFERROR(XLOOKUP(B137, DM_DinhMuc_TT20!$B:$B, DM_DinhMuc_TT20!$I:$I, 80000), 80000), 0)</f>
        <v/>
      </c>
      <c r="O137" s="2" t="n">
        <v>0</v>
      </c>
      <c r="P137" s="2">
        <f>K137+L137+M137+N137+O137</f>
        <v/>
      </c>
      <c r="Q137" s="2">
        <f>IF(E137&gt;0, ROUND(P137/E137, 0), 0)</f>
        <v/>
      </c>
    </row>
    <row r="138">
      <c r="A138" s="3" t="n">
        <v>134</v>
      </c>
      <c r="B138" s="3" t="inlineStr">
        <is>
          <t>NT5b</t>
        </is>
      </c>
      <c r="C138" s="3" t="inlineStr">
        <is>
          <t>COD</t>
        </is>
      </c>
      <c r="D138" s="3" t="inlineStr">
        <is>
          <t>mg/l</t>
        </is>
      </c>
      <c r="E138" s="3" t="n">
        <v>8</v>
      </c>
      <c r="F138" s="3" t="n">
        <v>1</v>
      </c>
      <c r="G138" s="3">
        <f>IFERROR(XLOOKUP(B138, DM_DinhMuc_TT20!$B:$B, DM_DinhMuc_TT20!$F:$F, 0.8), 0.8)</f>
        <v/>
      </c>
      <c r="H138" s="3">
        <f>ROUND((G138 * 0.4 * 1.2) / IF(F138&gt;0, F138, 1), 4)</f>
        <v/>
      </c>
      <c r="I138" s="3">
        <f>ROUND(G138 * 0.6, 4)</f>
        <v/>
      </c>
      <c r="J138" s="3">
        <f>DM_GiaVatTu!$E$8</f>
        <v/>
      </c>
      <c r="K138" s="3">
        <f>ROUND((H138 + I138) * J138 * E138, 0)</f>
        <v/>
      </c>
      <c r="L138" s="3">
        <f>ROUND(E138 * 1.08 * IFERROR(XLOOKUP(B138, DM_DinhMuc_TT20!$B:$B, DM_DinhMuc_TT20!$G:$G, 150000), 150000), 0)</f>
        <v/>
      </c>
      <c r="M138" s="3">
        <f>ROUND(E138 * 1.10 * IFERROR(XLOOKUP(B138, DM_DinhMuc_TT20!$B:$B, DM_DinhMuc_TT20!$H:$H, 25000), 25000), 0)</f>
        <v/>
      </c>
      <c r="N138" s="3">
        <f>ROUND(E138 * IFERROR(XLOOKUP(B138, DM_DinhMuc_TT20!$B:$B, DM_DinhMuc_TT20!$I:$I, 80000), 80000), 0)</f>
        <v/>
      </c>
      <c r="O138" s="3" t="n">
        <v>0</v>
      </c>
      <c r="P138" s="3">
        <f>K138+L138+M138+N138+O138</f>
        <v/>
      </c>
      <c r="Q138" s="3">
        <f>IF(E138&gt;0, ROUND(P138/E138, 0), 0)</f>
        <v/>
      </c>
    </row>
    <row r="139">
      <c r="A139" s="2" t="n">
        <v>135</v>
      </c>
      <c r="B139" s="2" t="inlineStr">
        <is>
          <t>NT6</t>
        </is>
      </c>
      <c r="C139" s="2" t="inlineStr">
        <is>
          <t>TSS</t>
        </is>
      </c>
      <c r="D139" s="2" t="inlineStr">
        <is>
          <t>mg/l</t>
        </is>
      </c>
      <c r="E139" s="2" t="n">
        <v>8</v>
      </c>
      <c r="F139" s="2" t="n">
        <v>1</v>
      </c>
      <c r="G139" s="2">
        <f>IFERROR(XLOOKUP(B139, DM_DinhMuc_TT20!$B:$B, DM_DinhMuc_TT20!$F:$F, 0.8), 0.8)</f>
        <v/>
      </c>
      <c r="H139" s="2">
        <f>ROUND((G139 * 0.4 * 1.2) / IF(F139&gt;0, F139, 1), 4)</f>
        <v/>
      </c>
      <c r="I139" s="2">
        <f>ROUND(G139 * 0.6, 4)</f>
        <v/>
      </c>
      <c r="J139" s="2">
        <f>DM_GiaVatTu!$E$8</f>
        <v/>
      </c>
      <c r="K139" s="2">
        <f>ROUND((H139 + I139) * J139 * E139, 0)</f>
        <v/>
      </c>
      <c r="L139" s="2">
        <f>ROUND(E139 * 1.08 * IFERROR(XLOOKUP(B139, DM_DinhMuc_TT20!$B:$B, DM_DinhMuc_TT20!$G:$G, 150000), 150000), 0)</f>
        <v/>
      </c>
      <c r="M139" s="2">
        <f>ROUND(E139 * 1.10 * IFERROR(XLOOKUP(B139, DM_DinhMuc_TT20!$B:$B, DM_DinhMuc_TT20!$H:$H, 25000), 25000), 0)</f>
        <v/>
      </c>
      <c r="N139" s="2">
        <f>ROUND(E139 * IFERROR(XLOOKUP(B139, DM_DinhMuc_TT20!$B:$B, DM_DinhMuc_TT20!$I:$I, 80000), 80000), 0)</f>
        <v/>
      </c>
      <c r="O139" s="2" t="n">
        <v>0</v>
      </c>
      <c r="P139" s="2">
        <f>K139+L139+M139+N139+O139</f>
        <v/>
      </c>
      <c r="Q139" s="2">
        <f>IF(E139&gt;0, ROUND(P139/E139, 0), 0)</f>
        <v/>
      </c>
    </row>
    <row r="140">
      <c r="A140" s="3" t="n">
        <v>136</v>
      </c>
      <c r="B140" s="3" t="inlineStr">
        <is>
          <t>MỤC 2</t>
        </is>
      </c>
      <c r="C140" s="3" t="inlineStr">
        <is>
          <t>Tiêu đề: Nước thải sau xử lý của HTXLNT tập trung</t>
        </is>
      </c>
      <c r="D140" s="3" t="inlineStr">
        <is>
          <t>Header</t>
        </is>
      </c>
      <c r="E140" s="3" t="n">
        <v>0</v>
      </c>
      <c r="F140" s="3" t="n">
        <v>1</v>
      </c>
      <c r="G140" s="3">
        <f>IFERROR(XLOOKUP(B140, DM_DinhMuc_TT20!$B:$B, DM_DinhMuc_TT20!$F:$F, 0.8), 0.8)</f>
        <v/>
      </c>
      <c r="H140" s="3">
        <f>ROUND((G140 * 0.4 * 1.2) / IF(F140&gt;0, F140, 1), 4)</f>
        <v/>
      </c>
      <c r="I140" s="3">
        <f>ROUND(G140 * 0.6, 4)</f>
        <v/>
      </c>
      <c r="J140" s="3">
        <f>DM_GiaVatTu!$E$8</f>
        <v/>
      </c>
      <c r="K140" s="3">
        <f>ROUND((H140 + I140) * J140 * E140, 0)</f>
        <v/>
      </c>
      <c r="L140" s="3">
        <f>ROUND(E140 * 1.08 * IFERROR(XLOOKUP(B140, DM_DinhMuc_TT20!$B:$B, DM_DinhMuc_TT20!$G:$G, 150000), 150000), 0)</f>
        <v/>
      </c>
      <c r="M140" s="3">
        <f>ROUND(E140 * 1.10 * IFERROR(XLOOKUP(B140, DM_DinhMuc_TT20!$B:$B, DM_DinhMuc_TT20!$H:$H, 25000), 25000), 0)</f>
        <v/>
      </c>
      <c r="N140" s="3">
        <f>ROUND(E140 * IFERROR(XLOOKUP(B140, DM_DinhMuc_TT20!$B:$B, DM_DinhMuc_TT20!$I:$I, 80000), 80000), 0)</f>
        <v/>
      </c>
      <c r="O140" s="3" t="n">
        <v>0</v>
      </c>
      <c r="P140" s="3">
        <f>K140+L140+M140+N140+O140</f>
        <v/>
      </c>
      <c r="Q140" s="3">
        <f>IF(E140&gt;0, ROUND(P140/E140, 0), 0)</f>
        <v/>
      </c>
    </row>
    <row r="141">
      <c r="A141" s="2" t="n">
        <v>137</v>
      </c>
      <c r="B141" s="2" t="inlineStr">
        <is>
          <t>NT1</t>
        </is>
      </c>
      <c r="C141" s="2" t="inlineStr">
        <is>
          <t>Nhiệt độ</t>
        </is>
      </c>
      <c r="D141" s="2" t="inlineStr">
        <is>
          <t>0C</t>
        </is>
      </c>
      <c r="E141" s="2" t="n">
        <v>8</v>
      </c>
      <c r="F141" s="2" t="n">
        <v>1</v>
      </c>
      <c r="G141" s="2">
        <f>IFERROR(XLOOKUP(B141, DM_DinhMuc_TT20!$B:$B, DM_DinhMuc_TT20!$F:$F, 0.8), 0.8)</f>
        <v/>
      </c>
      <c r="H141" s="2">
        <f>ROUND((G141 * 0.4 * 1.2) / IF(F141&gt;0, F141, 1), 4)</f>
        <v/>
      </c>
      <c r="I141" s="2">
        <f>ROUND(G141 * 0.6, 4)</f>
        <v/>
      </c>
      <c r="J141" s="2">
        <f>DM_GiaVatTu!$E$8</f>
        <v/>
      </c>
      <c r="K141" s="2">
        <f>ROUND((H141 + I141) * J141 * E141, 0)</f>
        <v/>
      </c>
      <c r="L141" s="2">
        <f>ROUND(E141 * 1.08 * IFERROR(XLOOKUP(B141, DM_DinhMuc_TT20!$B:$B, DM_DinhMuc_TT20!$G:$G, 150000), 150000), 0)</f>
        <v/>
      </c>
      <c r="M141" s="2">
        <f>ROUND(E141 * 1.10 * IFERROR(XLOOKUP(B141, DM_DinhMuc_TT20!$B:$B, DM_DinhMuc_TT20!$H:$H, 25000), 25000), 0)</f>
        <v/>
      </c>
      <c r="N141" s="2">
        <f>ROUND(E141 * IFERROR(XLOOKUP(B141, DM_DinhMuc_TT20!$B:$B, DM_DinhMuc_TT20!$I:$I, 80000), 80000), 0)</f>
        <v/>
      </c>
      <c r="O141" s="2" t="n">
        <v>0</v>
      </c>
      <c r="P141" s="2">
        <f>K141+L141+M141+N141+O141</f>
        <v/>
      </c>
      <c r="Q141" s="2">
        <f>IF(E141&gt;0, ROUND(P141/E141, 0), 0)</f>
        <v/>
      </c>
    </row>
    <row r="142">
      <c r="A142" s="3" t="n">
        <v>138</v>
      </c>
      <c r="B142" s="3" t="inlineStr">
        <is>
          <t>NT2</t>
        </is>
      </c>
      <c r="C142" s="3" t="inlineStr">
        <is>
          <t>pH</t>
        </is>
      </c>
      <c r="D142" s="3" t="inlineStr">
        <is>
          <t>-</t>
        </is>
      </c>
      <c r="E142" s="3" t="n">
        <v>8</v>
      </c>
      <c r="F142" s="3" t="n">
        <v>1</v>
      </c>
      <c r="G142" s="3">
        <f>IFERROR(XLOOKUP(B142, DM_DinhMuc_TT20!$B:$B, DM_DinhMuc_TT20!$F:$F, 0.8), 0.8)</f>
        <v/>
      </c>
      <c r="H142" s="3">
        <f>ROUND((G142 * 0.4 * 1.2) / IF(F142&gt;0, F142, 1), 4)</f>
        <v/>
      </c>
      <c r="I142" s="3">
        <f>ROUND(G142 * 0.6, 4)</f>
        <v/>
      </c>
      <c r="J142" s="3">
        <f>DM_GiaVatTu!$E$8</f>
        <v/>
      </c>
      <c r="K142" s="3">
        <f>ROUND((H142 + I142) * J142 * E142, 0)</f>
        <v/>
      </c>
      <c r="L142" s="3">
        <f>ROUND(E142 * 1.08 * IFERROR(XLOOKUP(B142, DM_DinhMuc_TT20!$B:$B, DM_DinhMuc_TT20!$G:$G, 150000), 150000), 0)</f>
        <v/>
      </c>
      <c r="M142" s="3">
        <f>ROUND(E142 * 1.10 * IFERROR(XLOOKUP(B142, DM_DinhMuc_TT20!$B:$B, DM_DinhMuc_TT20!$H:$H, 25000), 25000), 0)</f>
        <v/>
      </c>
      <c r="N142" s="3">
        <f>ROUND(E142 * IFERROR(XLOOKUP(B142, DM_DinhMuc_TT20!$B:$B, DM_DinhMuc_TT20!$I:$I, 80000), 80000), 0)</f>
        <v/>
      </c>
      <c r="O142" s="3" t="n">
        <v>0</v>
      </c>
      <c r="P142" s="3">
        <f>K142+L142+M142+N142+O142</f>
        <v/>
      </c>
      <c r="Q142" s="3">
        <f>IF(E142&gt;0, ROUND(P142/E142, 0), 0)</f>
        <v/>
      </c>
    </row>
    <row r="143">
      <c r="A143" s="2" t="n">
        <v>139</v>
      </c>
      <c r="B143" s="2" t="inlineStr">
        <is>
          <t>NT4b</t>
        </is>
      </c>
      <c r="C143" s="2" t="inlineStr">
        <is>
          <t>Độ màu</t>
        </is>
      </c>
      <c r="D143" s="2" t="inlineStr">
        <is>
          <t>Pt/Co</t>
        </is>
      </c>
      <c r="E143" s="2" t="n">
        <v>8</v>
      </c>
      <c r="F143" s="2" t="n">
        <v>1</v>
      </c>
      <c r="G143" s="2">
        <f>IFERROR(XLOOKUP(B143, DM_DinhMuc_TT20!$B:$B, DM_DinhMuc_TT20!$F:$F, 0.8), 0.8)</f>
        <v/>
      </c>
      <c r="H143" s="2">
        <f>ROUND((G143 * 0.4 * 1.2) / IF(F143&gt;0, F143, 1), 4)</f>
        <v/>
      </c>
      <c r="I143" s="2">
        <f>ROUND(G143 * 0.6, 4)</f>
        <v/>
      </c>
      <c r="J143" s="2">
        <f>DM_GiaVatTu!$E$8</f>
        <v/>
      </c>
      <c r="K143" s="2">
        <f>ROUND((H143 + I143) * J143 * E143, 0)</f>
        <v/>
      </c>
      <c r="L143" s="2">
        <f>ROUND(E143 * 1.08 * IFERROR(XLOOKUP(B143, DM_DinhMuc_TT20!$B:$B, DM_DinhMuc_TT20!$G:$G, 150000), 150000), 0)</f>
        <v/>
      </c>
      <c r="M143" s="2">
        <f>ROUND(E143 * 1.10 * IFERROR(XLOOKUP(B143, DM_DinhMuc_TT20!$B:$B, DM_DinhMuc_TT20!$H:$H, 25000), 25000), 0)</f>
        <v/>
      </c>
      <c r="N143" s="2">
        <f>ROUND(E143 * IFERROR(XLOOKUP(B143, DM_DinhMuc_TT20!$B:$B, DM_DinhMuc_TT20!$I:$I, 80000), 80000), 0)</f>
        <v/>
      </c>
      <c r="O143" s="2" t="n">
        <v>0</v>
      </c>
      <c r="P143" s="2">
        <f>K143+L143+M143+N143+O143</f>
        <v/>
      </c>
      <c r="Q143" s="2">
        <f>IF(E143&gt;0, ROUND(P143/E143, 0), 0)</f>
        <v/>
      </c>
    </row>
    <row r="144">
      <c r="A144" s="3" t="n">
        <v>140</v>
      </c>
      <c r="B144" s="3" t="inlineStr">
        <is>
          <t>NT5a</t>
        </is>
      </c>
      <c r="C144" s="3" t="inlineStr">
        <is>
          <t>BOD5</t>
        </is>
      </c>
      <c r="D144" s="3" t="inlineStr">
        <is>
          <t>mg/l</t>
        </is>
      </c>
      <c r="E144" s="3" t="n">
        <v>8</v>
      </c>
      <c r="F144" s="3" t="n">
        <v>1</v>
      </c>
      <c r="G144" s="3">
        <f>IFERROR(XLOOKUP(B144, DM_DinhMuc_TT20!$B:$B, DM_DinhMuc_TT20!$F:$F, 0.8), 0.8)</f>
        <v/>
      </c>
      <c r="H144" s="3">
        <f>ROUND((G144 * 0.4 * 1.2) / IF(F144&gt;0, F144, 1), 4)</f>
        <v/>
      </c>
      <c r="I144" s="3">
        <f>ROUND(G144 * 0.6, 4)</f>
        <v/>
      </c>
      <c r="J144" s="3">
        <f>DM_GiaVatTu!$E$8</f>
        <v/>
      </c>
      <c r="K144" s="3">
        <f>ROUND((H144 + I144) * J144 * E144, 0)</f>
        <v/>
      </c>
      <c r="L144" s="3">
        <f>ROUND(E144 * 1.08 * IFERROR(XLOOKUP(B144, DM_DinhMuc_TT20!$B:$B, DM_DinhMuc_TT20!$G:$G, 150000), 150000), 0)</f>
        <v/>
      </c>
      <c r="M144" s="3">
        <f>ROUND(E144 * 1.10 * IFERROR(XLOOKUP(B144, DM_DinhMuc_TT20!$B:$B, DM_DinhMuc_TT20!$H:$H, 25000), 25000), 0)</f>
        <v/>
      </c>
      <c r="N144" s="3">
        <f>ROUND(E144 * IFERROR(XLOOKUP(B144, DM_DinhMuc_TT20!$B:$B, DM_DinhMuc_TT20!$I:$I, 80000), 80000), 0)</f>
        <v/>
      </c>
      <c r="O144" s="3" t="n">
        <v>0</v>
      </c>
      <c r="P144" s="3">
        <f>K144+L144+M144+N144+O144</f>
        <v/>
      </c>
      <c r="Q144" s="3">
        <f>IF(E144&gt;0, ROUND(P144/E144, 0), 0)</f>
        <v/>
      </c>
    </row>
    <row r="145">
      <c r="A145" s="2" t="n">
        <v>141</v>
      </c>
      <c r="B145" s="2" t="inlineStr">
        <is>
          <t>NT5b</t>
        </is>
      </c>
      <c r="C145" s="2" t="inlineStr">
        <is>
          <t>COD</t>
        </is>
      </c>
      <c r="D145" s="2" t="inlineStr">
        <is>
          <t>mg/l</t>
        </is>
      </c>
      <c r="E145" s="2" t="n">
        <v>8</v>
      </c>
      <c r="F145" s="2" t="n">
        <v>1</v>
      </c>
      <c r="G145" s="2">
        <f>IFERROR(XLOOKUP(B145, DM_DinhMuc_TT20!$B:$B, DM_DinhMuc_TT20!$F:$F, 0.8), 0.8)</f>
        <v/>
      </c>
      <c r="H145" s="2">
        <f>ROUND((G145 * 0.4 * 1.2) / IF(F145&gt;0, F145, 1), 4)</f>
        <v/>
      </c>
      <c r="I145" s="2">
        <f>ROUND(G145 * 0.6, 4)</f>
        <v/>
      </c>
      <c r="J145" s="2">
        <f>DM_GiaVatTu!$E$8</f>
        <v/>
      </c>
      <c r="K145" s="2">
        <f>ROUND((H145 + I145) * J145 * E145, 0)</f>
        <v/>
      </c>
      <c r="L145" s="2">
        <f>ROUND(E145 * 1.08 * IFERROR(XLOOKUP(B145, DM_DinhMuc_TT20!$B:$B, DM_DinhMuc_TT20!$G:$G, 150000), 150000), 0)</f>
        <v/>
      </c>
      <c r="M145" s="2">
        <f>ROUND(E145 * 1.10 * IFERROR(XLOOKUP(B145, DM_DinhMuc_TT20!$B:$B, DM_DinhMuc_TT20!$H:$H, 25000), 25000), 0)</f>
        <v/>
      </c>
      <c r="N145" s="2">
        <f>ROUND(E145 * IFERROR(XLOOKUP(B145, DM_DinhMuc_TT20!$B:$B, DM_DinhMuc_TT20!$I:$I, 80000), 80000), 0)</f>
        <v/>
      </c>
      <c r="O145" s="2" t="n">
        <v>0</v>
      </c>
      <c r="P145" s="2">
        <f>K145+L145+M145+N145+O145</f>
        <v/>
      </c>
      <c r="Q145" s="2">
        <f>IF(E145&gt;0, ROUND(P145/E145, 0), 0)</f>
        <v/>
      </c>
    </row>
    <row r="146">
      <c r="A146" s="3" t="n">
        <v>142</v>
      </c>
      <c r="B146" s="3" t="inlineStr">
        <is>
          <t>NT6</t>
        </is>
      </c>
      <c r="C146" s="3" t="inlineStr">
        <is>
          <t>TSS</t>
        </is>
      </c>
      <c r="D146" s="3" t="inlineStr">
        <is>
          <t>mg/l</t>
        </is>
      </c>
      <c r="E146" s="3" t="n">
        <v>8</v>
      </c>
      <c r="F146" s="3" t="n">
        <v>1</v>
      </c>
      <c r="G146" s="3">
        <f>IFERROR(XLOOKUP(B146, DM_DinhMuc_TT20!$B:$B, DM_DinhMuc_TT20!$F:$F, 0.8), 0.8)</f>
        <v/>
      </c>
      <c r="H146" s="3">
        <f>ROUND((G146 * 0.4 * 1.2) / IF(F146&gt;0, F146, 1), 4)</f>
        <v/>
      </c>
      <c r="I146" s="3">
        <f>ROUND(G146 * 0.6, 4)</f>
        <v/>
      </c>
      <c r="J146" s="3">
        <f>DM_GiaVatTu!$E$8</f>
        <v/>
      </c>
      <c r="K146" s="3">
        <f>ROUND((H146 + I146) * J146 * E146, 0)</f>
        <v/>
      </c>
      <c r="L146" s="3">
        <f>ROUND(E146 * 1.08 * IFERROR(XLOOKUP(B146, DM_DinhMuc_TT20!$B:$B, DM_DinhMuc_TT20!$G:$G, 150000), 150000), 0)</f>
        <v/>
      </c>
      <c r="M146" s="3">
        <f>ROUND(E146 * 1.10 * IFERROR(XLOOKUP(B146, DM_DinhMuc_TT20!$B:$B, DM_DinhMuc_TT20!$H:$H, 25000), 25000), 0)</f>
        <v/>
      </c>
      <c r="N146" s="3">
        <f>ROUND(E146 * IFERROR(XLOOKUP(B146, DM_DinhMuc_TT20!$B:$B, DM_DinhMuc_TT20!$I:$I, 80000), 80000), 0)</f>
        <v/>
      </c>
      <c r="O146" s="3" t="n">
        <v>0</v>
      </c>
      <c r="P146" s="3">
        <f>K146+L146+M146+N146+O146</f>
        <v/>
      </c>
      <c r="Q146" s="3">
        <f>IF(E146&gt;0, ROUND(P146/E146, 0), 0)</f>
        <v/>
      </c>
    </row>
    <row r="147">
      <c r="A147" s="2" t="n">
        <v>143</v>
      </c>
      <c r="B147" s="2" t="inlineStr">
        <is>
          <t>NT10c</t>
        </is>
      </c>
      <c r="C147" s="2" t="inlineStr">
        <is>
          <t>Amoni (tính theo N)</t>
        </is>
      </c>
      <c r="D147" s="2" t="inlineStr">
        <is>
          <t>mg/l</t>
        </is>
      </c>
      <c r="E147" s="2" t="n">
        <v>8</v>
      </c>
      <c r="F147" s="2" t="n">
        <v>1</v>
      </c>
      <c r="G147" s="2">
        <f>IFERROR(XLOOKUP(B147, DM_DinhMuc_TT20!$B:$B, DM_DinhMuc_TT20!$F:$F, 0.8), 0.8)</f>
        <v/>
      </c>
      <c r="H147" s="2">
        <f>ROUND((G147 * 0.4 * 1.2) / IF(F147&gt;0, F147, 1), 4)</f>
        <v/>
      </c>
      <c r="I147" s="2">
        <f>ROUND(G147 * 0.6, 4)</f>
        <v/>
      </c>
      <c r="J147" s="2">
        <f>DM_GiaVatTu!$E$8</f>
        <v/>
      </c>
      <c r="K147" s="2">
        <f>ROUND((H147 + I147) * J147 * E147, 0)</f>
        <v/>
      </c>
      <c r="L147" s="2">
        <f>ROUND(E147 * 1.08 * IFERROR(XLOOKUP(B147, DM_DinhMuc_TT20!$B:$B, DM_DinhMuc_TT20!$G:$G, 150000), 150000), 0)</f>
        <v/>
      </c>
      <c r="M147" s="2">
        <f>ROUND(E147 * 1.10 * IFERROR(XLOOKUP(B147, DM_DinhMuc_TT20!$B:$B, DM_DinhMuc_TT20!$H:$H, 25000), 25000), 0)</f>
        <v/>
      </c>
      <c r="N147" s="2">
        <f>ROUND(E147 * IFERROR(XLOOKUP(B147, DM_DinhMuc_TT20!$B:$B, DM_DinhMuc_TT20!$I:$I, 80000), 80000), 0)</f>
        <v/>
      </c>
      <c r="O147" s="2" t="n">
        <v>0</v>
      </c>
      <c r="P147" s="2">
        <f>K147+L147+M147+N147+O147</f>
        <v/>
      </c>
      <c r="Q147" s="2">
        <f>IF(E147&gt;0, ROUND(P147/E147, 0), 0)</f>
        <v/>
      </c>
    </row>
    <row r="148">
      <c r="A148" s="3" t="n">
        <v>144</v>
      </c>
      <c r="B148" s="3" t="inlineStr">
        <is>
          <t>NT10l1</t>
        </is>
      </c>
      <c r="C148" s="3" t="inlineStr">
        <is>
          <t>Asen</t>
        </is>
      </c>
      <c r="D148" s="3" t="inlineStr">
        <is>
          <t>mg/l</t>
        </is>
      </c>
      <c r="E148" s="3" t="n">
        <v>8</v>
      </c>
      <c r="F148" s="3" t="n">
        <v>1</v>
      </c>
      <c r="G148" s="3">
        <f>IFERROR(XLOOKUP(B148, DM_DinhMuc_TT20!$B:$B, DM_DinhMuc_TT20!$F:$F, 0.8), 0.8)</f>
        <v/>
      </c>
      <c r="H148" s="3">
        <f>ROUND((G148 * 0.4 * 1.2) / IF(F148&gt;0, F148, 1), 4)</f>
        <v/>
      </c>
      <c r="I148" s="3">
        <f>ROUND(G148 * 0.6, 4)</f>
        <v/>
      </c>
      <c r="J148" s="3">
        <f>DM_GiaVatTu!$E$8</f>
        <v/>
      </c>
      <c r="K148" s="3">
        <f>ROUND((H148 + I148) * J148 * E148, 0)</f>
        <v/>
      </c>
      <c r="L148" s="3">
        <f>ROUND(E148 * 1.08 * IFERROR(XLOOKUP(B148, DM_DinhMuc_TT20!$B:$B, DM_DinhMuc_TT20!$G:$G, 150000), 150000), 0)</f>
        <v/>
      </c>
      <c r="M148" s="3">
        <f>ROUND(E148 * 1.10 * IFERROR(XLOOKUP(B148, DM_DinhMuc_TT20!$B:$B, DM_DinhMuc_TT20!$H:$H, 25000), 25000), 0)</f>
        <v/>
      </c>
      <c r="N148" s="3">
        <f>ROUND(E148 * IFERROR(XLOOKUP(B148, DM_DinhMuc_TT20!$B:$B, DM_DinhMuc_TT20!$I:$I, 80000), 80000), 0)</f>
        <v/>
      </c>
      <c r="O148" s="3" t="n">
        <v>0</v>
      </c>
      <c r="P148" s="3">
        <f>K148+L148+M148+N148+O148</f>
        <v/>
      </c>
      <c r="Q148" s="3">
        <f>IF(E148&gt;0, ROUND(P148/E148, 0), 0)</f>
        <v/>
      </c>
    </row>
    <row r="149">
      <c r="A149" s="2" t="n">
        <v>145</v>
      </c>
      <c r="B149" s="2" t="inlineStr">
        <is>
          <t>NT10l2</t>
        </is>
      </c>
      <c r="C149" s="2" t="inlineStr">
        <is>
          <t>Thủy ngân</t>
        </is>
      </c>
      <c r="D149" s="2" t="inlineStr">
        <is>
          <t>mg/l</t>
        </is>
      </c>
      <c r="E149" s="2" t="n">
        <v>8</v>
      </c>
      <c r="F149" s="2" t="n">
        <v>1</v>
      </c>
      <c r="G149" s="2">
        <f>IFERROR(XLOOKUP(B149, DM_DinhMuc_TT20!$B:$B, DM_DinhMuc_TT20!$F:$F, 0.8), 0.8)</f>
        <v/>
      </c>
      <c r="H149" s="2">
        <f>ROUND((G149 * 0.4 * 1.2) / IF(F149&gt;0, F149, 1), 4)</f>
        <v/>
      </c>
      <c r="I149" s="2">
        <f>ROUND(G149 * 0.6, 4)</f>
        <v/>
      </c>
      <c r="J149" s="2">
        <f>DM_GiaVatTu!$E$8</f>
        <v/>
      </c>
      <c r="K149" s="2">
        <f>ROUND((H149 + I149) * J149 * E149, 0)</f>
        <v/>
      </c>
      <c r="L149" s="2">
        <f>ROUND(E149 * 1.08 * IFERROR(XLOOKUP(B149, DM_DinhMuc_TT20!$B:$B, DM_DinhMuc_TT20!$G:$G, 150000), 150000), 0)</f>
        <v/>
      </c>
      <c r="M149" s="2">
        <f>ROUND(E149 * 1.10 * IFERROR(XLOOKUP(B149, DM_DinhMuc_TT20!$B:$B, DM_DinhMuc_TT20!$H:$H, 25000), 25000), 0)</f>
        <v/>
      </c>
      <c r="N149" s="2">
        <f>ROUND(E149 * IFERROR(XLOOKUP(B149, DM_DinhMuc_TT20!$B:$B, DM_DinhMuc_TT20!$I:$I, 80000), 80000), 0)</f>
        <v/>
      </c>
      <c r="O149" s="2" t="n">
        <v>0</v>
      </c>
      <c r="P149" s="2">
        <f>K149+L149+M149+N149+O149</f>
        <v/>
      </c>
      <c r="Q149" s="2">
        <f>IF(E149&gt;0, ROUND(P149/E149, 0), 0)</f>
        <v/>
      </c>
    </row>
    <row r="150">
      <c r="A150" s="3" t="n">
        <v>146</v>
      </c>
      <c r="B150" s="3" t="inlineStr">
        <is>
          <t>NT10đ</t>
        </is>
      </c>
      <c r="C150" s="3" t="inlineStr">
        <is>
          <t>Crom (VI)</t>
        </is>
      </c>
      <c r="D150" s="3" t="inlineStr">
        <is>
          <t>mg/l</t>
        </is>
      </c>
      <c r="E150" s="3" t="n">
        <v>8</v>
      </c>
      <c r="F150" s="3" t="n">
        <v>1</v>
      </c>
      <c r="G150" s="3">
        <f>IFERROR(XLOOKUP(B150, DM_DinhMuc_TT20!$B:$B, DM_DinhMuc_TT20!$F:$F, 0.8), 0.8)</f>
        <v/>
      </c>
      <c r="H150" s="3">
        <f>ROUND((G150 * 0.4 * 1.2) / IF(F150&gt;0, F150, 1), 4)</f>
        <v/>
      </c>
      <c r="I150" s="3">
        <f>ROUND(G150 * 0.6, 4)</f>
        <v/>
      </c>
      <c r="J150" s="3">
        <f>DM_GiaVatTu!$E$8</f>
        <v/>
      </c>
      <c r="K150" s="3">
        <f>ROUND((H150 + I150) * J150 * E150, 0)</f>
        <v/>
      </c>
      <c r="L150" s="3">
        <f>ROUND(E150 * 1.08 * IFERROR(XLOOKUP(B150, DM_DinhMuc_TT20!$B:$B, DM_DinhMuc_TT20!$G:$G, 150000), 150000), 0)</f>
        <v/>
      </c>
      <c r="M150" s="3">
        <f>ROUND(E150 * 1.10 * IFERROR(XLOOKUP(B150, DM_DinhMuc_TT20!$B:$B, DM_DinhMuc_TT20!$H:$H, 25000), 25000), 0)</f>
        <v/>
      </c>
      <c r="N150" s="3">
        <f>ROUND(E150 * IFERROR(XLOOKUP(B150, DM_DinhMuc_TT20!$B:$B, DM_DinhMuc_TT20!$I:$I, 80000), 80000), 0)</f>
        <v/>
      </c>
      <c r="O150" s="3" t="n">
        <v>0</v>
      </c>
      <c r="P150" s="3">
        <f>K150+L150+M150+N150+O150</f>
        <v/>
      </c>
      <c r="Q150" s="3">
        <f>IF(E150&gt;0, ROUND(P150/E150, 0), 0)</f>
        <v/>
      </c>
    </row>
    <row r="151">
      <c r="A151" s="2" t="n">
        <v>147</v>
      </c>
      <c r="B151" s="2" t="inlineStr">
        <is>
          <t>NT10m5</t>
        </is>
      </c>
      <c r="C151" s="2" t="inlineStr">
        <is>
          <t>Crom (III)</t>
        </is>
      </c>
      <c r="D151" s="2" t="inlineStr">
        <is>
          <t>mg/l</t>
        </is>
      </c>
      <c r="E151" s="2" t="n">
        <v>8</v>
      </c>
      <c r="F151" s="2" t="n">
        <v>1</v>
      </c>
      <c r="G151" s="2">
        <f>IFERROR(XLOOKUP(B151, DM_DinhMuc_TT20!$B:$B, DM_DinhMuc_TT20!$F:$F, 0.8), 0.8)</f>
        <v/>
      </c>
      <c r="H151" s="2">
        <f>ROUND((G151 * 0.4 * 1.2) / IF(F151&gt;0, F151, 1), 4)</f>
        <v/>
      </c>
      <c r="I151" s="2">
        <f>ROUND(G151 * 0.6, 4)</f>
        <v/>
      </c>
      <c r="J151" s="2">
        <f>DM_GiaVatTu!$E$8</f>
        <v/>
      </c>
      <c r="K151" s="2">
        <f>ROUND((H151 + I151) * J151 * E151, 0)</f>
        <v/>
      </c>
      <c r="L151" s="2">
        <f>ROUND(E151 * 1.08 * IFERROR(XLOOKUP(B151, DM_DinhMuc_TT20!$B:$B, DM_DinhMuc_TT20!$G:$G, 150000), 150000), 0)</f>
        <v/>
      </c>
      <c r="M151" s="2">
        <f>ROUND(E151 * 1.10 * IFERROR(XLOOKUP(B151, DM_DinhMuc_TT20!$B:$B, DM_DinhMuc_TT20!$H:$H, 25000), 25000), 0)</f>
        <v/>
      </c>
      <c r="N151" s="2">
        <f>ROUND(E151 * IFERROR(XLOOKUP(B151, DM_DinhMuc_TT20!$B:$B, DM_DinhMuc_TT20!$I:$I, 80000), 80000), 0)</f>
        <v/>
      </c>
      <c r="O151" s="2" t="n">
        <v>0</v>
      </c>
      <c r="P151" s="2">
        <f>K151+L151+M151+N151+O151</f>
        <v/>
      </c>
      <c r="Q151" s="2">
        <f>IF(E151&gt;0, ROUND(P151/E151, 0), 0)</f>
        <v/>
      </c>
    </row>
    <row r="152">
      <c r="A152" s="3" t="n">
        <v>148</v>
      </c>
      <c r="B152" s="3" t="inlineStr">
        <is>
          <t>NT10k1</t>
        </is>
      </c>
      <c r="C152" s="3" t="inlineStr">
        <is>
          <t>Chì</t>
        </is>
      </c>
      <c r="D152" s="3" t="inlineStr">
        <is>
          <t>mg/l</t>
        </is>
      </c>
      <c r="E152" s="3" t="n">
        <v>8</v>
      </c>
      <c r="F152" s="3" t="n">
        <v>1</v>
      </c>
      <c r="G152" s="3">
        <f>IFERROR(XLOOKUP(B152, DM_DinhMuc_TT20!$B:$B, DM_DinhMuc_TT20!$F:$F, 0.8), 0.8)</f>
        <v/>
      </c>
      <c r="H152" s="3">
        <f>ROUND((G152 * 0.4 * 1.2) / IF(F152&gt;0, F152, 1), 4)</f>
        <v/>
      </c>
      <c r="I152" s="3">
        <f>ROUND(G152 * 0.6, 4)</f>
        <v/>
      </c>
      <c r="J152" s="3">
        <f>DM_GiaVatTu!$E$8</f>
        <v/>
      </c>
      <c r="K152" s="3">
        <f>ROUND((H152 + I152) * J152 * E152, 0)</f>
        <v/>
      </c>
      <c r="L152" s="3">
        <f>ROUND(E152 * 1.08 * IFERROR(XLOOKUP(B152, DM_DinhMuc_TT20!$B:$B, DM_DinhMuc_TT20!$G:$G, 150000), 150000), 0)</f>
        <v/>
      </c>
      <c r="M152" s="3">
        <f>ROUND(E152 * 1.10 * IFERROR(XLOOKUP(B152, DM_DinhMuc_TT20!$B:$B, DM_DinhMuc_TT20!$H:$H, 25000), 25000), 0)</f>
        <v/>
      </c>
      <c r="N152" s="3">
        <f>ROUND(E152 * IFERROR(XLOOKUP(B152, DM_DinhMuc_TT20!$B:$B, DM_DinhMuc_TT20!$I:$I, 80000), 80000), 0)</f>
        <v/>
      </c>
      <c r="O152" s="3" t="n">
        <v>0</v>
      </c>
      <c r="P152" s="3">
        <f>K152+L152+M152+N152+O152</f>
        <v/>
      </c>
      <c r="Q152" s="3">
        <f>IF(E152&gt;0, ROUND(P152/E152, 0), 0)</f>
        <v/>
      </c>
    </row>
    <row r="153">
      <c r="A153" s="2" t="n">
        <v>149</v>
      </c>
      <c r="B153" s="2" t="inlineStr">
        <is>
          <t>NT10k2</t>
        </is>
      </c>
      <c r="C153" s="2" t="inlineStr">
        <is>
          <t>Cadimi</t>
        </is>
      </c>
      <c r="D153" s="2" t="inlineStr">
        <is>
          <t>mg/l</t>
        </is>
      </c>
      <c r="E153" s="2" t="n">
        <v>8</v>
      </c>
      <c r="F153" s="2" t="n">
        <v>1</v>
      </c>
      <c r="G153" s="2">
        <f>IFERROR(XLOOKUP(B153, DM_DinhMuc_TT20!$B:$B, DM_DinhMuc_TT20!$F:$F, 0.8), 0.8)</f>
        <v/>
      </c>
      <c r="H153" s="2">
        <f>ROUND((G153 * 0.4 * 1.2) / IF(F153&gt;0, F153, 1), 4)</f>
        <v/>
      </c>
      <c r="I153" s="2">
        <f>ROUND(G153 * 0.6, 4)</f>
        <v/>
      </c>
      <c r="J153" s="2">
        <f>DM_GiaVatTu!$E$8</f>
        <v/>
      </c>
      <c r="K153" s="2">
        <f>ROUND((H153 + I153) * J153 * E153, 0)</f>
        <v/>
      </c>
      <c r="L153" s="2">
        <f>ROUND(E153 * 1.08 * IFERROR(XLOOKUP(B153, DM_DinhMuc_TT20!$B:$B, DM_DinhMuc_TT20!$G:$G, 150000), 150000), 0)</f>
        <v/>
      </c>
      <c r="M153" s="2">
        <f>ROUND(E153 * 1.10 * IFERROR(XLOOKUP(B153, DM_DinhMuc_TT20!$B:$B, DM_DinhMuc_TT20!$H:$H, 25000), 25000), 0)</f>
        <v/>
      </c>
      <c r="N153" s="2">
        <f>ROUND(E153 * IFERROR(XLOOKUP(B153, DM_DinhMuc_TT20!$B:$B, DM_DinhMuc_TT20!$I:$I, 80000), 80000), 0)</f>
        <v/>
      </c>
      <c r="O153" s="2" t="n">
        <v>0</v>
      </c>
      <c r="P153" s="2">
        <f>K153+L153+M153+N153+O153</f>
        <v/>
      </c>
      <c r="Q153" s="2">
        <f>IF(E153&gt;0, ROUND(P153/E153, 0), 0)</f>
        <v/>
      </c>
    </row>
    <row r="154">
      <c r="A154" s="3" t="n">
        <v>150</v>
      </c>
      <c r="B154" s="3" t="inlineStr">
        <is>
          <t>NT10m1</t>
        </is>
      </c>
      <c r="C154" s="3" t="inlineStr">
        <is>
          <t>Đồng</t>
        </is>
      </c>
      <c r="D154" s="3" t="inlineStr">
        <is>
          <t>mg/l</t>
        </is>
      </c>
      <c r="E154" s="3" t="n">
        <v>8</v>
      </c>
      <c r="F154" s="3" t="n">
        <v>1</v>
      </c>
      <c r="G154" s="3">
        <f>IFERROR(XLOOKUP(B154, DM_DinhMuc_TT20!$B:$B, DM_DinhMuc_TT20!$F:$F, 0.8), 0.8)</f>
        <v/>
      </c>
      <c r="H154" s="3">
        <f>ROUND((G154 * 0.4 * 1.2) / IF(F154&gt;0, F154, 1), 4)</f>
        <v/>
      </c>
      <c r="I154" s="3">
        <f>ROUND(G154 * 0.6, 4)</f>
        <v/>
      </c>
      <c r="J154" s="3">
        <f>DM_GiaVatTu!$E$8</f>
        <v/>
      </c>
      <c r="K154" s="3">
        <f>ROUND((H154 + I154) * J154 * E154, 0)</f>
        <v/>
      </c>
      <c r="L154" s="3">
        <f>ROUND(E154 * 1.08 * IFERROR(XLOOKUP(B154, DM_DinhMuc_TT20!$B:$B, DM_DinhMuc_TT20!$G:$G, 150000), 150000), 0)</f>
        <v/>
      </c>
      <c r="M154" s="3">
        <f>ROUND(E154 * 1.10 * IFERROR(XLOOKUP(B154, DM_DinhMuc_TT20!$B:$B, DM_DinhMuc_TT20!$H:$H, 25000), 25000), 0)</f>
        <v/>
      </c>
      <c r="N154" s="3">
        <f>ROUND(E154 * IFERROR(XLOOKUP(B154, DM_DinhMuc_TT20!$B:$B, DM_DinhMuc_TT20!$I:$I, 80000), 80000), 0)</f>
        <v/>
      </c>
      <c r="O154" s="3" t="n">
        <v>0</v>
      </c>
      <c r="P154" s="3">
        <f>K154+L154+M154+N154+O154</f>
        <v/>
      </c>
      <c r="Q154" s="3">
        <f>IF(E154&gt;0, ROUND(P154/E154, 0), 0)</f>
        <v/>
      </c>
    </row>
    <row r="155">
      <c r="A155" s="2" t="n">
        <v>151</v>
      </c>
      <c r="B155" s="2" t="inlineStr">
        <is>
          <t>NT10m2</t>
        </is>
      </c>
      <c r="C155" s="2" t="inlineStr">
        <is>
          <t>Kẽm</t>
        </is>
      </c>
      <c r="D155" s="2" t="inlineStr">
        <is>
          <t>mg/l</t>
        </is>
      </c>
      <c r="E155" s="2" t="n">
        <v>8</v>
      </c>
      <c r="F155" s="2" t="n">
        <v>1</v>
      </c>
      <c r="G155" s="2">
        <f>IFERROR(XLOOKUP(B155, DM_DinhMuc_TT20!$B:$B, DM_DinhMuc_TT20!$F:$F, 0.8), 0.8)</f>
        <v/>
      </c>
      <c r="H155" s="2">
        <f>ROUND((G155 * 0.4 * 1.2) / IF(F155&gt;0, F155, 1), 4)</f>
        <v/>
      </c>
      <c r="I155" s="2">
        <f>ROUND(G155 * 0.6, 4)</f>
        <v/>
      </c>
      <c r="J155" s="2">
        <f>DM_GiaVatTu!$E$8</f>
        <v/>
      </c>
      <c r="K155" s="2">
        <f>ROUND((H155 + I155) * J155 * E155, 0)</f>
        <v/>
      </c>
      <c r="L155" s="2">
        <f>ROUND(E155 * 1.08 * IFERROR(XLOOKUP(B155, DM_DinhMuc_TT20!$B:$B, DM_DinhMuc_TT20!$G:$G, 150000), 150000), 0)</f>
        <v/>
      </c>
      <c r="M155" s="2">
        <f>ROUND(E155 * 1.10 * IFERROR(XLOOKUP(B155, DM_DinhMuc_TT20!$B:$B, DM_DinhMuc_TT20!$H:$H, 25000), 25000), 0)</f>
        <v/>
      </c>
      <c r="N155" s="2">
        <f>ROUND(E155 * IFERROR(XLOOKUP(B155, DM_DinhMuc_TT20!$B:$B, DM_DinhMuc_TT20!$I:$I, 80000), 80000), 0)</f>
        <v/>
      </c>
      <c r="O155" s="2" t="n">
        <v>0</v>
      </c>
      <c r="P155" s="2">
        <f>K155+L155+M155+N155+O155</f>
        <v/>
      </c>
      <c r="Q155" s="2">
        <f>IF(E155&gt;0, ROUND(P155/E155, 0), 0)</f>
        <v/>
      </c>
    </row>
    <row r="156">
      <c r="A156" s="3" t="n">
        <v>152</v>
      </c>
      <c r="B156" s="3" t="inlineStr">
        <is>
          <t>NT10m6</t>
        </is>
      </c>
      <c r="C156" s="3" t="inlineStr">
        <is>
          <t>Niken</t>
        </is>
      </c>
      <c r="D156" s="3" t="inlineStr">
        <is>
          <t>mg/l</t>
        </is>
      </c>
      <c r="E156" s="3" t="n">
        <v>8</v>
      </c>
      <c r="F156" s="3" t="n">
        <v>1</v>
      </c>
      <c r="G156" s="3">
        <f>IFERROR(XLOOKUP(B156, DM_DinhMuc_TT20!$B:$B, DM_DinhMuc_TT20!$F:$F, 0.8), 0.8)</f>
        <v/>
      </c>
      <c r="H156" s="3">
        <f>ROUND((G156 * 0.4 * 1.2) / IF(F156&gt;0, F156, 1), 4)</f>
        <v/>
      </c>
      <c r="I156" s="3">
        <f>ROUND(G156 * 0.6, 4)</f>
        <v/>
      </c>
      <c r="J156" s="3">
        <f>DM_GiaVatTu!$E$8</f>
        <v/>
      </c>
      <c r="K156" s="3">
        <f>ROUND((H156 + I156) * J156 * E156, 0)</f>
        <v/>
      </c>
      <c r="L156" s="3">
        <f>ROUND(E156 * 1.08 * IFERROR(XLOOKUP(B156, DM_DinhMuc_TT20!$B:$B, DM_DinhMuc_TT20!$G:$G, 150000), 150000), 0)</f>
        <v/>
      </c>
      <c r="M156" s="3">
        <f>ROUND(E156 * 1.10 * IFERROR(XLOOKUP(B156, DM_DinhMuc_TT20!$B:$B, DM_DinhMuc_TT20!$H:$H, 25000), 25000), 0)</f>
        <v/>
      </c>
      <c r="N156" s="3">
        <f>ROUND(E156 * IFERROR(XLOOKUP(B156, DM_DinhMuc_TT20!$B:$B, DM_DinhMuc_TT20!$I:$I, 80000), 80000), 0)</f>
        <v/>
      </c>
      <c r="O156" s="3" t="n">
        <v>0</v>
      </c>
      <c r="P156" s="3">
        <f>K156+L156+M156+N156+O156</f>
        <v/>
      </c>
      <c r="Q156" s="3">
        <f>IF(E156&gt;0, ROUND(P156/E156, 0), 0)</f>
        <v/>
      </c>
    </row>
    <row r="157">
      <c r="A157" s="2" t="n">
        <v>153</v>
      </c>
      <c r="B157" s="2" t="inlineStr">
        <is>
          <t>NT10m3</t>
        </is>
      </c>
      <c r="C157" s="2" t="inlineStr">
        <is>
          <t>Mangan</t>
        </is>
      </c>
      <c r="D157" s="2" t="inlineStr">
        <is>
          <t>mg/l</t>
        </is>
      </c>
      <c r="E157" s="2" t="n">
        <v>8</v>
      </c>
      <c r="F157" s="2" t="n">
        <v>1</v>
      </c>
      <c r="G157" s="2">
        <f>IFERROR(XLOOKUP(B157, DM_DinhMuc_TT20!$B:$B, DM_DinhMuc_TT20!$F:$F, 0.8), 0.8)</f>
        <v/>
      </c>
      <c r="H157" s="2">
        <f>ROUND((G157 * 0.4 * 1.2) / IF(F157&gt;0, F157, 1), 4)</f>
        <v/>
      </c>
      <c r="I157" s="2">
        <f>ROUND(G157 * 0.6, 4)</f>
        <v/>
      </c>
      <c r="J157" s="2">
        <f>DM_GiaVatTu!$E$8</f>
        <v/>
      </c>
      <c r="K157" s="2">
        <f>ROUND((H157 + I157) * J157 * E157, 0)</f>
        <v/>
      </c>
      <c r="L157" s="2">
        <f>ROUND(E157 * 1.08 * IFERROR(XLOOKUP(B157, DM_DinhMuc_TT20!$B:$B, DM_DinhMuc_TT20!$G:$G, 150000), 150000), 0)</f>
        <v/>
      </c>
      <c r="M157" s="2">
        <f>ROUND(E157 * 1.10 * IFERROR(XLOOKUP(B157, DM_DinhMuc_TT20!$B:$B, DM_DinhMuc_TT20!$H:$H, 25000), 25000), 0)</f>
        <v/>
      </c>
      <c r="N157" s="2">
        <f>ROUND(E157 * IFERROR(XLOOKUP(B157, DM_DinhMuc_TT20!$B:$B, DM_DinhMuc_TT20!$I:$I, 80000), 80000), 0)</f>
        <v/>
      </c>
      <c r="O157" s="2" t="n">
        <v>0</v>
      </c>
      <c r="P157" s="2">
        <f>K157+L157+M157+N157+O157</f>
        <v/>
      </c>
      <c r="Q157" s="2">
        <f>IF(E157&gt;0, ROUND(P157/E157, 0), 0)</f>
        <v/>
      </c>
    </row>
    <row r="158">
      <c r="A158" s="3" t="n">
        <v>154</v>
      </c>
      <c r="B158" s="3" t="inlineStr">
        <is>
          <t>NT10m4</t>
        </is>
      </c>
      <c r="C158" s="3" t="inlineStr">
        <is>
          <t>Sắt</t>
        </is>
      </c>
      <c r="D158" s="3" t="inlineStr">
        <is>
          <t>mg/l</t>
        </is>
      </c>
      <c r="E158" s="3" t="n">
        <v>8</v>
      </c>
      <c r="F158" s="3" t="n">
        <v>1</v>
      </c>
      <c r="G158" s="3">
        <f>IFERROR(XLOOKUP(B158, DM_DinhMuc_TT20!$B:$B, DM_DinhMuc_TT20!$F:$F, 0.8), 0.8)</f>
        <v/>
      </c>
      <c r="H158" s="3">
        <f>ROUND((G158 * 0.4 * 1.2) / IF(F158&gt;0, F158, 1), 4)</f>
        <v/>
      </c>
      <c r="I158" s="3">
        <f>ROUND(G158 * 0.6, 4)</f>
        <v/>
      </c>
      <c r="J158" s="3">
        <f>DM_GiaVatTu!$E$8</f>
        <v/>
      </c>
      <c r="K158" s="3">
        <f>ROUND((H158 + I158) * J158 * E158, 0)</f>
        <v/>
      </c>
      <c r="L158" s="3">
        <f>ROUND(E158 * 1.08 * IFERROR(XLOOKUP(B158, DM_DinhMuc_TT20!$B:$B, DM_DinhMuc_TT20!$G:$G, 150000), 150000), 0)</f>
        <v/>
      </c>
      <c r="M158" s="3">
        <f>ROUND(E158 * 1.10 * IFERROR(XLOOKUP(B158, DM_DinhMuc_TT20!$B:$B, DM_DinhMuc_TT20!$H:$H, 25000), 25000), 0)</f>
        <v/>
      </c>
      <c r="N158" s="3">
        <f>ROUND(E158 * IFERROR(XLOOKUP(B158, DM_DinhMuc_TT20!$B:$B, DM_DinhMuc_TT20!$I:$I, 80000), 80000), 0)</f>
        <v/>
      </c>
      <c r="O158" s="3" t="n">
        <v>0</v>
      </c>
      <c r="P158" s="3">
        <f>K158+L158+M158+N158+O158</f>
        <v/>
      </c>
      <c r="Q158" s="3">
        <f>IF(E158&gt;0, ROUND(P158/E158, 0), 0)</f>
        <v/>
      </c>
    </row>
    <row r="159">
      <c r="A159" s="2" t="n">
        <v>155</v>
      </c>
      <c r="B159" s="2" t="inlineStr">
        <is>
          <t>NT9</t>
        </is>
      </c>
      <c r="C159" s="2" t="inlineStr">
        <is>
          <t>Tổng xianua</t>
        </is>
      </c>
      <c r="D159" s="2" t="inlineStr">
        <is>
          <t>mg/l</t>
        </is>
      </c>
      <c r="E159" s="2" t="n">
        <v>8</v>
      </c>
      <c r="F159" s="2" t="n">
        <v>1</v>
      </c>
      <c r="G159" s="2">
        <f>IFERROR(XLOOKUP(B159, DM_DinhMuc_TT20!$B:$B, DM_DinhMuc_TT20!$F:$F, 0.8), 0.8)</f>
        <v/>
      </c>
      <c r="H159" s="2">
        <f>ROUND((G159 * 0.4 * 1.2) / IF(F159&gt;0, F159, 1), 4)</f>
        <v/>
      </c>
      <c r="I159" s="2">
        <f>ROUND(G159 * 0.6, 4)</f>
        <v/>
      </c>
      <c r="J159" s="2">
        <f>DM_GiaVatTu!$E$8</f>
        <v/>
      </c>
      <c r="K159" s="2">
        <f>ROUND((H159 + I159) * J159 * E159, 0)</f>
        <v/>
      </c>
      <c r="L159" s="2">
        <f>ROUND(E159 * 1.08 * IFERROR(XLOOKUP(B159, DM_DinhMuc_TT20!$B:$B, DM_DinhMuc_TT20!$G:$G, 150000), 150000), 0)</f>
        <v/>
      </c>
      <c r="M159" s="2">
        <f>ROUND(E159 * 1.10 * IFERROR(XLOOKUP(B159, DM_DinhMuc_TT20!$B:$B, DM_DinhMuc_TT20!$H:$H, 25000), 25000), 0)</f>
        <v/>
      </c>
      <c r="N159" s="2">
        <f>ROUND(E159 * IFERROR(XLOOKUP(B159, DM_DinhMuc_TT20!$B:$B, DM_DinhMuc_TT20!$I:$I, 80000), 80000), 0)</f>
        <v/>
      </c>
      <c r="O159" s="2" t="n">
        <v>0</v>
      </c>
      <c r="P159" s="2">
        <f>K159+L159+M159+N159+O159</f>
        <v/>
      </c>
      <c r="Q159" s="2">
        <f>IF(E159&gt;0, ROUND(P159/E159, 0), 0)</f>
        <v/>
      </c>
    </row>
    <row r="160">
      <c r="A160" s="3" t="n">
        <v>156</v>
      </c>
      <c r="B160" s="3" t="inlineStr">
        <is>
          <t>NT2</t>
        </is>
      </c>
      <c r="C160" s="3" t="inlineStr">
        <is>
          <t>Tổng Phenol</t>
        </is>
      </c>
      <c r="D160" s="3" t="inlineStr">
        <is>
          <t>mg/l</t>
        </is>
      </c>
      <c r="E160" s="3" t="n">
        <v>8</v>
      </c>
      <c r="F160" s="3" t="n">
        <v>1</v>
      </c>
      <c r="G160" s="3">
        <f>IFERROR(XLOOKUP(B160, DM_DinhMuc_TT20!$B:$B, DM_DinhMuc_TT20!$F:$F, 0.8), 0.8)</f>
        <v/>
      </c>
      <c r="H160" s="3">
        <f>ROUND((G160 * 0.4 * 1.2) / IF(F160&gt;0, F160, 1), 4)</f>
        <v/>
      </c>
      <c r="I160" s="3">
        <f>ROUND(G160 * 0.6, 4)</f>
        <v/>
      </c>
      <c r="J160" s="3">
        <f>DM_GiaVatTu!$E$8</f>
        <v/>
      </c>
      <c r="K160" s="3">
        <f>ROUND((H160 + I160) * J160 * E160, 0)</f>
        <v/>
      </c>
      <c r="L160" s="3">
        <f>ROUND(E160 * 1.08 * IFERROR(XLOOKUP(B160, DM_DinhMuc_TT20!$B:$B, DM_DinhMuc_TT20!$G:$G, 150000), 150000), 0)</f>
        <v/>
      </c>
      <c r="M160" s="3">
        <f>ROUND(E160 * 1.10 * IFERROR(XLOOKUP(B160, DM_DinhMuc_TT20!$B:$B, DM_DinhMuc_TT20!$H:$H, 25000), 25000), 0)</f>
        <v/>
      </c>
      <c r="N160" s="3">
        <f>ROUND(E160 * IFERROR(XLOOKUP(B160, DM_DinhMuc_TT20!$B:$B, DM_DinhMuc_TT20!$I:$I, 80000), 80000), 0)</f>
        <v/>
      </c>
      <c r="O160" s="3" t="n">
        <v>0</v>
      </c>
      <c r="P160" s="3">
        <f>K160+L160+M160+N160+O160</f>
        <v/>
      </c>
      <c r="Q160" s="3">
        <f>IF(E160&gt;0, ROUND(P160/E160, 0), 0)</f>
        <v/>
      </c>
    </row>
    <row r="161">
      <c r="A161" s="2" t="n">
        <v>157</v>
      </c>
      <c r="B161" s="2" t="inlineStr">
        <is>
          <t>NT8</t>
        </is>
      </c>
      <c r="C161" s="2" t="inlineStr">
        <is>
          <t>Tổng dầu mỡ khoáng</t>
        </is>
      </c>
      <c r="D161" s="2" t="inlineStr">
        <is>
          <t>mg/l</t>
        </is>
      </c>
      <c r="E161" s="2" t="n">
        <v>8</v>
      </c>
      <c r="F161" s="2" t="n">
        <v>1</v>
      </c>
      <c r="G161" s="2">
        <f>IFERROR(XLOOKUP(B161, DM_DinhMuc_TT20!$B:$B, DM_DinhMuc_TT20!$F:$F, 0.8), 0.8)</f>
        <v/>
      </c>
      <c r="H161" s="2">
        <f>ROUND((G161 * 0.4 * 1.2) / IF(F161&gt;0, F161, 1), 4)</f>
        <v/>
      </c>
      <c r="I161" s="2">
        <f>ROUND(G161 * 0.6, 4)</f>
        <v/>
      </c>
      <c r="J161" s="2">
        <f>DM_GiaVatTu!$E$8</f>
        <v/>
      </c>
      <c r="K161" s="2">
        <f>ROUND((H161 + I161) * J161 * E161, 0)</f>
        <v/>
      </c>
      <c r="L161" s="2">
        <f>ROUND(E161 * 1.08 * IFERROR(XLOOKUP(B161, DM_DinhMuc_TT20!$B:$B, DM_DinhMuc_TT20!$G:$G, 150000), 150000), 0)</f>
        <v/>
      </c>
      <c r="M161" s="2">
        <f>ROUND(E161 * 1.10 * IFERROR(XLOOKUP(B161, DM_DinhMuc_TT20!$B:$B, DM_DinhMuc_TT20!$H:$H, 25000), 25000), 0)</f>
        <v/>
      </c>
      <c r="N161" s="2">
        <f>ROUND(E161 * IFERROR(XLOOKUP(B161, DM_DinhMuc_TT20!$B:$B, DM_DinhMuc_TT20!$I:$I, 80000), 80000), 0)</f>
        <v/>
      </c>
      <c r="O161" s="2" t="n">
        <v>0</v>
      </c>
      <c r="P161" s="2">
        <f>K161+L161+M161+N161+O161</f>
        <v/>
      </c>
      <c r="Q161" s="2">
        <f>IF(E161&gt;0, ROUND(P161/E161, 0), 0)</f>
        <v/>
      </c>
    </row>
    <row r="162">
      <c r="A162" s="3" t="n">
        <v>158</v>
      </c>
      <c r="B162" s="3" t="inlineStr">
        <is>
          <t>NT10d</t>
        </is>
      </c>
      <c r="C162" s="3" t="inlineStr">
        <is>
          <t>Sunfua</t>
        </is>
      </c>
      <c r="D162" s="3" t="inlineStr">
        <is>
          <t>mg/l</t>
        </is>
      </c>
      <c r="E162" s="3" t="n">
        <v>8</v>
      </c>
      <c r="F162" s="3" t="n">
        <v>1</v>
      </c>
      <c r="G162" s="3">
        <f>IFERROR(XLOOKUP(B162, DM_DinhMuc_TT20!$B:$B, DM_DinhMuc_TT20!$F:$F, 0.8), 0.8)</f>
        <v/>
      </c>
      <c r="H162" s="3">
        <f>ROUND((G162 * 0.4 * 1.2) / IF(F162&gt;0, F162, 1), 4)</f>
        <v/>
      </c>
      <c r="I162" s="3">
        <f>ROUND(G162 * 0.6, 4)</f>
        <v/>
      </c>
      <c r="J162" s="3">
        <f>DM_GiaVatTu!$E$8</f>
        <v/>
      </c>
      <c r="K162" s="3">
        <f>ROUND((H162 + I162) * J162 * E162, 0)</f>
        <v/>
      </c>
      <c r="L162" s="3">
        <f>ROUND(E162 * 1.08 * IFERROR(XLOOKUP(B162, DM_DinhMuc_TT20!$B:$B, DM_DinhMuc_TT20!$G:$G, 150000), 150000), 0)</f>
        <v/>
      </c>
      <c r="M162" s="3">
        <f>ROUND(E162 * 1.10 * IFERROR(XLOOKUP(B162, DM_DinhMuc_TT20!$B:$B, DM_DinhMuc_TT20!$H:$H, 25000), 25000), 0)</f>
        <v/>
      </c>
      <c r="N162" s="3">
        <f>ROUND(E162 * IFERROR(XLOOKUP(B162, DM_DinhMuc_TT20!$B:$B, DM_DinhMuc_TT20!$I:$I, 80000), 80000), 0)</f>
        <v/>
      </c>
      <c r="O162" s="3" t="n">
        <v>0</v>
      </c>
      <c r="P162" s="3">
        <f>K162+L162+M162+N162+O162</f>
        <v/>
      </c>
      <c r="Q162" s="3">
        <f>IF(E162&gt;0, ROUND(P162/E162, 0), 0)</f>
        <v/>
      </c>
    </row>
    <row r="163">
      <c r="A163" s="2" t="n">
        <v>159</v>
      </c>
      <c r="B163" s="2" t="inlineStr">
        <is>
          <t>NT10h</t>
        </is>
      </c>
      <c r="C163" s="2" t="inlineStr">
        <is>
          <t>Florua</t>
        </is>
      </c>
      <c r="D163" s="2" t="inlineStr">
        <is>
          <t>mg/l</t>
        </is>
      </c>
      <c r="E163" s="2" t="n">
        <v>8</v>
      </c>
      <c r="F163" s="2" t="n">
        <v>1</v>
      </c>
      <c r="G163" s="2">
        <f>IFERROR(XLOOKUP(B163, DM_DinhMuc_TT20!$B:$B, DM_DinhMuc_TT20!$F:$F, 0.8), 0.8)</f>
        <v/>
      </c>
      <c r="H163" s="2">
        <f>ROUND((G163 * 0.4 * 1.2) / IF(F163&gt;0, F163, 1), 4)</f>
        <v/>
      </c>
      <c r="I163" s="2">
        <f>ROUND(G163 * 0.6, 4)</f>
        <v/>
      </c>
      <c r="J163" s="2">
        <f>DM_GiaVatTu!$E$8</f>
        <v/>
      </c>
      <c r="K163" s="2">
        <f>ROUND((H163 + I163) * J163 * E163, 0)</f>
        <v/>
      </c>
      <c r="L163" s="2">
        <f>ROUND(E163 * 1.08 * IFERROR(XLOOKUP(B163, DM_DinhMuc_TT20!$B:$B, DM_DinhMuc_TT20!$G:$G, 150000), 150000), 0)</f>
        <v/>
      </c>
      <c r="M163" s="2">
        <f>ROUND(E163 * 1.10 * IFERROR(XLOOKUP(B163, DM_DinhMuc_TT20!$B:$B, DM_DinhMuc_TT20!$H:$H, 25000), 25000), 0)</f>
        <v/>
      </c>
      <c r="N163" s="2">
        <f>ROUND(E163 * IFERROR(XLOOKUP(B163, DM_DinhMuc_TT20!$B:$B, DM_DinhMuc_TT20!$I:$I, 80000), 80000), 0)</f>
        <v/>
      </c>
      <c r="O163" s="2" t="n">
        <v>0</v>
      </c>
      <c r="P163" s="2">
        <f>K163+L163+M163+N163+O163</f>
        <v/>
      </c>
      <c r="Q163" s="2">
        <f>IF(E163&gt;0, ROUND(P163/E163, 0), 0)</f>
        <v/>
      </c>
    </row>
    <row r="164">
      <c r="A164" s="3" t="n">
        <v>160</v>
      </c>
      <c r="B164" s="3" t="inlineStr">
        <is>
          <t>NT10b</t>
        </is>
      </c>
      <c r="C164" s="3" t="inlineStr">
        <is>
          <t>Tổng Nitơ</t>
        </is>
      </c>
      <c r="D164" s="3" t="inlineStr">
        <is>
          <t>mg/l</t>
        </is>
      </c>
      <c r="E164" s="3" t="n">
        <v>8</v>
      </c>
      <c r="F164" s="3" t="n">
        <v>1</v>
      </c>
      <c r="G164" s="3">
        <f>IFERROR(XLOOKUP(B164, DM_DinhMuc_TT20!$B:$B, DM_DinhMuc_TT20!$F:$F, 0.8), 0.8)</f>
        <v/>
      </c>
      <c r="H164" s="3">
        <f>ROUND((G164 * 0.4 * 1.2) / IF(F164&gt;0, F164, 1), 4)</f>
        <v/>
      </c>
      <c r="I164" s="3">
        <f>ROUND(G164 * 0.6, 4)</f>
        <v/>
      </c>
      <c r="J164" s="3">
        <f>DM_GiaVatTu!$E$8</f>
        <v/>
      </c>
      <c r="K164" s="3">
        <f>ROUND((H164 + I164) * J164 * E164, 0)</f>
        <v/>
      </c>
      <c r="L164" s="3">
        <f>ROUND(E164 * 1.08 * IFERROR(XLOOKUP(B164, DM_DinhMuc_TT20!$B:$B, DM_DinhMuc_TT20!$G:$G, 150000), 150000), 0)</f>
        <v/>
      </c>
      <c r="M164" s="3">
        <f>ROUND(E164 * 1.10 * IFERROR(XLOOKUP(B164, DM_DinhMuc_TT20!$B:$B, DM_DinhMuc_TT20!$H:$H, 25000), 25000), 0)</f>
        <v/>
      </c>
      <c r="N164" s="3">
        <f>ROUND(E164 * IFERROR(XLOOKUP(B164, DM_DinhMuc_TT20!$B:$B, DM_DinhMuc_TT20!$I:$I, 80000), 80000), 0)</f>
        <v/>
      </c>
      <c r="O164" s="3" t="n">
        <v>0</v>
      </c>
      <c r="P164" s="3">
        <f>K164+L164+M164+N164+O164</f>
        <v/>
      </c>
      <c r="Q164" s="3">
        <f>IF(E164&gt;0, ROUND(P164/E164, 0), 0)</f>
        <v/>
      </c>
    </row>
    <row r="165">
      <c r="A165" s="2" t="n">
        <v>161</v>
      </c>
      <c r="B165" s="2" t="inlineStr">
        <is>
          <t>NT2</t>
        </is>
      </c>
      <c r="C165" s="2" t="inlineStr">
        <is>
          <t>Tổng photpho (tính theo P)</t>
        </is>
      </c>
      <c r="D165" s="2" t="inlineStr">
        <is>
          <t>mg/l</t>
        </is>
      </c>
      <c r="E165" s="2" t="n">
        <v>8</v>
      </c>
      <c r="F165" s="2" t="n">
        <v>1</v>
      </c>
      <c r="G165" s="2">
        <f>IFERROR(XLOOKUP(B165, DM_DinhMuc_TT20!$B:$B, DM_DinhMuc_TT20!$F:$F, 0.8), 0.8)</f>
        <v/>
      </c>
      <c r="H165" s="2">
        <f>ROUND((G165 * 0.4 * 1.2) / IF(F165&gt;0, F165, 1), 4)</f>
        <v/>
      </c>
      <c r="I165" s="2">
        <f>ROUND(G165 * 0.6, 4)</f>
        <v/>
      </c>
      <c r="J165" s="2">
        <f>DM_GiaVatTu!$E$8</f>
        <v/>
      </c>
      <c r="K165" s="2">
        <f>ROUND((H165 + I165) * J165 * E165, 0)</f>
        <v/>
      </c>
      <c r="L165" s="2">
        <f>ROUND(E165 * 1.08 * IFERROR(XLOOKUP(B165, DM_DinhMuc_TT20!$B:$B, DM_DinhMuc_TT20!$G:$G, 150000), 150000), 0)</f>
        <v/>
      </c>
      <c r="M165" s="2">
        <f>ROUND(E165 * 1.10 * IFERROR(XLOOKUP(B165, DM_DinhMuc_TT20!$B:$B, DM_DinhMuc_TT20!$H:$H, 25000), 25000), 0)</f>
        <v/>
      </c>
      <c r="N165" s="2">
        <f>ROUND(E165 * IFERROR(XLOOKUP(B165, DM_DinhMuc_TT20!$B:$B, DM_DinhMuc_TT20!$I:$I, 80000), 80000), 0)</f>
        <v/>
      </c>
      <c r="O165" s="2" t="n">
        <v>0</v>
      </c>
      <c r="P165" s="2">
        <f>K165+L165+M165+N165+O165</f>
        <v/>
      </c>
      <c r="Q165" s="2">
        <f>IF(E165&gt;0, ROUND(P165/E165, 0), 0)</f>
        <v/>
      </c>
    </row>
    <row r="166">
      <c r="A166" s="3" t="n">
        <v>162</v>
      </c>
      <c r="B166" s="3" t="inlineStr">
        <is>
          <t>NT10i</t>
        </is>
      </c>
      <c r="C166" s="3" t="inlineStr">
        <is>
          <t>Clorua</t>
        </is>
      </c>
      <c r="D166" s="3" t="inlineStr">
        <is>
          <t>mg/l</t>
        </is>
      </c>
      <c r="E166" s="3" t="n">
        <v>8</v>
      </c>
      <c r="F166" s="3" t="n">
        <v>1</v>
      </c>
      <c r="G166" s="3">
        <f>IFERROR(XLOOKUP(B166, DM_DinhMuc_TT20!$B:$B, DM_DinhMuc_TT20!$F:$F, 0.8), 0.8)</f>
        <v/>
      </c>
      <c r="H166" s="3">
        <f>ROUND((G166 * 0.4 * 1.2) / IF(F166&gt;0, F166, 1), 4)</f>
        <v/>
      </c>
      <c r="I166" s="3">
        <f>ROUND(G166 * 0.6, 4)</f>
        <v/>
      </c>
      <c r="J166" s="3">
        <f>DM_GiaVatTu!$E$8</f>
        <v/>
      </c>
      <c r="K166" s="3">
        <f>ROUND((H166 + I166) * J166 * E166, 0)</f>
        <v/>
      </c>
      <c r="L166" s="3">
        <f>ROUND(E166 * 1.08 * IFERROR(XLOOKUP(B166, DM_DinhMuc_TT20!$B:$B, DM_DinhMuc_TT20!$G:$G, 150000), 150000), 0)</f>
        <v/>
      </c>
      <c r="M166" s="3">
        <f>ROUND(E166 * 1.10 * IFERROR(XLOOKUP(B166, DM_DinhMuc_TT20!$B:$B, DM_DinhMuc_TT20!$H:$H, 25000), 25000), 0)</f>
        <v/>
      </c>
      <c r="N166" s="3">
        <f>ROUND(E166 * IFERROR(XLOOKUP(B166, DM_DinhMuc_TT20!$B:$B, DM_DinhMuc_TT20!$I:$I, 80000), 80000), 0)</f>
        <v/>
      </c>
      <c r="O166" s="3" t="n">
        <v>0</v>
      </c>
      <c r="P166" s="3">
        <f>K166+L166+M166+N166+O166</f>
        <v/>
      </c>
      <c r="Q166" s="3">
        <f>IF(E166&gt;0, ROUND(P166/E166, 0), 0)</f>
        <v/>
      </c>
    </row>
    <row r="167">
      <c r="A167" s="2" t="n">
        <v>163</v>
      </c>
      <c r="B167" s="2" t="inlineStr">
        <is>
          <t>NT10j</t>
        </is>
      </c>
      <c r="C167" s="2" t="inlineStr">
        <is>
          <t>Clo dư</t>
        </is>
      </c>
      <c r="D167" s="2" t="inlineStr">
        <is>
          <t>mg/l</t>
        </is>
      </c>
      <c r="E167" s="2" t="n">
        <v>8</v>
      </c>
      <c r="F167" s="2" t="n">
        <v>1</v>
      </c>
      <c r="G167" s="2">
        <f>IFERROR(XLOOKUP(B167, DM_DinhMuc_TT20!$B:$B, DM_DinhMuc_TT20!$F:$F, 0.8), 0.8)</f>
        <v/>
      </c>
      <c r="H167" s="2">
        <f>ROUND((G167 * 0.4 * 1.2) / IF(F167&gt;0, F167, 1), 4)</f>
        <v/>
      </c>
      <c r="I167" s="2">
        <f>ROUND(G167 * 0.6, 4)</f>
        <v/>
      </c>
      <c r="J167" s="2">
        <f>DM_GiaVatTu!$E$8</f>
        <v/>
      </c>
      <c r="K167" s="2">
        <f>ROUND((H167 + I167) * J167 * E167, 0)</f>
        <v/>
      </c>
      <c r="L167" s="2">
        <f>ROUND(E167 * 1.08 * IFERROR(XLOOKUP(B167, DM_DinhMuc_TT20!$B:$B, DM_DinhMuc_TT20!$G:$G, 150000), 150000), 0)</f>
        <v/>
      </c>
      <c r="M167" s="2">
        <f>ROUND(E167 * 1.10 * IFERROR(XLOOKUP(B167, DM_DinhMuc_TT20!$B:$B, DM_DinhMuc_TT20!$H:$H, 25000), 25000), 0)</f>
        <v/>
      </c>
      <c r="N167" s="2">
        <f>ROUND(E167 * IFERROR(XLOOKUP(B167, DM_DinhMuc_TT20!$B:$B, DM_DinhMuc_TT20!$I:$I, 80000), 80000), 0)</f>
        <v/>
      </c>
      <c r="O167" s="2" t="n">
        <v>0</v>
      </c>
      <c r="P167" s="2">
        <f>K167+L167+M167+N167+O167</f>
        <v/>
      </c>
      <c r="Q167" s="2">
        <f>IF(E167&gt;0, ROUND(P167/E167, 0), 0)</f>
        <v/>
      </c>
    </row>
    <row r="168">
      <c r="A168" s="3" t="n">
        <v>164</v>
      </c>
      <c r="B168" s="3" t="inlineStr">
        <is>
          <t>NT7a</t>
        </is>
      </c>
      <c r="C168" s="3" t="inlineStr">
        <is>
          <t>Coliform</t>
        </is>
      </c>
      <c r="D168" s="3" t="inlineStr">
        <is>
          <t>MPN/100ml</t>
        </is>
      </c>
      <c r="E168" s="3" t="n">
        <v>8</v>
      </c>
      <c r="F168" s="3" t="n">
        <v>1</v>
      </c>
      <c r="G168" s="3">
        <f>IFERROR(XLOOKUP(B168, DM_DinhMuc_TT20!$B:$B, DM_DinhMuc_TT20!$F:$F, 0.8), 0.8)</f>
        <v/>
      </c>
      <c r="H168" s="3">
        <f>ROUND((G168 * 0.4 * 1.2) / IF(F168&gt;0, F168, 1), 4)</f>
        <v/>
      </c>
      <c r="I168" s="3">
        <f>ROUND(G168 * 0.6, 4)</f>
        <v/>
      </c>
      <c r="J168" s="3">
        <f>DM_GiaVatTu!$E$8</f>
        <v/>
      </c>
      <c r="K168" s="3">
        <f>ROUND((H168 + I168) * J168 * E168, 0)</f>
        <v/>
      </c>
      <c r="L168" s="3">
        <f>ROUND(E168 * 1.08 * IFERROR(XLOOKUP(B168, DM_DinhMuc_TT20!$B:$B, DM_DinhMuc_TT20!$G:$G, 150000), 150000), 0)</f>
        <v/>
      </c>
      <c r="M168" s="3">
        <f>ROUND(E168 * 1.10 * IFERROR(XLOOKUP(B168, DM_DinhMuc_TT20!$B:$B, DM_DinhMuc_TT20!$H:$H, 25000), 25000), 0)</f>
        <v/>
      </c>
      <c r="N168" s="3">
        <f>ROUND(E168 * IFERROR(XLOOKUP(B168, DM_DinhMuc_TT20!$B:$B, DM_DinhMuc_TT20!$I:$I, 80000), 80000), 0)</f>
        <v/>
      </c>
      <c r="O168" s="3" t="n">
        <v>0</v>
      </c>
      <c r="P168" s="3">
        <f>K168+L168+M168+N168+O168</f>
        <v/>
      </c>
      <c r="Q168" s="3">
        <f>IF(E168&gt;0, ROUND(P168/E168, 0), 0)</f>
        <v/>
      </c>
    </row>
    <row r="169">
      <c r="A169" s="2" t="n">
        <v>165</v>
      </c>
      <c r="B169" s="2" t="inlineStr">
        <is>
          <t>NB10</t>
        </is>
      </c>
      <c r="C169" s="2" t="inlineStr">
        <is>
          <t>pH</t>
        </is>
      </c>
      <c r="D169" s="2" t="inlineStr">
        <is>
          <t>-</t>
        </is>
      </c>
      <c r="E169" s="2" t="n">
        <v>10</v>
      </c>
      <c r="F169" s="2" t="n">
        <v>1</v>
      </c>
      <c r="G169" s="2">
        <f>IFERROR(XLOOKUP(B169, DM_DinhMuc_TT20!$B:$B, DM_DinhMuc_TT20!$F:$F, 0.8), 0.8)</f>
        <v/>
      </c>
      <c r="H169" s="2">
        <f>ROUND((G169 * 0.4 * 1.2) / IF(F169&gt;0, F169, 1), 4)</f>
        <v/>
      </c>
      <c r="I169" s="2">
        <f>ROUND(G169 * 0.6, 4)</f>
        <v/>
      </c>
      <c r="J169" s="2">
        <f>DM_GiaVatTu!$E$8</f>
        <v/>
      </c>
      <c r="K169" s="2">
        <f>ROUND((H169 + I169) * J169 * E169, 0)</f>
        <v/>
      </c>
      <c r="L169" s="2">
        <f>ROUND(E169 * 1.08 * IFERROR(XLOOKUP(B169, DM_DinhMuc_TT20!$B:$B, DM_DinhMuc_TT20!$G:$G, 150000), 150000), 0)</f>
        <v/>
      </c>
      <c r="M169" s="2">
        <f>ROUND(E169 * 1.10 * IFERROR(XLOOKUP(B169, DM_DinhMuc_TT20!$B:$B, DM_DinhMuc_TT20!$H:$H, 25000), 25000), 0)</f>
        <v/>
      </c>
      <c r="N169" s="2">
        <f>ROUND(E169 * IFERROR(XLOOKUP(B169, DM_DinhMuc_TT20!$B:$B, DM_DinhMuc_TT20!$I:$I, 80000), 80000), 0)</f>
        <v/>
      </c>
      <c r="O169" s="2" t="n">
        <v>0</v>
      </c>
      <c r="P169" s="2">
        <f>K169+L169+M169+N169+O169</f>
        <v/>
      </c>
      <c r="Q169" s="2">
        <f>IF(E169&gt;0, ROUND(P169/E169, 0), 0)</f>
        <v/>
      </c>
    </row>
    <row r="170">
      <c r="A170" s="3" t="n">
        <v>166</v>
      </c>
      <c r="B170" s="3" t="inlineStr">
        <is>
          <t>NB5</t>
        </is>
      </c>
      <c r="C170" s="3" t="inlineStr">
        <is>
          <t>Nhiệt độ</t>
        </is>
      </c>
      <c r="D170" s="3" t="inlineStr">
        <is>
          <t>0C</t>
        </is>
      </c>
      <c r="E170" s="3" t="n">
        <v>10</v>
      </c>
      <c r="F170" s="3" t="n">
        <v>1</v>
      </c>
      <c r="G170" s="3">
        <f>IFERROR(XLOOKUP(B170, DM_DinhMuc_TT20!$B:$B, DM_DinhMuc_TT20!$F:$F, 0.8), 0.8)</f>
        <v/>
      </c>
      <c r="H170" s="3">
        <f>ROUND((G170 * 0.4 * 1.2) / IF(F170&gt;0, F170, 1), 4)</f>
        <v/>
      </c>
      <c r="I170" s="3">
        <f>ROUND(G170 * 0.6, 4)</f>
        <v/>
      </c>
      <c r="J170" s="3">
        <f>DM_GiaVatTu!$E$8</f>
        <v/>
      </c>
      <c r="K170" s="3">
        <f>ROUND((H170 + I170) * J170 * E170, 0)</f>
        <v/>
      </c>
      <c r="L170" s="3">
        <f>ROUND(E170 * 1.08 * IFERROR(XLOOKUP(B170, DM_DinhMuc_TT20!$B:$B, DM_DinhMuc_TT20!$G:$G, 150000), 150000), 0)</f>
        <v/>
      </c>
      <c r="M170" s="3">
        <f>ROUND(E170 * 1.10 * IFERROR(XLOOKUP(B170, DM_DinhMuc_TT20!$B:$B, DM_DinhMuc_TT20!$H:$H, 25000), 25000), 0)</f>
        <v/>
      </c>
      <c r="N170" s="3">
        <f>ROUND(E170 * IFERROR(XLOOKUP(B170, DM_DinhMuc_TT20!$B:$B, DM_DinhMuc_TT20!$I:$I, 80000), 80000), 0)</f>
        <v/>
      </c>
      <c r="O170" s="3" t="n">
        <v>0</v>
      </c>
      <c r="P170" s="3">
        <f>K170+L170+M170+N170+O170</f>
        <v/>
      </c>
      <c r="Q170" s="3">
        <f>IF(E170&gt;0, ROUND(P170/E170, 0), 0)</f>
        <v/>
      </c>
    </row>
    <row r="171">
      <c r="A171" s="2" t="n">
        <v>167</v>
      </c>
      <c r="B171" s="2" t="inlineStr">
        <is>
          <t>NB11</t>
        </is>
      </c>
      <c r="C171" s="2" t="inlineStr">
        <is>
          <t>DO</t>
        </is>
      </c>
      <c r="D171" s="2" t="inlineStr">
        <is>
          <t>mg/l</t>
        </is>
      </c>
      <c r="E171" s="2" t="n">
        <v>10</v>
      </c>
      <c r="F171" s="2" t="n">
        <v>1</v>
      </c>
      <c r="G171" s="2">
        <f>IFERROR(XLOOKUP(B171, DM_DinhMuc_TT20!$B:$B, DM_DinhMuc_TT20!$F:$F, 0.8), 0.8)</f>
        <v/>
      </c>
      <c r="H171" s="2">
        <f>ROUND((G171 * 0.4 * 1.2) / IF(F171&gt;0, F171, 1), 4)</f>
        <v/>
      </c>
      <c r="I171" s="2">
        <f>ROUND(G171 * 0.6, 4)</f>
        <v/>
      </c>
      <c r="J171" s="2">
        <f>DM_GiaVatTu!$E$8</f>
        <v/>
      </c>
      <c r="K171" s="2">
        <f>ROUND((H171 + I171) * J171 * E171, 0)</f>
        <v/>
      </c>
      <c r="L171" s="2">
        <f>ROUND(E171 * 1.08 * IFERROR(XLOOKUP(B171, DM_DinhMuc_TT20!$B:$B, DM_DinhMuc_TT20!$G:$G, 150000), 150000), 0)</f>
        <v/>
      </c>
      <c r="M171" s="2">
        <f>ROUND(E171 * 1.10 * IFERROR(XLOOKUP(B171, DM_DinhMuc_TT20!$B:$B, DM_DinhMuc_TT20!$H:$H, 25000), 25000), 0)</f>
        <v/>
      </c>
      <c r="N171" s="2">
        <f>ROUND(E171 * IFERROR(XLOOKUP(B171, DM_DinhMuc_TT20!$B:$B, DM_DinhMuc_TT20!$I:$I, 80000), 80000), 0)</f>
        <v/>
      </c>
      <c r="O171" s="2" t="n">
        <v>0</v>
      </c>
      <c r="P171" s="2">
        <f>K171+L171+M171+N171+O171</f>
        <v/>
      </c>
      <c r="Q171" s="2">
        <f>IF(E171&gt;0, ROUND(P171/E171, 0), 0)</f>
        <v/>
      </c>
    </row>
    <row r="172">
      <c r="A172" s="3" t="n">
        <v>168</v>
      </c>
      <c r="B172" s="3" t="inlineStr">
        <is>
          <t>NB17a</t>
        </is>
      </c>
      <c r="C172" s="3" t="inlineStr">
        <is>
          <t>TSS</t>
        </is>
      </c>
      <c r="D172" s="3" t="inlineStr">
        <is>
          <t>mg/l</t>
        </is>
      </c>
      <c r="E172" s="3" t="n">
        <v>10</v>
      </c>
      <c r="F172" s="3" t="n">
        <v>1</v>
      </c>
      <c r="G172" s="3">
        <f>IFERROR(XLOOKUP(B172, DM_DinhMuc_TT20!$B:$B, DM_DinhMuc_TT20!$F:$F, 0.8), 0.8)</f>
        <v/>
      </c>
      <c r="H172" s="3">
        <f>ROUND((G172 * 0.4 * 1.2) / IF(F172&gt;0, F172, 1), 4)</f>
        <v/>
      </c>
      <c r="I172" s="3">
        <f>ROUND(G172 * 0.6, 4)</f>
        <v/>
      </c>
      <c r="J172" s="3">
        <f>DM_GiaVatTu!$E$8</f>
        <v/>
      </c>
      <c r="K172" s="3">
        <f>ROUND((H172 + I172) * J172 * E172, 0)</f>
        <v/>
      </c>
      <c r="L172" s="3">
        <f>ROUND(E172 * 1.08 * IFERROR(XLOOKUP(B172, DM_DinhMuc_TT20!$B:$B, DM_DinhMuc_TT20!$G:$G, 150000), 150000), 0)</f>
        <v/>
      </c>
      <c r="M172" s="3">
        <f>ROUND(E172 * 1.10 * IFERROR(XLOOKUP(B172, DM_DinhMuc_TT20!$B:$B, DM_DinhMuc_TT20!$H:$H, 25000), 25000), 0)</f>
        <v/>
      </c>
      <c r="N172" s="3">
        <f>ROUND(E172 * IFERROR(XLOOKUP(B172, DM_DinhMuc_TT20!$B:$B, DM_DinhMuc_TT20!$I:$I, 80000), 80000), 0)</f>
        <v/>
      </c>
      <c r="O172" s="3" t="n">
        <v>0</v>
      </c>
      <c r="P172" s="3">
        <f>K172+L172+M172+N172+O172</f>
        <v/>
      </c>
      <c r="Q172" s="3">
        <f>IF(E172&gt;0, ROUND(P172/E172, 0), 0)</f>
        <v/>
      </c>
    </row>
    <row r="173">
      <c r="A173" s="2" t="n">
        <v>169</v>
      </c>
      <c r="B173" s="2" t="inlineStr">
        <is>
          <t>NB15</t>
        </is>
      </c>
      <c r="C173" s="2" t="inlineStr">
        <is>
          <t>Amoni (tính theo N)</t>
        </is>
      </c>
      <c r="D173" s="2" t="inlineStr">
        <is>
          <t>mg/l</t>
        </is>
      </c>
      <c r="E173" s="2" t="n">
        <v>10</v>
      </c>
      <c r="F173" s="2" t="n">
        <v>1</v>
      </c>
      <c r="G173" s="2">
        <f>IFERROR(XLOOKUP(B173, DM_DinhMuc_TT20!$B:$B, DM_DinhMuc_TT20!$F:$F, 0.8), 0.8)</f>
        <v/>
      </c>
      <c r="H173" s="2">
        <f>ROUND((G173 * 0.4 * 1.2) / IF(F173&gt;0, F173, 1), 4)</f>
        <v/>
      </c>
      <c r="I173" s="2">
        <f>ROUND(G173 * 0.6, 4)</f>
        <v/>
      </c>
      <c r="J173" s="2">
        <f>DM_GiaVatTu!$E$8</f>
        <v/>
      </c>
      <c r="K173" s="2">
        <f>ROUND((H173 + I173) * J173 * E173, 0)</f>
        <v/>
      </c>
      <c r="L173" s="2">
        <f>ROUND(E173 * 1.08 * IFERROR(XLOOKUP(B173, DM_DinhMuc_TT20!$B:$B, DM_DinhMuc_TT20!$G:$G, 150000), 150000), 0)</f>
        <v/>
      </c>
      <c r="M173" s="2">
        <f>ROUND(E173 * 1.10 * IFERROR(XLOOKUP(B173, DM_DinhMuc_TT20!$B:$B, DM_DinhMuc_TT20!$H:$H, 25000), 25000), 0)</f>
        <v/>
      </c>
      <c r="N173" s="2">
        <f>ROUND(E173 * IFERROR(XLOOKUP(B173, DM_DinhMuc_TT20!$B:$B, DM_DinhMuc_TT20!$I:$I, 80000), 80000), 0)</f>
        <v/>
      </c>
      <c r="O173" s="2" t="n">
        <v>0</v>
      </c>
      <c r="P173" s="2">
        <f>K173+L173+M173+N173+O173</f>
        <v/>
      </c>
      <c r="Q173" s="2">
        <f>IF(E173&gt;0, ROUND(P173/E173, 0), 0)</f>
        <v/>
      </c>
    </row>
    <row r="174">
      <c r="A174" s="3" t="n">
        <v>170</v>
      </c>
      <c r="B174" s="3" t="inlineStr">
        <is>
          <t>NB10</t>
        </is>
      </c>
      <c r="C174" s="3" t="inlineStr">
        <is>
          <t>Phosphat</t>
        </is>
      </c>
      <c r="D174" s="3" t="inlineStr">
        <is>
          <t>mg/l</t>
        </is>
      </c>
      <c r="E174" s="3" t="n">
        <v>10</v>
      </c>
      <c r="F174" s="3" t="n">
        <v>1</v>
      </c>
      <c r="G174" s="3">
        <f>IFERROR(XLOOKUP(B174, DM_DinhMuc_TT20!$B:$B, DM_DinhMuc_TT20!$F:$F, 0.8), 0.8)</f>
        <v/>
      </c>
      <c r="H174" s="3">
        <f>ROUND((G174 * 0.4 * 1.2) / IF(F174&gt;0, F174, 1), 4)</f>
        <v/>
      </c>
      <c r="I174" s="3">
        <f>ROUND(G174 * 0.6, 4)</f>
        <v/>
      </c>
      <c r="J174" s="3">
        <f>DM_GiaVatTu!$E$8</f>
        <v/>
      </c>
      <c r="K174" s="3">
        <f>ROUND((H174 + I174) * J174 * E174, 0)</f>
        <v/>
      </c>
      <c r="L174" s="3">
        <f>ROUND(E174 * 1.08 * IFERROR(XLOOKUP(B174, DM_DinhMuc_TT20!$B:$B, DM_DinhMuc_TT20!$G:$G, 150000), 150000), 0)</f>
        <v/>
      </c>
      <c r="M174" s="3">
        <f>ROUND(E174 * 1.10 * IFERROR(XLOOKUP(B174, DM_DinhMuc_TT20!$B:$B, DM_DinhMuc_TT20!$H:$H, 25000), 25000), 0)</f>
        <v/>
      </c>
      <c r="N174" s="3">
        <f>ROUND(E174 * IFERROR(XLOOKUP(B174, DM_DinhMuc_TT20!$B:$B, DM_DinhMuc_TT20!$I:$I, 80000), 80000), 0)</f>
        <v/>
      </c>
      <c r="O174" s="3" t="n">
        <v>0</v>
      </c>
      <c r="P174" s="3">
        <f>K174+L174+M174+N174+O174</f>
        <v/>
      </c>
      <c r="Q174" s="3">
        <f>IF(E174&gt;0, ROUND(P174/E174, 0), 0)</f>
        <v/>
      </c>
    </row>
    <row r="175">
      <c r="A175" s="2" t="n">
        <v>171</v>
      </c>
      <c r="B175" s="2" t="inlineStr">
        <is>
          <t>NB15</t>
        </is>
      </c>
      <c r="C175" s="2" t="inlineStr">
        <is>
          <t>Florua</t>
        </is>
      </c>
      <c r="D175" s="2" t="inlineStr">
        <is>
          <t>mg/l</t>
        </is>
      </c>
      <c r="E175" s="2" t="n">
        <v>10</v>
      </c>
      <c r="F175" s="2" t="n">
        <v>1</v>
      </c>
      <c r="G175" s="2">
        <f>IFERROR(XLOOKUP(B175, DM_DinhMuc_TT20!$B:$B, DM_DinhMuc_TT20!$F:$F, 0.8), 0.8)</f>
        <v/>
      </c>
      <c r="H175" s="2">
        <f>ROUND((G175 * 0.4 * 1.2) / IF(F175&gt;0, F175, 1), 4)</f>
        <v/>
      </c>
      <c r="I175" s="2">
        <f>ROUND(G175 * 0.6, 4)</f>
        <v/>
      </c>
      <c r="J175" s="2">
        <f>DM_GiaVatTu!$E$8</f>
        <v/>
      </c>
      <c r="K175" s="2">
        <f>ROUND((H175 + I175) * J175 * E175, 0)</f>
        <v/>
      </c>
      <c r="L175" s="2">
        <f>ROUND(E175 * 1.08 * IFERROR(XLOOKUP(B175, DM_DinhMuc_TT20!$B:$B, DM_DinhMuc_TT20!$G:$G, 150000), 150000), 0)</f>
        <v/>
      </c>
      <c r="M175" s="2">
        <f>ROUND(E175 * 1.10 * IFERROR(XLOOKUP(B175, DM_DinhMuc_TT20!$B:$B, DM_DinhMuc_TT20!$H:$H, 25000), 25000), 0)</f>
        <v/>
      </c>
      <c r="N175" s="2">
        <f>ROUND(E175 * IFERROR(XLOOKUP(B175, DM_DinhMuc_TT20!$B:$B, DM_DinhMuc_TT20!$I:$I, 80000), 80000), 0)</f>
        <v/>
      </c>
      <c r="O175" s="2" t="n">
        <v>0</v>
      </c>
      <c r="P175" s="2">
        <f>K175+L175+M175+N175+O175</f>
        <v/>
      </c>
      <c r="Q175" s="2">
        <f>IF(E175&gt;0, ROUND(P175/E175, 0), 0)</f>
        <v/>
      </c>
    </row>
    <row r="176">
      <c r="A176" s="3" t="n">
        <v>172</v>
      </c>
      <c r="B176" s="3" t="inlineStr">
        <is>
          <t>NB20</t>
        </is>
      </c>
      <c r="C176" s="3" t="inlineStr">
        <is>
          <t>Xyanua</t>
        </is>
      </c>
      <c r="D176" s="3" t="inlineStr">
        <is>
          <t>mg/l</t>
        </is>
      </c>
      <c r="E176" s="3" t="n">
        <v>10</v>
      </c>
      <c r="F176" s="3" t="n">
        <v>1</v>
      </c>
      <c r="G176" s="3">
        <f>IFERROR(XLOOKUP(B176, DM_DinhMuc_TT20!$B:$B, DM_DinhMuc_TT20!$F:$F, 0.8), 0.8)</f>
        <v/>
      </c>
      <c r="H176" s="3">
        <f>ROUND((G176 * 0.4 * 1.2) / IF(F176&gt;0, F176, 1), 4)</f>
        <v/>
      </c>
      <c r="I176" s="3">
        <f>ROUND(G176 * 0.6, 4)</f>
        <v/>
      </c>
      <c r="J176" s="3">
        <f>DM_GiaVatTu!$E$8</f>
        <v/>
      </c>
      <c r="K176" s="3">
        <f>ROUND((H176 + I176) * J176 * E176, 0)</f>
        <v/>
      </c>
      <c r="L176" s="3">
        <f>ROUND(E176 * 1.08 * IFERROR(XLOOKUP(B176, DM_DinhMuc_TT20!$B:$B, DM_DinhMuc_TT20!$G:$G, 150000), 150000), 0)</f>
        <v/>
      </c>
      <c r="M176" s="3">
        <f>ROUND(E176 * 1.10 * IFERROR(XLOOKUP(B176, DM_DinhMuc_TT20!$B:$B, DM_DinhMuc_TT20!$H:$H, 25000), 25000), 0)</f>
        <v/>
      </c>
      <c r="N176" s="3">
        <f>ROUND(E176 * IFERROR(XLOOKUP(B176, DM_DinhMuc_TT20!$B:$B, DM_DinhMuc_TT20!$I:$I, 80000), 80000), 0)</f>
        <v/>
      </c>
      <c r="O176" s="3" t="n">
        <v>0</v>
      </c>
      <c r="P176" s="3">
        <f>K176+L176+M176+N176+O176</f>
        <v/>
      </c>
      <c r="Q176" s="3">
        <f>IF(E176&gt;0, ROUND(P176/E176, 0), 0)</f>
        <v/>
      </c>
    </row>
    <row r="177">
      <c r="A177" s="2" t="n">
        <v>173</v>
      </c>
      <c r="B177" s="2" t="inlineStr">
        <is>
          <t>NB21</t>
        </is>
      </c>
      <c r="C177" s="2" t="inlineStr">
        <is>
          <t>Cd</t>
        </is>
      </c>
      <c r="D177" s="2" t="inlineStr">
        <is>
          <t>mg/l</t>
        </is>
      </c>
      <c r="E177" s="2" t="n">
        <v>10</v>
      </c>
      <c r="F177" s="2" t="n">
        <v>1</v>
      </c>
      <c r="G177" s="2">
        <f>IFERROR(XLOOKUP(B177, DM_DinhMuc_TT20!$B:$B, DM_DinhMuc_TT20!$F:$F, 0.8), 0.8)</f>
        <v/>
      </c>
      <c r="H177" s="2">
        <f>ROUND((G177 * 0.4 * 1.2) / IF(F177&gt;0, F177, 1), 4)</f>
        <v/>
      </c>
      <c r="I177" s="2">
        <f>ROUND(G177 * 0.6, 4)</f>
        <v/>
      </c>
      <c r="J177" s="2">
        <f>DM_GiaVatTu!$E$8</f>
        <v/>
      </c>
      <c r="K177" s="2">
        <f>ROUND((H177 + I177) * J177 * E177, 0)</f>
        <v/>
      </c>
      <c r="L177" s="2">
        <f>ROUND(E177 * 1.08 * IFERROR(XLOOKUP(B177, DM_DinhMuc_TT20!$B:$B, DM_DinhMuc_TT20!$G:$G, 150000), 150000), 0)</f>
        <v/>
      </c>
      <c r="M177" s="2">
        <f>ROUND(E177 * 1.10 * IFERROR(XLOOKUP(B177, DM_DinhMuc_TT20!$B:$B, DM_DinhMuc_TT20!$H:$H, 25000), 25000), 0)</f>
        <v/>
      </c>
      <c r="N177" s="2">
        <f>ROUND(E177 * IFERROR(XLOOKUP(B177, DM_DinhMuc_TT20!$B:$B, DM_DinhMuc_TT20!$I:$I, 80000), 80000), 0)</f>
        <v/>
      </c>
      <c r="O177" s="2" t="n">
        <v>0</v>
      </c>
      <c r="P177" s="2">
        <f>K177+L177+M177+N177+O177</f>
        <v/>
      </c>
      <c r="Q177" s="2">
        <f>IF(E177&gt;0, ROUND(P177/E177, 0), 0)</f>
        <v/>
      </c>
    </row>
    <row r="178">
      <c r="A178" s="3" t="n">
        <v>174</v>
      </c>
      <c r="B178" s="3" t="inlineStr">
        <is>
          <t>NB21</t>
        </is>
      </c>
      <c r="C178" s="3" t="inlineStr">
        <is>
          <t>As</t>
        </is>
      </c>
      <c r="D178" s="3" t="inlineStr">
        <is>
          <t>mg/l</t>
        </is>
      </c>
      <c r="E178" s="3" t="n">
        <v>10</v>
      </c>
      <c r="F178" s="3" t="n">
        <v>1</v>
      </c>
      <c r="G178" s="3">
        <f>IFERROR(XLOOKUP(B178, DM_DinhMuc_TT20!$B:$B, DM_DinhMuc_TT20!$F:$F, 0.8), 0.8)</f>
        <v/>
      </c>
      <c r="H178" s="3">
        <f>ROUND((G178 * 0.4 * 1.2) / IF(F178&gt;0, F178, 1), 4)</f>
        <v/>
      </c>
      <c r="I178" s="3">
        <f>ROUND(G178 * 0.6, 4)</f>
        <v/>
      </c>
      <c r="J178" s="3">
        <f>DM_GiaVatTu!$E$8</f>
        <v/>
      </c>
      <c r="K178" s="3">
        <f>ROUND((H178 + I178) * J178 * E178, 0)</f>
        <v/>
      </c>
      <c r="L178" s="3">
        <f>ROUND(E178 * 1.08 * IFERROR(XLOOKUP(B178, DM_DinhMuc_TT20!$B:$B, DM_DinhMuc_TT20!$G:$G, 150000), 150000), 0)</f>
        <v/>
      </c>
      <c r="M178" s="3">
        <f>ROUND(E178 * 1.10 * IFERROR(XLOOKUP(B178, DM_DinhMuc_TT20!$B:$B, DM_DinhMuc_TT20!$H:$H, 25000), 25000), 0)</f>
        <v/>
      </c>
      <c r="N178" s="3">
        <f>ROUND(E178 * IFERROR(XLOOKUP(B178, DM_DinhMuc_TT20!$B:$B, DM_DinhMuc_TT20!$I:$I, 80000), 80000), 0)</f>
        <v/>
      </c>
      <c r="O178" s="3" t="n">
        <v>0</v>
      </c>
      <c r="P178" s="3">
        <f>K178+L178+M178+N178+O178</f>
        <v/>
      </c>
      <c r="Q178" s="3">
        <f>IF(E178&gt;0, ROUND(P178/E178, 0), 0)</f>
        <v/>
      </c>
    </row>
    <row r="179">
      <c r="A179" s="2" t="n">
        <v>175</v>
      </c>
      <c r="B179" s="2" t="inlineStr">
        <is>
          <t>NB21</t>
        </is>
      </c>
      <c r="C179" s="2" t="inlineStr">
        <is>
          <t>Hg</t>
        </is>
      </c>
      <c r="D179" s="2" t="inlineStr">
        <is>
          <t>mg/l</t>
        </is>
      </c>
      <c r="E179" s="2" t="n">
        <v>10</v>
      </c>
      <c r="F179" s="2" t="n">
        <v>1</v>
      </c>
      <c r="G179" s="2">
        <f>IFERROR(XLOOKUP(B179, DM_DinhMuc_TT20!$B:$B, DM_DinhMuc_TT20!$F:$F, 0.8), 0.8)</f>
        <v/>
      </c>
      <c r="H179" s="2">
        <f>ROUND((G179 * 0.4 * 1.2) / IF(F179&gt;0, F179, 1), 4)</f>
        <v/>
      </c>
      <c r="I179" s="2">
        <f>ROUND(G179 * 0.6, 4)</f>
        <v/>
      </c>
      <c r="J179" s="2">
        <f>DM_GiaVatTu!$E$8</f>
        <v/>
      </c>
      <c r="K179" s="2">
        <f>ROUND((H179 + I179) * J179 * E179, 0)</f>
        <v/>
      </c>
      <c r="L179" s="2">
        <f>ROUND(E179 * 1.08 * IFERROR(XLOOKUP(B179, DM_DinhMuc_TT20!$B:$B, DM_DinhMuc_TT20!$G:$G, 150000), 150000), 0)</f>
        <v/>
      </c>
      <c r="M179" s="2">
        <f>ROUND(E179 * 1.10 * IFERROR(XLOOKUP(B179, DM_DinhMuc_TT20!$B:$B, DM_DinhMuc_TT20!$H:$H, 25000), 25000), 0)</f>
        <v/>
      </c>
      <c r="N179" s="2">
        <f>ROUND(E179 * IFERROR(XLOOKUP(B179, DM_DinhMuc_TT20!$B:$B, DM_DinhMuc_TT20!$I:$I, 80000), 80000), 0)</f>
        <v/>
      </c>
      <c r="O179" s="2" t="n">
        <v>0</v>
      </c>
      <c r="P179" s="2">
        <f>K179+L179+M179+N179+O179</f>
        <v/>
      </c>
      <c r="Q179" s="2">
        <f>IF(E179&gt;0, ROUND(P179/E179, 0), 0)</f>
        <v/>
      </c>
    </row>
    <row r="180">
      <c r="A180" s="3" t="n">
        <v>176</v>
      </c>
      <c r="B180" s="3" t="inlineStr">
        <is>
          <t>NB21</t>
        </is>
      </c>
      <c r="C180" s="3" t="inlineStr">
        <is>
          <t>Cu</t>
        </is>
      </c>
      <c r="D180" s="3" t="inlineStr">
        <is>
          <t>mg/l</t>
        </is>
      </c>
      <c r="E180" s="3" t="n">
        <v>10</v>
      </c>
      <c r="F180" s="3" t="n">
        <v>1</v>
      </c>
      <c r="G180" s="3">
        <f>IFERROR(XLOOKUP(B180, DM_DinhMuc_TT20!$B:$B, DM_DinhMuc_TT20!$F:$F, 0.8), 0.8)</f>
        <v/>
      </c>
      <c r="H180" s="3">
        <f>ROUND((G180 * 0.4 * 1.2) / IF(F180&gt;0, F180, 1), 4)</f>
        <v/>
      </c>
      <c r="I180" s="3">
        <f>ROUND(G180 * 0.6, 4)</f>
        <v/>
      </c>
      <c r="J180" s="3">
        <f>DM_GiaVatTu!$E$8</f>
        <v/>
      </c>
      <c r="K180" s="3">
        <f>ROUND((H180 + I180) * J180 * E180, 0)</f>
        <v/>
      </c>
      <c r="L180" s="3">
        <f>ROUND(E180 * 1.08 * IFERROR(XLOOKUP(B180, DM_DinhMuc_TT20!$B:$B, DM_DinhMuc_TT20!$G:$G, 150000), 150000), 0)</f>
        <v/>
      </c>
      <c r="M180" s="3">
        <f>ROUND(E180 * 1.10 * IFERROR(XLOOKUP(B180, DM_DinhMuc_TT20!$B:$B, DM_DinhMuc_TT20!$H:$H, 25000), 25000), 0)</f>
        <v/>
      </c>
      <c r="N180" s="3">
        <f>ROUND(E180 * IFERROR(XLOOKUP(B180, DM_DinhMuc_TT20!$B:$B, DM_DinhMuc_TT20!$I:$I, 80000), 80000), 0)</f>
        <v/>
      </c>
      <c r="O180" s="3" t="n">
        <v>0</v>
      </c>
      <c r="P180" s="3">
        <f>K180+L180+M180+N180+O180</f>
        <v/>
      </c>
      <c r="Q180" s="3">
        <f>IF(E180&gt;0, ROUND(P180/E180, 0), 0)</f>
        <v/>
      </c>
    </row>
    <row r="181">
      <c r="A181" s="2" t="n">
        <v>177</v>
      </c>
      <c r="B181" s="2" t="inlineStr">
        <is>
          <t>NB21</t>
        </is>
      </c>
      <c r="C181" s="2" t="inlineStr">
        <is>
          <t>Pb</t>
        </is>
      </c>
      <c r="D181" s="2" t="inlineStr">
        <is>
          <t>mg/l</t>
        </is>
      </c>
      <c r="E181" s="2" t="n">
        <v>10</v>
      </c>
      <c r="F181" s="2" t="n">
        <v>1</v>
      </c>
      <c r="G181" s="2">
        <f>IFERROR(XLOOKUP(B181, DM_DinhMuc_TT20!$B:$B, DM_DinhMuc_TT20!$F:$F, 0.8), 0.8)</f>
        <v/>
      </c>
      <c r="H181" s="2">
        <f>ROUND((G181 * 0.4 * 1.2) / IF(F181&gt;0, F181, 1), 4)</f>
        <v/>
      </c>
      <c r="I181" s="2">
        <f>ROUND(G181 * 0.6, 4)</f>
        <v/>
      </c>
      <c r="J181" s="2">
        <f>DM_GiaVatTu!$E$8</f>
        <v/>
      </c>
      <c r="K181" s="2">
        <f>ROUND((H181 + I181) * J181 * E181, 0)</f>
        <v/>
      </c>
      <c r="L181" s="2">
        <f>ROUND(E181 * 1.08 * IFERROR(XLOOKUP(B181, DM_DinhMuc_TT20!$B:$B, DM_DinhMuc_TT20!$G:$G, 150000), 150000), 0)</f>
        <v/>
      </c>
      <c r="M181" s="2">
        <f>ROUND(E181 * 1.10 * IFERROR(XLOOKUP(B181, DM_DinhMuc_TT20!$B:$B, DM_DinhMuc_TT20!$H:$H, 25000), 25000), 0)</f>
        <v/>
      </c>
      <c r="N181" s="2">
        <f>ROUND(E181 * IFERROR(XLOOKUP(B181, DM_DinhMuc_TT20!$B:$B, DM_DinhMuc_TT20!$I:$I, 80000), 80000), 0)</f>
        <v/>
      </c>
      <c r="O181" s="2" t="n">
        <v>0</v>
      </c>
      <c r="P181" s="2">
        <f>K181+L181+M181+N181+O181</f>
        <v/>
      </c>
      <c r="Q181" s="2">
        <f>IF(E181&gt;0, ROUND(P181/E181, 0), 0)</f>
        <v/>
      </c>
    </row>
    <row r="182">
      <c r="A182" s="3" t="n">
        <v>178</v>
      </c>
      <c r="B182" s="3" t="inlineStr">
        <is>
          <t>NB21</t>
        </is>
      </c>
      <c r="C182" s="3" t="inlineStr">
        <is>
          <t>Fe</t>
        </is>
      </c>
      <c r="D182" s="3" t="inlineStr">
        <is>
          <t>mg/l</t>
        </is>
      </c>
      <c r="E182" s="3" t="n">
        <v>10</v>
      </c>
      <c r="F182" s="3" t="n">
        <v>1</v>
      </c>
      <c r="G182" s="3">
        <f>IFERROR(XLOOKUP(B182, DM_DinhMuc_TT20!$B:$B, DM_DinhMuc_TT20!$F:$F, 0.8), 0.8)</f>
        <v/>
      </c>
      <c r="H182" s="3">
        <f>ROUND((G182 * 0.4 * 1.2) / IF(F182&gt;0, F182, 1), 4)</f>
        <v/>
      </c>
      <c r="I182" s="3">
        <f>ROUND(G182 * 0.6, 4)</f>
        <v/>
      </c>
      <c r="J182" s="3">
        <f>DM_GiaVatTu!$E$8</f>
        <v/>
      </c>
      <c r="K182" s="3">
        <f>ROUND((H182 + I182) * J182 * E182, 0)</f>
        <v/>
      </c>
      <c r="L182" s="3">
        <f>ROUND(E182 * 1.08 * IFERROR(XLOOKUP(B182, DM_DinhMuc_TT20!$B:$B, DM_DinhMuc_TT20!$G:$G, 150000), 150000), 0)</f>
        <v/>
      </c>
      <c r="M182" s="3">
        <f>ROUND(E182 * 1.10 * IFERROR(XLOOKUP(B182, DM_DinhMuc_TT20!$B:$B, DM_DinhMuc_TT20!$H:$H, 25000), 25000), 0)</f>
        <v/>
      </c>
      <c r="N182" s="3">
        <f>ROUND(E182 * IFERROR(XLOOKUP(B182, DM_DinhMuc_TT20!$B:$B, DM_DinhMuc_TT20!$I:$I, 80000), 80000), 0)</f>
        <v/>
      </c>
      <c r="O182" s="3" t="n">
        <v>0</v>
      </c>
      <c r="P182" s="3">
        <f>K182+L182+M182+N182+O182</f>
        <v/>
      </c>
      <c r="Q182" s="3">
        <f>IF(E182&gt;0, ROUND(P182/E182, 0), 0)</f>
        <v/>
      </c>
    </row>
    <row r="183">
      <c r="A183" s="2" t="n">
        <v>179</v>
      </c>
      <c r="B183" s="2" t="inlineStr">
        <is>
          <t>NB21</t>
        </is>
      </c>
      <c r="C183" s="2" t="inlineStr">
        <is>
          <t>Zn</t>
        </is>
      </c>
      <c r="D183" s="2" t="inlineStr">
        <is>
          <t>mg/l</t>
        </is>
      </c>
      <c r="E183" s="2" t="n">
        <v>10</v>
      </c>
      <c r="F183" s="2" t="n">
        <v>1</v>
      </c>
      <c r="G183" s="2">
        <f>IFERROR(XLOOKUP(B183, DM_DinhMuc_TT20!$B:$B, DM_DinhMuc_TT20!$F:$F, 0.8), 0.8)</f>
        <v/>
      </c>
      <c r="H183" s="2">
        <f>ROUND((G183 * 0.4 * 1.2) / IF(F183&gt;0, F183, 1), 4)</f>
        <v/>
      </c>
      <c r="I183" s="2">
        <f>ROUND(G183 * 0.6, 4)</f>
        <v/>
      </c>
      <c r="J183" s="2">
        <f>DM_GiaVatTu!$E$8</f>
        <v/>
      </c>
      <c r="K183" s="2">
        <f>ROUND((H183 + I183) * J183 * E183, 0)</f>
        <v/>
      </c>
      <c r="L183" s="2">
        <f>ROUND(E183 * 1.08 * IFERROR(XLOOKUP(B183, DM_DinhMuc_TT20!$B:$B, DM_DinhMuc_TT20!$G:$G, 150000), 150000), 0)</f>
        <v/>
      </c>
      <c r="M183" s="2">
        <f>ROUND(E183 * 1.10 * IFERROR(XLOOKUP(B183, DM_DinhMuc_TT20!$B:$B, DM_DinhMuc_TT20!$H:$H, 25000), 25000), 0)</f>
        <v/>
      </c>
      <c r="N183" s="2">
        <f>ROUND(E183 * IFERROR(XLOOKUP(B183, DM_DinhMuc_TT20!$B:$B, DM_DinhMuc_TT20!$I:$I, 80000), 80000), 0)</f>
        <v/>
      </c>
      <c r="O183" s="2" t="n">
        <v>0</v>
      </c>
      <c r="P183" s="2">
        <f>K183+L183+M183+N183+O183</f>
        <v/>
      </c>
      <c r="Q183" s="2">
        <f>IF(E183&gt;0, ROUND(P183/E183, 0), 0)</f>
        <v/>
      </c>
    </row>
    <row r="184">
      <c r="A184" s="3" t="n">
        <v>180</v>
      </c>
      <c r="B184" s="3" t="inlineStr">
        <is>
          <t>NB21</t>
        </is>
      </c>
      <c r="C184" s="3" t="inlineStr">
        <is>
          <t>Tổng Cr</t>
        </is>
      </c>
      <c r="D184" s="3" t="inlineStr">
        <is>
          <t>mg/l</t>
        </is>
      </c>
      <c r="E184" s="3" t="n">
        <v>10</v>
      </c>
      <c r="F184" s="3" t="n">
        <v>1</v>
      </c>
      <c r="G184" s="3">
        <f>IFERROR(XLOOKUP(B184, DM_DinhMuc_TT20!$B:$B, DM_DinhMuc_TT20!$F:$F, 0.8), 0.8)</f>
        <v/>
      </c>
      <c r="H184" s="3">
        <f>ROUND((G184 * 0.4 * 1.2) / IF(F184&gt;0, F184, 1), 4)</f>
        <v/>
      </c>
      <c r="I184" s="3">
        <f>ROUND(G184 * 0.6, 4)</f>
        <v/>
      </c>
      <c r="J184" s="3">
        <f>DM_GiaVatTu!$E$8</f>
        <v/>
      </c>
      <c r="K184" s="3">
        <f>ROUND((H184 + I184) * J184 * E184, 0)</f>
        <v/>
      </c>
      <c r="L184" s="3">
        <f>ROUND(E184 * 1.08 * IFERROR(XLOOKUP(B184, DM_DinhMuc_TT20!$B:$B, DM_DinhMuc_TT20!$G:$G, 150000), 150000), 0)</f>
        <v/>
      </c>
      <c r="M184" s="3">
        <f>ROUND(E184 * 1.10 * IFERROR(XLOOKUP(B184, DM_DinhMuc_TT20!$B:$B, DM_DinhMuc_TT20!$H:$H, 25000), 25000), 0)</f>
        <v/>
      </c>
      <c r="N184" s="3">
        <f>ROUND(E184 * IFERROR(XLOOKUP(B184, DM_DinhMuc_TT20!$B:$B, DM_DinhMuc_TT20!$I:$I, 80000), 80000), 0)</f>
        <v/>
      </c>
      <c r="O184" s="3" t="n">
        <v>0</v>
      </c>
      <c r="P184" s="3">
        <f>K184+L184+M184+N184+O184</f>
        <v/>
      </c>
      <c r="Q184" s="3">
        <f>IF(E184&gt;0, ROUND(P184/E184, 0), 0)</f>
        <v/>
      </c>
    </row>
    <row r="185">
      <c r="A185" s="2" t="n">
        <v>181</v>
      </c>
      <c r="B185" s="2" t="inlineStr">
        <is>
          <t>NB21</t>
        </is>
      </c>
      <c r="C185" s="2" t="inlineStr">
        <is>
          <t>Mn</t>
        </is>
      </c>
      <c r="D185" s="2" t="inlineStr">
        <is>
          <t>mg/l</t>
        </is>
      </c>
      <c r="E185" s="2" t="n">
        <v>10</v>
      </c>
      <c r="F185" s="2" t="n">
        <v>1</v>
      </c>
      <c r="G185" s="2">
        <f>IFERROR(XLOOKUP(B185, DM_DinhMuc_TT20!$B:$B, DM_DinhMuc_TT20!$F:$F, 0.8), 0.8)</f>
        <v/>
      </c>
      <c r="H185" s="2">
        <f>ROUND((G185 * 0.4 * 1.2) / IF(F185&gt;0, F185, 1), 4)</f>
        <v/>
      </c>
      <c r="I185" s="2">
        <f>ROUND(G185 * 0.6, 4)</f>
        <v/>
      </c>
      <c r="J185" s="2">
        <f>DM_GiaVatTu!$E$8</f>
        <v/>
      </c>
      <c r="K185" s="2">
        <f>ROUND((H185 + I185) * J185 * E185, 0)</f>
        <v/>
      </c>
      <c r="L185" s="2">
        <f>ROUND(E185 * 1.08 * IFERROR(XLOOKUP(B185, DM_DinhMuc_TT20!$B:$B, DM_DinhMuc_TT20!$G:$G, 150000), 150000), 0)</f>
        <v/>
      </c>
      <c r="M185" s="2">
        <f>ROUND(E185 * 1.10 * IFERROR(XLOOKUP(B185, DM_DinhMuc_TT20!$B:$B, DM_DinhMuc_TT20!$H:$H, 25000), 25000), 0)</f>
        <v/>
      </c>
      <c r="N185" s="2">
        <f>ROUND(E185 * IFERROR(XLOOKUP(B185, DM_DinhMuc_TT20!$B:$B, DM_DinhMuc_TT20!$I:$I, 80000), 80000), 0)</f>
        <v/>
      </c>
      <c r="O185" s="2" t="n">
        <v>0</v>
      </c>
      <c r="P185" s="2">
        <f>K185+L185+M185+N185+O185</f>
        <v/>
      </c>
      <c r="Q185" s="2">
        <f>IF(E185&gt;0, ROUND(P185/E185, 0), 0)</f>
        <v/>
      </c>
    </row>
    <row r="186">
      <c r="A186" s="3" t="n">
        <v>182</v>
      </c>
      <c r="B186" s="3" t="inlineStr">
        <is>
          <t>NB21</t>
        </is>
      </c>
      <c r="C186" s="3" t="inlineStr">
        <is>
          <t>Cr VI</t>
        </is>
      </c>
      <c r="D186" s="3" t="inlineStr">
        <is>
          <t>mg/l</t>
        </is>
      </c>
      <c r="E186" s="3" t="n">
        <v>10</v>
      </c>
      <c r="F186" s="3" t="n">
        <v>1</v>
      </c>
      <c r="G186" s="3">
        <f>IFERROR(XLOOKUP(B186, DM_DinhMuc_TT20!$B:$B, DM_DinhMuc_TT20!$F:$F, 0.8), 0.8)</f>
        <v/>
      </c>
      <c r="H186" s="3">
        <f>ROUND((G186 * 0.4 * 1.2) / IF(F186&gt;0, F186, 1), 4)</f>
        <v/>
      </c>
      <c r="I186" s="3">
        <f>ROUND(G186 * 0.6, 4)</f>
        <v/>
      </c>
      <c r="J186" s="3">
        <f>DM_GiaVatTu!$E$8</f>
        <v/>
      </c>
      <c r="K186" s="3">
        <f>ROUND((H186 + I186) * J186 * E186, 0)</f>
        <v/>
      </c>
      <c r="L186" s="3">
        <f>ROUND(E186 * 1.08 * IFERROR(XLOOKUP(B186, DM_DinhMuc_TT20!$B:$B, DM_DinhMuc_TT20!$G:$G, 150000), 150000), 0)</f>
        <v/>
      </c>
      <c r="M186" s="3">
        <f>ROUND(E186 * 1.10 * IFERROR(XLOOKUP(B186, DM_DinhMuc_TT20!$B:$B, DM_DinhMuc_TT20!$H:$H, 25000), 25000), 0)</f>
        <v/>
      </c>
      <c r="N186" s="3">
        <f>ROUND(E186 * IFERROR(XLOOKUP(B186, DM_DinhMuc_TT20!$B:$B, DM_DinhMuc_TT20!$I:$I, 80000), 80000), 0)</f>
        <v/>
      </c>
      <c r="O186" s="3" t="n">
        <v>0</v>
      </c>
      <c r="P186" s="3">
        <f>K186+L186+M186+N186+O186</f>
        <v/>
      </c>
      <c r="Q186" s="3">
        <f>IF(E186&gt;0, ROUND(P186/E186, 0), 0)</f>
        <v/>
      </c>
    </row>
    <row r="187">
      <c r="A187" s="2" t="n">
        <v>183</v>
      </c>
      <c r="B187" s="2" t="inlineStr">
        <is>
          <t>NB10</t>
        </is>
      </c>
      <c r="C187" s="2" t="inlineStr">
        <is>
          <t>Tổng Phenol</t>
        </is>
      </c>
      <c r="D187" s="2" t="inlineStr">
        <is>
          <t>mg/l</t>
        </is>
      </c>
      <c r="E187" s="2" t="n">
        <v>10</v>
      </c>
      <c r="F187" s="2" t="n">
        <v>1</v>
      </c>
      <c r="G187" s="2">
        <f>IFERROR(XLOOKUP(B187, DM_DinhMuc_TT20!$B:$B, DM_DinhMuc_TT20!$F:$F, 0.8), 0.8)</f>
        <v/>
      </c>
      <c r="H187" s="2">
        <f>ROUND((G187 * 0.4 * 1.2) / IF(F187&gt;0, F187, 1), 4)</f>
        <v/>
      </c>
      <c r="I187" s="2">
        <f>ROUND(G187 * 0.6, 4)</f>
        <v/>
      </c>
      <c r="J187" s="2">
        <f>DM_GiaVatTu!$E$8</f>
        <v/>
      </c>
      <c r="K187" s="2">
        <f>ROUND((H187 + I187) * J187 * E187, 0)</f>
        <v/>
      </c>
      <c r="L187" s="2">
        <f>ROUND(E187 * 1.08 * IFERROR(XLOOKUP(B187, DM_DinhMuc_TT20!$B:$B, DM_DinhMuc_TT20!$G:$G, 150000), 150000), 0)</f>
        <v/>
      </c>
      <c r="M187" s="2">
        <f>ROUND(E187 * 1.10 * IFERROR(XLOOKUP(B187, DM_DinhMuc_TT20!$B:$B, DM_DinhMuc_TT20!$H:$H, 25000), 25000), 0)</f>
        <v/>
      </c>
      <c r="N187" s="2">
        <f>ROUND(E187 * IFERROR(XLOOKUP(B187, DM_DinhMuc_TT20!$B:$B, DM_DinhMuc_TT20!$I:$I, 80000), 80000), 0)</f>
        <v/>
      </c>
      <c r="O187" s="2" t="n">
        <v>0</v>
      </c>
      <c r="P187" s="2">
        <f>K187+L187+M187+N187+O187</f>
        <v/>
      </c>
      <c r="Q187" s="2">
        <f>IF(E187&gt;0, ROUND(P187/E187, 0), 0)</f>
        <v/>
      </c>
    </row>
    <row r="188">
      <c r="A188" s="3" t="n">
        <v>184</v>
      </c>
      <c r="B188" s="3" t="inlineStr">
        <is>
          <t>NB22</t>
        </is>
      </c>
      <c r="C188" s="3" t="inlineStr">
        <is>
          <t>Tổng dầu mỡ khoáng</t>
        </is>
      </c>
      <c r="D188" s="3" t="inlineStr">
        <is>
          <t>mg/l</t>
        </is>
      </c>
      <c r="E188" s="3" t="n">
        <v>10</v>
      </c>
      <c r="F188" s="3" t="n">
        <v>1</v>
      </c>
      <c r="G188" s="3">
        <f>IFERROR(XLOOKUP(B188, DM_DinhMuc_TT20!$B:$B, DM_DinhMuc_TT20!$F:$F, 0.8), 0.8)</f>
        <v/>
      </c>
      <c r="H188" s="3">
        <f>ROUND((G188 * 0.4 * 1.2) / IF(F188&gt;0, F188, 1), 4)</f>
        <v/>
      </c>
      <c r="I188" s="3">
        <f>ROUND(G188 * 0.6, 4)</f>
        <v/>
      </c>
      <c r="J188" s="3">
        <f>DM_GiaVatTu!$E$8</f>
        <v/>
      </c>
      <c r="K188" s="3">
        <f>ROUND((H188 + I188) * J188 * E188, 0)</f>
        <v/>
      </c>
      <c r="L188" s="3">
        <f>ROUND(E188 * 1.08 * IFERROR(XLOOKUP(B188, DM_DinhMuc_TT20!$B:$B, DM_DinhMuc_TT20!$G:$G, 150000), 150000), 0)</f>
        <v/>
      </c>
      <c r="M188" s="3">
        <f>ROUND(E188 * 1.10 * IFERROR(XLOOKUP(B188, DM_DinhMuc_TT20!$B:$B, DM_DinhMuc_TT20!$H:$H, 25000), 25000), 0)</f>
        <v/>
      </c>
      <c r="N188" s="3">
        <f>ROUND(E188 * IFERROR(XLOOKUP(B188, DM_DinhMuc_TT20!$B:$B, DM_DinhMuc_TT20!$I:$I, 80000), 80000), 0)</f>
        <v/>
      </c>
      <c r="O188" s="3" t="n">
        <v>0</v>
      </c>
      <c r="P188" s="3">
        <f>K188+L188+M188+N188+O188</f>
        <v/>
      </c>
      <c r="Q188" s="3">
        <f>IF(E188&gt;0, ROUND(P188/E188, 0), 0)</f>
        <v/>
      </c>
    </row>
    <row r="189">
      <c r="A189" s="2" t="n">
        <v>185</v>
      </c>
      <c r="B189" s="2" t="inlineStr">
        <is>
          <t>NB18</t>
        </is>
      </c>
      <c r="C189" s="2" t="inlineStr">
        <is>
          <t>Coliform</t>
        </is>
      </c>
      <c r="D189" s="2" t="inlineStr">
        <is>
          <t>MPN/100ml</t>
        </is>
      </c>
      <c r="E189" s="2" t="n">
        <v>10</v>
      </c>
      <c r="F189" s="2" t="n">
        <v>1</v>
      </c>
      <c r="G189" s="2">
        <f>IFERROR(XLOOKUP(B189, DM_DinhMuc_TT20!$B:$B, DM_DinhMuc_TT20!$F:$F, 0.8), 0.8)</f>
        <v/>
      </c>
      <c r="H189" s="2">
        <f>ROUND((G189 * 0.4 * 1.2) / IF(F189&gt;0, F189, 1), 4)</f>
        <v/>
      </c>
      <c r="I189" s="2">
        <f>ROUND(G189 * 0.6, 4)</f>
        <v/>
      </c>
      <c r="J189" s="2">
        <f>DM_GiaVatTu!$E$8</f>
        <v/>
      </c>
      <c r="K189" s="2">
        <f>ROUND((H189 + I189) * J189 * E189, 0)</f>
        <v/>
      </c>
      <c r="L189" s="2">
        <f>ROUND(E189 * 1.08 * IFERROR(XLOOKUP(B189, DM_DinhMuc_TT20!$B:$B, DM_DinhMuc_TT20!$G:$G, 150000), 150000), 0)</f>
        <v/>
      </c>
      <c r="M189" s="2">
        <f>ROUND(E189 * 1.10 * IFERROR(XLOOKUP(B189, DM_DinhMuc_TT20!$B:$B, DM_DinhMuc_TT20!$H:$H, 25000), 25000), 0)</f>
        <v/>
      </c>
      <c r="N189" s="2">
        <f>ROUND(E189 * IFERROR(XLOOKUP(B189, DM_DinhMuc_TT20!$B:$B, DM_DinhMuc_TT20!$I:$I, 80000), 80000), 0)</f>
        <v/>
      </c>
      <c r="O189" s="2" t="n">
        <v>0</v>
      </c>
      <c r="P189" s="2">
        <f>K189+L189+M189+N189+O189</f>
        <v/>
      </c>
      <c r="Q189" s="2">
        <f>IF(E189&gt;0, ROUND(P189/E189, 0), 0)</f>
        <v/>
      </c>
    </row>
    <row r="190">
      <c r="A190" s="3" t="n">
        <v>186</v>
      </c>
      <c r="B190" s="3" t="inlineStr">
        <is>
          <t>CT2</t>
        </is>
      </c>
      <c r="C190" s="3" t="inlineStr">
        <is>
          <t>pH</t>
        </is>
      </c>
      <c r="D190" s="3" t="inlineStr">
        <is>
          <t>-</t>
        </is>
      </c>
      <c r="E190" s="3" t="n">
        <v>4</v>
      </c>
      <c r="F190" s="3" t="n">
        <v>1</v>
      </c>
      <c r="G190" s="3">
        <f>IFERROR(XLOOKUP(B190, DM_DinhMuc_TT20!$B:$B, DM_DinhMuc_TT20!$F:$F, 0.8), 0.8)</f>
        <v/>
      </c>
      <c r="H190" s="3">
        <f>ROUND((G190 * 0.4 * 1.2) / IF(F190&gt;0, F190, 1), 4)</f>
        <v/>
      </c>
      <c r="I190" s="3">
        <f>ROUND(G190 * 0.6, 4)</f>
        <v/>
      </c>
      <c r="J190" s="3">
        <f>DM_GiaVatTu!$E$8</f>
        <v/>
      </c>
      <c r="K190" s="3">
        <f>ROUND((H190 + I190) * J190 * E190, 0)</f>
        <v/>
      </c>
      <c r="L190" s="3">
        <f>ROUND(E190 * 1.08 * IFERROR(XLOOKUP(B190, DM_DinhMuc_TT20!$B:$B, DM_DinhMuc_TT20!$G:$G, 150000), 150000), 0)</f>
        <v/>
      </c>
      <c r="M190" s="3">
        <f>ROUND(E190 * 1.10 * IFERROR(XLOOKUP(B190, DM_DinhMuc_TT20!$B:$B, DM_DinhMuc_TT20!$H:$H, 25000), 25000), 0)</f>
        <v/>
      </c>
      <c r="N190" s="3">
        <f>ROUND(E190 * IFERROR(XLOOKUP(B190, DM_DinhMuc_TT20!$B:$B, DM_DinhMuc_TT20!$I:$I, 80000), 80000), 0)</f>
        <v/>
      </c>
      <c r="O190" s="3" t="n">
        <v>0</v>
      </c>
      <c r="P190" s="3">
        <f>K190+L190+M190+N190+O190</f>
        <v/>
      </c>
      <c r="Q190" s="3">
        <f>IF(E190&gt;0, ROUND(P190/E190, 0), 0)</f>
        <v/>
      </c>
    </row>
    <row r="191">
      <c r="A191" s="2" t="n">
        <v>187</v>
      </c>
      <c r="B191" s="2" t="inlineStr">
        <is>
          <t>CT3</t>
        </is>
      </c>
      <c r="C191" s="2" t="inlineStr">
        <is>
          <t>Cyanua (CN-)</t>
        </is>
      </c>
      <c r="D191" s="2" t="inlineStr">
        <is>
          <t>ppm</t>
        </is>
      </c>
      <c r="E191" s="2" t="n">
        <v>4</v>
      </c>
      <c r="F191" s="2" t="n">
        <v>1</v>
      </c>
      <c r="G191" s="2">
        <f>IFERROR(XLOOKUP(B191, DM_DinhMuc_TT20!$B:$B, DM_DinhMuc_TT20!$F:$F, 0.8), 0.8)</f>
        <v/>
      </c>
      <c r="H191" s="2">
        <f>ROUND((G191 * 0.4 * 1.2) / IF(F191&gt;0, F191, 1), 4)</f>
        <v/>
      </c>
      <c r="I191" s="2">
        <f>ROUND(G191 * 0.6, 4)</f>
        <v/>
      </c>
      <c r="J191" s="2">
        <f>DM_GiaVatTu!$E$8</f>
        <v/>
      </c>
      <c r="K191" s="2">
        <f>ROUND((H191 + I191) * J191 * E191, 0)</f>
        <v/>
      </c>
      <c r="L191" s="2">
        <f>ROUND(E191 * 1.08 * IFERROR(XLOOKUP(B191, DM_DinhMuc_TT20!$B:$B, DM_DinhMuc_TT20!$G:$G, 150000), 150000), 0)</f>
        <v/>
      </c>
      <c r="M191" s="2">
        <f>ROUND(E191 * 1.10 * IFERROR(XLOOKUP(B191, DM_DinhMuc_TT20!$B:$B, DM_DinhMuc_TT20!$H:$H, 25000), 25000), 0)</f>
        <v/>
      </c>
      <c r="N191" s="2">
        <f>ROUND(E191 * IFERROR(XLOOKUP(B191, DM_DinhMuc_TT20!$B:$B, DM_DinhMuc_TT20!$I:$I, 80000), 80000), 0)</f>
        <v/>
      </c>
      <c r="O191" s="2" t="n">
        <v>0</v>
      </c>
      <c r="P191" s="2">
        <f>K191+L191+M191+N191+O191</f>
        <v/>
      </c>
      <c r="Q191" s="2">
        <f>IF(E191&gt;0, ROUND(P191/E191, 0), 0)</f>
        <v/>
      </c>
    </row>
    <row r="192">
      <c r="A192" s="3" t="n">
        <v>188</v>
      </c>
      <c r="B192" s="3" t="inlineStr">
        <is>
          <t>CT4</t>
        </is>
      </c>
      <c r="C192" s="3" t="inlineStr">
        <is>
          <t>Crom (VI)</t>
        </is>
      </c>
      <c r="D192" s="3" t="inlineStr">
        <is>
          <t>mg/l</t>
        </is>
      </c>
      <c r="E192" s="3" t="n">
        <v>4</v>
      </c>
      <c r="F192" s="3" t="n">
        <v>1</v>
      </c>
      <c r="G192" s="3">
        <f>IFERROR(XLOOKUP(B192, DM_DinhMuc_TT20!$B:$B, DM_DinhMuc_TT20!$F:$F, 0.8), 0.8)</f>
        <v/>
      </c>
      <c r="H192" s="3">
        <f>ROUND((G192 * 0.4 * 1.2) / IF(F192&gt;0, F192, 1), 4)</f>
        <v/>
      </c>
      <c r="I192" s="3">
        <f>ROUND(G192 * 0.6, 4)</f>
        <v/>
      </c>
      <c r="J192" s="3">
        <f>DM_GiaVatTu!$E$8</f>
        <v/>
      </c>
      <c r="K192" s="3">
        <f>ROUND((H192 + I192) * J192 * E192, 0)</f>
        <v/>
      </c>
      <c r="L192" s="3">
        <f>ROUND(E192 * 1.08 * IFERROR(XLOOKUP(B192, DM_DinhMuc_TT20!$B:$B, DM_DinhMuc_TT20!$G:$G, 150000), 150000), 0)</f>
        <v/>
      </c>
      <c r="M192" s="3">
        <f>ROUND(E192 * 1.10 * IFERROR(XLOOKUP(B192, DM_DinhMuc_TT20!$B:$B, DM_DinhMuc_TT20!$H:$H, 25000), 25000), 0)</f>
        <v/>
      </c>
      <c r="N192" s="3">
        <f>ROUND(E192 * IFERROR(XLOOKUP(B192, DM_DinhMuc_TT20!$B:$B, DM_DinhMuc_TT20!$I:$I, 80000), 80000), 0)</f>
        <v/>
      </c>
      <c r="O192" s="3" t="n">
        <v>0</v>
      </c>
      <c r="P192" s="3">
        <f>K192+L192+M192+N192+O192</f>
        <v/>
      </c>
      <c r="Q192" s="3">
        <f>IF(E192&gt;0, ROUND(P192/E192, 0), 0)</f>
        <v/>
      </c>
    </row>
    <row r="193">
      <c r="A193" s="2" t="n">
        <v>189</v>
      </c>
      <c r="B193" s="2" t="inlineStr">
        <is>
          <t>CT7a</t>
        </is>
      </c>
      <c r="C193" s="2" t="inlineStr">
        <is>
          <t>As</t>
        </is>
      </c>
      <c r="D193" s="2" t="inlineStr">
        <is>
          <t>mg/l</t>
        </is>
      </c>
      <c r="E193" s="2" t="n">
        <v>4</v>
      </c>
      <c r="F193" s="2" t="n">
        <v>1</v>
      </c>
      <c r="G193" s="2">
        <f>IFERROR(XLOOKUP(B193, DM_DinhMuc_TT20!$B:$B, DM_DinhMuc_TT20!$F:$F, 0.8), 0.8)</f>
        <v/>
      </c>
      <c r="H193" s="2">
        <f>ROUND((G193 * 0.4 * 1.2) / IF(F193&gt;0, F193, 1), 4)</f>
        <v/>
      </c>
      <c r="I193" s="2">
        <f>ROUND(G193 * 0.6, 4)</f>
        <v/>
      </c>
      <c r="J193" s="2">
        <f>DM_GiaVatTu!$E$8</f>
        <v/>
      </c>
      <c r="K193" s="2">
        <f>ROUND((H193 + I193) * J193 * E193, 0)</f>
        <v/>
      </c>
      <c r="L193" s="2">
        <f>ROUND(E193 * 1.08 * IFERROR(XLOOKUP(B193, DM_DinhMuc_TT20!$B:$B, DM_DinhMuc_TT20!$G:$G, 150000), 150000), 0)</f>
        <v/>
      </c>
      <c r="M193" s="2">
        <f>ROUND(E193 * 1.10 * IFERROR(XLOOKUP(B193, DM_DinhMuc_TT20!$B:$B, DM_DinhMuc_TT20!$H:$H, 25000), 25000), 0)</f>
        <v/>
      </c>
      <c r="N193" s="2">
        <f>ROUND(E193 * IFERROR(XLOOKUP(B193, DM_DinhMuc_TT20!$B:$B, DM_DinhMuc_TT20!$I:$I, 80000), 80000), 0)</f>
        <v/>
      </c>
      <c r="O193" s="2" t="n">
        <v>0</v>
      </c>
      <c r="P193" s="2">
        <f>K193+L193+M193+N193+O193</f>
        <v/>
      </c>
      <c r="Q193" s="2">
        <f>IF(E193&gt;0, ROUND(P193/E193, 0), 0)</f>
        <v/>
      </c>
    </row>
    <row r="194">
      <c r="A194" s="3" t="n">
        <v>190</v>
      </c>
      <c r="B194" s="3" t="inlineStr">
        <is>
          <t>CT7b</t>
        </is>
      </c>
      <c r="C194" s="3" t="inlineStr">
        <is>
          <t>Hg</t>
        </is>
      </c>
      <c r="D194" s="3" t="inlineStr">
        <is>
          <t>mg/l</t>
        </is>
      </c>
      <c r="E194" s="3" t="n">
        <v>4</v>
      </c>
      <c r="F194" s="3" t="n">
        <v>1</v>
      </c>
      <c r="G194" s="3">
        <f>IFERROR(XLOOKUP(B194, DM_DinhMuc_TT20!$B:$B, DM_DinhMuc_TT20!$F:$F, 0.8), 0.8)</f>
        <v/>
      </c>
      <c r="H194" s="3">
        <f>ROUND((G194 * 0.4 * 1.2) / IF(F194&gt;0, F194, 1), 4)</f>
        <v/>
      </c>
      <c r="I194" s="3">
        <f>ROUND(G194 * 0.6, 4)</f>
        <v/>
      </c>
      <c r="J194" s="3">
        <f>DM_GiaVatTu!$E$8</f>
        <v/>
      </c>
      <c r="K194" s="3">
        <f>ROUND((H194 + I194) * J194 * E194, 0)</f>
        <v/>
      </c>
      <c r="L194" s="3">
        <f>ROUND(E194 * 1.08 * IFERROR(XLOOKUP(B194, DM_DinhMuc_TT20!$B:$B, DM_DinhMuc_TT20!$G:$G, 150000), 150000), 0)</f>
        <v/>
      </c>
      <c r="M194" s="3">
        <f>ROUND(E194 * 1.10 * IFERROR(XLOOKUP(B194, DM_DinhMuc_TT20!$B:$B, DM_DinhMuc_TT20!$H:$H, 25000), 25000), 0)</f>
        <v/>
      </c>
      <c r="N194" s="3">
        <f>ROUND(E194 * IFERROR(XLOOKUP(B194, DM_DinhMuc_TT20!$B:$B, DM_DinhMuc_TT20!$I:$I, 80000), 80000), 0)</f>
        <v/>
      </c>
      <c r="O194" s="3" t="n">
        <v>0</v>
      </c>
      <c r="P194" s="3">
        <f>K194+L194+M194+N194+O194</f>
        <v/>
      </c>
      <c r="Q194" s="3">
        <f>IF(E194&gt;0, ROUND(P194/E194, 0), 0)</f>
        <v/>
      </c>
    </row>
    <row r="195">
      <c r="A195" s="2" t="n">
        <v>191</v>
      </c>
      <c r="B195" s="2" t="inlineStr">
        <is>
          <t>CT2</t>
        </is>
      </c>
      <c r="C195" s="2" t="inlineStr">
        <is>
          <t>Phenol</t>
        </is>
      </c>
      <c r="D195" s="2" t="inlineStr">
        <is>
          <t>mg/l</t>
        </is>
      </c>
      <c r="E195" s="2" t="n">
        <v>4</v>
      </c>
      <c r="F195" s="2" t="n">
        <v>1</v>
      </c>
      <c r="G195" s="2">
        <f>IFERROR(XLOOKUP(B195, DM_DinhMuc_TT20!$B:$B, DM_DinhMuc_TT20!$F:$F, 0.8), 0.8)</f>
        <v/>
      </c>
      <c r="H195" s="2">
        <f>ROUND((G195 * 0.4 * 1.2) / IF(F195&gt;0, F195, 1), 4)</f>
        <v/>
      </c>
      <c r="I195" s="2">
        <f>ROUND(G195 * 0.6, 4)</f>
        <v/>
      </c>
      <c r="J195" s="2">
        <f>DM_GiaVatTu!$E$8</f>
        <v/>
      </c>
      <c r="K195" s="2">
        <f>ROUND((H195 + I195) * J195 * E195, 0)</f>
        <v/>
      </c>
      <c r="L195" s="2">
        <f>ROUND(E195 * 1.08 * IFERROR(XLOOKUP(B195, DM_DinhMuc_TT20!$B:$B, DM_DinhMuc_TT20!$G:$G, 150000), 150000), 0)</f>
        <v/>
      </c>
      <c r="M195" s="2">
        <f>ROUND(E195 * 1.10 * IFERROR(XLOOKUP(B195, DM_DinhMuc_TT20!$B:$B, DM_DinhMuc_TT20!$H:$H, 25000), 25000), 0)</f>
        <v/>
      </c>
      <c r="N195" s="2">
        <f>ROUND(E195 * IFERROR(XLOOKUP(B195, DM_DinhMuc_TT20!$B:$B, DM_DinhMuc_TT20!$I:$I, 80000), 80000), 0)</f>
        <v/>
      </c>
      <c r="O195" s="2" t="n">
        <v>0</v>
      </c>
      <c r="P195" s="2">
        <f>K195+L195+M195+N195+O195</f>
        <v/>
      </c>
      <c r="Q195" s="2">
        <f>IF(E195&gt;0, ROUND(P195/E195, 0), 0)</f>
        <v/>
      </c>
    </row>
    <row r="196">
      <c r="A196" s="3" t="n">
        <v>192</v>
      </c>
      <c r="B196" s="3" t="inlineStr">
        <is>
          <t>CT6a</t>
        </is>
      </c>
      <c r="C196" s="3" t="inlineStr">
        <is>
          <t>Pb</t>
        </is>
      </c>
      <c r="D196" s="3" t="inlineStr">
        <is>
          <t>mg/l</t>
        </is>
      </c>
      <c r="E196" s="3" t="n">
        <v>4</v>
      </c>
      <c r="F196" s="3" t="n">
        <v>1</v>
      </c>
      <c r="G196" s="3">
        <f>IFERROR(XLOOKUP(B196, DM_DinhMuc_TT20!$B:$B, DM_DinhMuc_TT20!$F:$F, 0.8), 0.8)</f>
        <v/>
      </c>
      <c r="H196" s="3">
        <f>ROUND((G196 * 0.4 * 1.2) / IF(F196&gt;0, F196, 1), 4)</f>
        <v/>
      </c>
      <c r="I196" s="3">
        <f>ROUND(G196 * 0.6, 4)</f>
        <v/>
      </c>
      <c r="J196" s="3">
        <f>DM_GiaVatTu!$E$8</f>
        <v/>
      </c>
      <c r="K196" s="3">
        <f>ROUND((H196 + I196) * J196 * E196, 0)</f>
        <v/>
      </c>
      <c r="L196" s="3">
        <f>ROUND(E196 * 1.08 * IFERROR(XLOOKUP(B196, DM_DinhMuc_TT20!$B:$B, DM_DinhMuc_TT20!$G:$G, 150000), 150000), 0)</f>
        <v/>
      </c>
      <c r="M196" s="3">
        <f>ROUND(E196 * 1.10 * IFERROR(XLOOKUP(B196, DM_DinhMuc_TT20!$B:$B, DM_DinhMuc_TT20!$H:$H, 25000), 25000), 0)</f>
        <v/>
      </c>
      <c r="N196" s="3">
        <f>ROUND(E196 * IFERROR(XLOOKUP(B196, DM_DinhMuc_TT20!$B:$B, DM_DinhMuc_TT20!$I:$I, 80000), 80000), 0)</f>
        <v/>
      </c>
      <c r="O196" s="3" t="n">
        <v>0</v>
      </c>
      <c r="P196" s="3">
        <f>K196+L196+M196+N196+O196</f>
        <v/>
      </c>
      <c r="Q196" s="3">
        <f>IF(E196&gt;0, ROUND(P196/E196, 0), 0)</f>
        <v/>
      </c>
    </row>
    <row r="197">
      <c r="A197" s="2" t="n">
        <v>193</v>
      </c>
      <c r="B197" s="2" t="inlineStr">
        <is>
          <t>CT6b</t>
        </is>
      </c>
      <c r="C197" s="2" t="inlineStr">
        <is>
          <t>Cd</t>
        </is>
      </c>
      <c r="D197" s="2" t="inlineStr">
        <is>
          <t>mg/l</t>
        </is>
      </c>
      <c r="E197" s="2" t="n">
        <v>4</v>
      </c>
      <c r="F197" s="2" t="n">
        <v>1</v>
      </c>
      <c r="G197" s="2">
        <f>IFERROR(XLOOKUP(B197, DM_DinhMuc_TT20!$B:$B, DM_DinhMuc_TT20!$F:$F, 0.8), 0.8)</f>
        <v/>
      </c>
      <c r="H197" s="2">
        <f>ROUND((G197 * 0.4 * 1.2) / IF(F197&gt;0, F197, 1), 4)</f>
        <v/>
      </c>
      <c r="I197" s="2">
        <f>ROUND(G197 * 0.6, 4)</f>
        <v/>
      </c>
      <c r="J197" s="2">
        <f>DM_GiaVatTu!$E$8</f>
        <v/>
      </c>
      <c r="K197" s="2">
        <f>ROUND((H197 + I197) * J197 * E197, 0)</f>
        <v/>
      </c>
      <c r="L197" s="2">
        <f>ROUND(E197 * 1.08 * IFERROR(XLOOKUP(B197, DM_DinhMuc_TT20!$B:$B, DM_DinhMuc_TT20!$G:$G, 150000), 150000), 0)</f>
        <v/>
      </c>
      <c r="M197" s="2">
        <f>ROUND(E197 * 1.10 * IFERROR(XLOOKUP(B197, DM_DinhMuc_TT20!$B:$B, DM_DinhMuc_TT20!$H:$H, 25000), 25000), 0)</f>
        <v/>
      </c>
      <c r="N197" s="2">
        <f>ROUND(E197 * IFERROR(XLOOKUP(B197, DM_DinhMuc_TT20!$B:$B, DM_DinhMuc_TT20!$I:$I, 80000), 80000), 0)</f>
        <v/>
      </c>
      <c r="O197" s="2" t="n">
        <v>0</v>
      </c>
      <c r="P197" s="2">
        <f>K197+L197+M197+N197+O197</f>
        <v/>
      </c>
      <c r="Q197" s="2">
        <f>IF(E197&gt;0, ROUND(P197/E197, 0), 0)</f>
        <v/>
      </c>
    </row>
    <row r="198">
      <c r="A198" s="3" t="n">
        <v>194</v>
      </c>
      <c r="B198" s="3" t="inlineStr">
        <is>
          <t>CT8b</t>
        </is>
      </c>
      <c r="C198" s="3" t="inlineStr">
        <is>
          <t>Zn</t>
        </is>
      </c>
      <c r="D198" s="3" t="inlineStr">
        <is>
          <t>mg/l</t>
        </is>
      </c>
      <c r="E198" s="3" t="n">
        <v>4</v>
      </c>
      <c r="F198" s="3" t="n">
        <v>1</v>
      </c>
      <c r="G198" s="3">
        <f>IFERROR(XLOOKUP(B198, DM_DinhMuc_TT20!$B:$B, DM_DinhMuc_TT20!$F:$F, 0.8), 0.8)</f>
        <v/>
      </c>
      <c r="H198" s="3">
        <f>ROUND((G198 * 0.4 * 1.2) / IF(F198&gt;0, F198, 1), 4)</f>
        <v/>
      </c>
      <c r="I198" s="3">
        <f>ROUND(G198 * 0.6, 4)</f>
        <v/>
      </c>
      <c r="J198" s="3">
        <f>DM_GiaVatTu!$E$8</f>
        <v/>
      </c>
      <c r="K198" s="3">
        <f>ROUND((H198 + I198) * J198 * E198, 0)</f>
        <v/>
      </c>
      <c r="L198" s="3">
        <f>ROUND(E198 * 1.08 * IFERROR(XLOOKUP(B198, DM_DinhMuc_TT20!$B:$B, DM_DinhMuc_TT20!$G:$G, 150000), 150000), 0)</f>
        <v/>
      </c>
      <c r="M198" s="3">
        <f>ROUND(E198 * 1.10 * IFERROR(XLOOKUP(B198, DM_DinhMuc_TT20!$B:$B, DM_DinhMuc_TT20!$H:$H, 25000), 25000), 0)</f>
        <v/>
      </c>
      <c r="N198" s="3">
        <f>ROUND(E198 * IFERROR(XLOOKUP(B198, DM_DinhMuc_TT20!$B:$B, DM_DinhMuc_TT20!$I:$I, 80000), 80000), 0)</f>
        <v/>
      </c>
      <c r="O198" s="3" t="n">
        <v>0</v>
      </c>
      <c r="P198" s="3">
        <f>K198+L198+M198+N198+O198</f>
        <v/>
      </c>
      <c r="Q198" s="3">
        <f>IF(E198&gt;0, ROUND(P198/E198, 0), 0)</f>
        <v/>
      </c>
    </row>
    <row r="199">
      <c r="A199" s="2" t="n">
        <v>195</v>
      </c>
      <c r="B199" s="2" t="inlineStr">
        <is>
          <t>CT8e</t>
        </is>
      </c>
      <c r="C199" s="2" t="inlineStr">
        <is>
          <t>Ni</t>
        </is>
      </c>
      <c r="D199" s="2" t="inlineStr">
        <is>
          <t>mg/l</t>
        </is>
      </c>
      <c r="E199" s="2" t="n">
        <v>4</v>
      </c>
      <c r="F199" s="2" t="n">
        <v>1</v>
      </c>
      <c r="G199" s="2">
        <f>IFERROR(XLOOKUP(B199, DM_DinhMuc_TT20!$B:$B, DM_DinhMuc_TT20!$F:$F, 0.8), 0.8)</f>
        <v/>
      </c>
      <c r="H199" s="2">
        <f>ROUND((G199 * 0.4 * 1.2) / IF(F199&gt;0, F199, 1), 4)</f>
        <v/>
      </c>
      <c r="I199" s="2">
        <f>ROUND(G199 * 0.6, 4)</f>
        <v/>
      </c>
      <c r="J199" s="2">
        <f>DM_GiaVatTu!$E$8</f>
        <v/>
      </c>
      <c r="K199" s="2">
        <f>ROUND((H199 + I199) * J199 * E199, 0)</f>
        <v/>
      </c>
      <c r="L199" s="2">
        <f>ROUND(E199 * 1.08 * IFERROR(XLOOKUP(B199, DM_DinhMuc_TT20!$B:$B, DM_DinhMuc_TT20!$G:$G, 150000), 150000), 0)</f>
        <v/>
      </c>
      <c r="M199" s="2">
        <f>ROUND(E199 * 1.10 * IFERROR(XLOOKUP(B199, DM_DinhMuc_TT20!$B:$B, DM_DinhMuc_TT20!$H:$H, 25000), 25000), 0)</f>
        <v/>
      </c>
      <c r="N199" s="2">
        <f>ROUND(E199 * IFERROR(XLOOKUP(B199, DM_DinhMuc_TT20!$B:$B, DM_DinhMuc_TT20!$I:$I, 80000), 80000), 0)</f>
        <v/>
      </c>
      <c r="O199" s="2" t="n">
        <v>0</v>
      </c>
      <c r="P199" s="2">
        <f>K199+L199+M199+N199+O199</f>
        <v/>
      </c>
      <c r="Q199" s="2">
        <f>IF(E199&gt;0, ROUND(P199/E199, 0), 0)</f>
        <v/>
      </c>
    </row>
    <row r="200">
      <c r="A200" s="3" t="n">
        <v>196</v>
      </c>
      <c r="B200" s="3" t="inlineStr">
        <is>
          <t>CT8f</t>
        </is>
      </c>
      <c r="C200" s="3" t="inlineStr">
        <is>
          <t>Ba</t>
        </is>
      </c>
      <c r="D200" s="3" t="inlineStr">
        <is>
          <t>mg/l</t>
        </is>
      </c>
      <c r="E200" s="3" t="n">
        <v>4</v>
      </c>
      <c r="F200" s="3" t="n">
        <v>1</v>
      </c>
      <c r="G200" s="3">
        <f>IFERROR(XLOOKUP(B200, DM_DinhMuc_TT20!$B:$B, DM_DinhMuc_TT20!$F:$F, 0.8), 0.8)</f>
        <v/>
      </c>
      <c r="H200" s="3">
        <f>ROUND((G200 * 0.4 * 1.2) / IF(F200&gt;0, F200, 1), 4)</f>
        <v/>
      </c>
      <c r="I200" s="3">
        <f>ROUND(G200 * 0.6, 4)</f>
        <v/>
      </c>
      <c r="J200" s="3">
        <f>DM_GiaVatTu!$E$8</f>
        <v/>
      </c>
      <c r="K200" s="3">
        <f>ROUND((H200 + I200) * J200 * E200, 0)</f>
        <v/>
      </c>
      <c r="L200" s="3">
        <f>ROUND(E200 * 1.08 * IFERROR(XLOOKUP(B200, DM_DinhMuc_TT20!$B:$B, DM_DinhMuc_TT20!$G:$G, 150000), 150000), 0)</f>
        <v/>
      </c>
      <c r="M200" s="3">
        <f>ROUND(E200 * 1.10 * IFERROR(XLOOKUP(B200, DM_DinhMuc_TT20!$B:$B, DM_DinhMuc_TT20!$H:$H, 25000), 25000), 0)</f>
        <v/>
      </c>
      <c r="N200" s="3">
        <f>ROUND(E200 * IFERROR(XLOOKUP(B200, DM_DinhMuc_TT20!$B:$B, DM_DinhMuc_TT20!$I:$I, 80000), 80000), 0)</f>
        <v/>
      </c>
      <c r="O200" s="3" t="n">
        <v>0</v>
      </c>
      <c r="P200" s="3">
        <f>K200+L200+M200+N200+O200</f>
        <v/>
      </c>
      <c r="Q200" s="3">
        <f>IF(E200&gt;0, ROUND(P200/E200, 0), 0)</f>
        <v/>
      </c>
    </row>
    <row r="201">
      <c r="A201" s="2" t="n">
        <v>197</v>
      </c>
      <c r="B201" s="2" t="inlineStr">
        <is>
          <t>CT8g</t>
        </is>
      </c>
      <c r="C201" s="2" t="inlineStr">
        <is>
          <t>Se</t>
        </is>
      </c>
      <c r="D201" s="2" t="inlineStr">
        <is>
          <t>mg/l</t>
        </is>
      </c>
      <c r="E201" s="2" t="n">
        <v>4</v>
      </c>
      <c r="F201" s="2" t="n">
        <v>1</v>
      </c>
      <c r="G201" s="2">
        <f>IFERROR(XLOOKUP(B201, DM_DinhMuc_TT20!$B:$B, DM_DinhMuc_TT20!$F:$F, 0.8), 0.8)</f>
        <v/>
      </c>
      <c r="H201" s="2">
        <f>ROUND((G201 * 0.4 * 1.2) / IF(F201&gt;0, F201, 1), 4)</f>
        <v/>
      </c>
      <c r="I201" s="2">
        <f>ROUND(G201 * 0.6, 4)</f>
        <v/>
      </c>
      <c r="J201" s="2">
        <f>DM_GiaVatTu!$E$8</f>
        <v/>
      </c>
      <c r="K201" s="2">
        <f>ROUND((H201 + I201) * J201 * E201, 0)</f>
        <v/>
      </c>
      <c r="L201" s="2">
        <f>ROUND(E201 * 1.08 * IFERROR(XLOOKUP(B201, DM_DinhMuc_TT20!$B:$B, DM_DinhMuc_TT20!$G:$G, 150000), 150000), 0)</f>
        <v/>
      </c>
      <c r="M201" s="2">
        <f>ROUND(E201 * 1.10 * IFERROR(XLOOKUP(B201, DM_DinhMuc_TT20!$B:$B, DM_DinhMuc_TT20!$H:$H, 25000), 25000), 0)</f>
        <v/>
      </c>
      <c r="N201" s="2">
        <f>ROUND(E201 * IFERROR(XLOOKUP(B201, DM_DinhMuc_TT20!$B:$B, DM_DinhMuc_TT20!$I:$I, 80000), 80000), 0)</f>
        <v/>
      </c>
      <c r="O201" s="2" t="n">
        <v>0</v>
      </c>
      <c r="P201" s="2">
        <f>K201+L201+M201+N201+O201</f>
        <v/>
      </c>
      <c r="Q201" s="2">
        <f>IF(E201&gt;0, ROUND(P201/E201, 0), 0)</f>
        <v/>
      </c>
    </row>
    <row r="202">
      <c r="A202" s="3" t="n">
        <v>198</v>
      </c>
      <c r="B202" s="3" t="inlineStr">
        <is>
          <t>CT8m</t>
        </is>
      </c>
      <c r="C202" s="3" t="inlineStr">
        <is>
          <t>Ag</t>
        </is>
      </c>
      <c r="D202" s="3" t="inlineStr">
        <is>
          <t>mg/l</t>
        </is>
      </c>
      <c r="E202" s="3" t="n">
        <v>4</v>
      </c>
      <c r="F202" s="3" t="n">
        <v>1</v>
      </c>
      <c r="G202" s="3">
        <f>IFERROR(XLOOKUP(B202, DM_DinhMuc_TT20!$B:$B, DM_DinhMuc_TT20!$F:$F, 0.8), 0.8)</f>
        <v/>
      </c>
      <c r="H202" s="3">
        <f>ROUND((G202 * 0.4 * 1.2) / IF(F202&gt;0, F202, 1), 4)</f>
        <v/>
      </c>
      <c r="I202" s="3">
        <f>ROUND(G202 * 0.6, 4)</f>
        <v/>
      </c>
      <c r="J202" s="3">
        <f>DM_GiaVatTu!$E$8</f>
        <v/>
      </c>
      <c r="K202" s="3">
        <f>ROUND((H202 + I202) * J202 * E202, 0)</f>
        <v/>
      </c>
      <c r="L202" s="3">
        <f>ROUND(E202 * 1.08 * IFERROR(XLOOKUP(B202, DM_DinhMuc_TT20!$B:$B, DM_DinhMuc_TT20!$G:$G, 150000), 150000), 0)</f>
        <v/>
      </c>
      <c r="M202" s="3">
        <f>ROUND(E202 * 1.10 * IFERROR(XLOOKUP(B202, DM_DinhMuc_TT20!$B:$B, DM_DinhMuc_TT20!$H:$H, 25000), 25000), 0)</f>
        <v/>
      </c>
      <c r="N202" s="3">
        <f>ROUND(E202 * IFERROR(XLOOKUP(B202, DM_DinhMuc_TT20!$B:$B, DM_DinhMuc_TT20!$I:$I, 80000), 80000), 0)</f>
        <v/>
      </c>
      <c r="O202" s="3" t="n">
        <v>0</v>
      </c>
      <c r="P202" s="3">
        <f>K202+L202+M202+N202+O202</f>
        <v/>
      </c>
      <c r="Q202" s="3">
        <f>IF(E202&gt;0, ROUND(P202/E202, 0), 0)</f>
        <v/>
      </c>
    </row>
    <row r="203">
      <c r="A203" s="2" t="n">
        <v>199</v>
      </c>
      <c r="B203" s="2" t="inlineStr">
        <is>
          <t>KT16</t>
        </is>
      </c>
      <c r="C203" s="2" t="inlineStr">
        <is>
          <t>Lưu lượng</t>
        </is>
      </c>
      <c r="D203" s="2" t="inlineStr">
        <is>
          <t>m3/h</t>
        </is>
      </c>
      <c r="E203" s="2" t="n">
        <v>4</v>
      </c>
      <c r="F203" s="2" t="n">
        <v>1</v>
      </c>
      <c r="G203" s="2">
        <f>IFERROR(XLOOKUP(B203, DM_DinhMuc_TT20!$B:$B, DM_DinhMuc_TT20!$F:$F, 0.8), 0.8)</f>
        <v/>
      </c>
      <c r="H203" s="2">
        <f>ROUND((G203 * 0.4 * 1.2) / IF(F203&gt;0, F203, 1), 4)</f>
        <v/>
      </c>
      <c r="I203" s="2">
        <f>ROUND(G203 * 0.6, 4)</f>
        <v/>
      </c>
      <c r="J203" s="2">
        <f>DM_GiaVatTu!$E$8</f>
        <v/>
      </c>
      <c r="K203" s="2">
        <f>ROUND((H203 + I203) * J203 * E203, 0)</f>
        <v/>
      </c>
      <c r="L203" s="2">
        <f>ROUND(E203 * 1.08 * IFERROR(XLOOKUP(B203, DM_DinhMuc_TT20!$B:$B, DM_DinhMuc_TT20!$G:$G, 150000), 150000), 0)</f>
        <v/>
      </c>
      <c r="M203" s="2">
        <f>ROUND(E203 * 1.10 * IFERROR(XLOOKUP(B203, DM_DinhMuc_TT20!$B:$B, DM_DinhMuc_TT20!$H:$H, 25000), 25000), 0)</f>
        <v/>
      </c>
      <c r="N203" s="2">
        <f>ROUND(E203 * IFERROR(XLOOKUP(B203, DM_DinhMuc_TT20!$B:$B, DM_DinhMuc_TT20!$I:$I, 80000), 80000), 0)</f>
        <v/>
      </c>
      <c r="O203" s="2" t="n">
        <v>0</v>
      </c>
      <c r="P203" s="2">
        <f>K203+L203+M203+N203+O203</f>
        <v/>
      </c>
      <c r="Q203" s="2">
        <f>IF(E203&gt;0, ROUND(P203/E203, 0), 0)</f>
        <v/>
      </c>
    </row>
    <row r="204">
      <c r="A204" s="3" t="n">
        <v>200</v>
      </c>
      <c r="B204" s="3" t="inlineStr">
        <is>
          <t>KT4</t>
        </is>
      </c>
      <c r="C204" s="3" t="inlineStr">
        <is>
          <t>Nhiệt độ</t>
        </is>
      </c>
      <c r="D204" s="3" t="inlineStr">
        <is>
          <t>0C</t>
        </is>
      </c>
      <c r="E204" s="3" t="n">
        <v>4</v>
      </c>
      <c r="F204" s="3" t="n">
        <v>1</v>
      </c>
      <c r="G204" s="3">
        <f>IFERROR(XLOOKUP(B204, DM_DinhMuc_TT20!$B:$B, DM_DinhMuc_TT20!$F:$F, 0.8), 0.8)</f>
        <v/>
      </c>
      <c r="H204" s="3">
        <f>ROUND((G204 * 0.4 * 1.2) / IF(F204&gt;0, F204, 1), 4)</f>
        <v/>
      </c>
      <c r="I204" s="3">
        <f>ROUND(G204 * 0.6, 4)</f>
        <v/>
      </c>
      <c r="J204" s="3">
        <f>DM_GiaVatTu!$E$8</f>
        <v/>
      </c>
      <c r="K204" s="3">
        <f>ROUND((H204 + I204) * J204 * E204, 0)</f>
        <v/>
      </c>
      <c r="L204" s="3">
        <f>ROUND(E204 * 1.08 * IFERROR(XLOOKUP(B204, DM_DinhMuc_TT20!$B:$B, DM_DinhMuc_TT20!$G:$G, 150000), 150000), 0)</f>
        <v/>
      </c>
      <c r="M204" s="3">
        <f>ROUND(E204 * 1.10 * IFERROR(XLOOKUP(B204, DM_DinhMuc_TT20!$B:$B, DM_DinhMuc_TT20!$H:$H, 25000), 25000), 0)</f>
        <v/>
      </c>
      <c r="N204" s="3">
        <f>ROUND(E204 * IFERROR(XLOOKUP(B204, DM_DinhMuc_TT20!$B:$B, DM_DinhMuc_TT20!$I:$I, 80000), 80000), 0)</f>
        <v/>
      </c>
      <c r="O204" s="3" t="n">
        <v>0</v>
      </c>
      <c r="P204" s="3">
        <f>K204+L204+M204+N204+O204</f>
        <v/>
      </c>
      <c r="Q204" s="3">
        <f>IF(E204&gt;0, ROUND(P204/E204, 0), 0)</f>
        <v/>
      </c>
    </row>
    <row r="205">
      <c r="A205" s="2" t="n">
        <v>201</v>
      </c>
      <c r="B205" s="2" t="inlineStr">
        <is>
          <t>KT10a</t>
        </is>
      </c>
      <c r="C205" s="2" t="inlineStr">
        <is>
          <t>Bụi tổng</t>
        </is>
      </c>
      <c r="D205" s="2" t="inlineStr">
        <is>
          <t>mg/Nm3</t>
        </is>
      </c>
      <c r="E205" s="2" t="n">
        <v>4</v>
      </c>
      <c r="F205" s="2" t="n">
        <v>1</v>
      </c>
      <c r="G205" s="2">
        <f>IFERROR(XLOOKUP(B205, DM_DinhMuc_TT20!$B:$B, DM_DinhMuc_TT20!$F:$F, 0.8), 0.8)</f>
        <v/>
      </c>
      <c r="H205" s="2">
        <f>ROUND((G205 * 0.4 * 1.2) / IF(F205&gt;0, F205, 1), 4)</f>
        <v/>
      </c>
      <c r="I205" s="2">
        <f>ROUND(G205 * 0.6, 4)</f>
        <v/>
      </c>
      <c r="J205" s="2">
        <f>DM_GiaVatTu!$E$8</f>
        <v/>
      </c>
      <c r="K205" s="2">
        <f>ROUND((H205 + I205) * J205 * E205, 0)</f>
        <v/>
      </c>
      <c r="L205" s="2">
        <f>ROUND(E205 * 1.08 * IFERROR(XLOOKUP(B205, DM_DinhMuc_TT20!$B:$B, DM_DinhMuc_TT20!$G:$G, 150000), 150000), 0)</f>
        <v/>
      </c>
      <c r="M205" s="2">
        <f>ROUND(E205 * 1.10 * IFERROR(XLOOKUP(B205, DM_DinhMuc_TT20!$B:$B, DM_DinhMuc_TT20!$H:$H, 25000), 25000), 0)</f>
        <v/>
      </c>
      <c r="N205" s="2">
        <f>ROUND(E205 * IFERROR(XLOOKUP(B205, DM_DinhMuc_TT20!$B:$B, DM_DinhMuc_TT20!$I:$I, 80000), 80000), 0)</f>
        <v/>
      </c>
      <c r="O205" s="2" t="n">
        <v>0</v>
      </c>
      <c r="P205" s="2">
        <f>K205+L205+M205+N205+O205</f>
        <v/>
      </c>
      <c r="Q205" s="2">
        <f>IF(E205&gt;0, ROUND(P205/E205, 0), 0)</f>
        <v/>
      </c>
    </row>
    <row r="206">
      <c r="A206" s="3" t="n">
        <v>202</v>
      </c>
      <c r="B206" s="3" t="inlineStr">
        <is>
          <t>KT9b</t>
        </is>
      </c>
      <c r="C206" s="3" t="inlineStr">
        <is>
          <t>CO</t>
        </is>
      </c>
      <c r="D206" s="3" t="inlineStr">
        <is>
          <t>mg/Nm3</t>
        </is>
      </c>
      <c r="E206" s="3" t="n">
        <v>4</v>
      </c>
      <c r="F206" s="3" t="n">
        <v>1</v>
      </c>
      <c r="G206" s="3">
        <f>IFERROR(XLOOKUP(B206, DM_DinhMuc_TT20!$B:$B, DM_DinhMuc_TT20!$F:$F, 0.8), 0.8)</f>
        <v/>
      </c>
      <c r="H206" s="3">
        <f>ROUND((G206 * 0.4 * 1.2) / IF(F206&gt;0, F206, 1), 4)</f>
        <v/>
      </c>
      <c r="I206" s="3">
        <f>ROUND(G206 * 0.6, 4)</f>
        <v/>
      </c>
      <c r="J206" s="3">
        <f>DM_GiaVatTu!$E$8</f>
        <v/>
      </c>
      <c r="K206" s="3">
        <f>ROUND((H206 + I206) * J206 * E206, 0)</f>
        <v/>
      </c>
      <c r="L206" s="3">
        <f>ROUND(E206 * 1.08 * IFERROR(XLOOKUP(B206, DM_DinhMuc_TT20!$B:$B, DM_DinhMuc_TT20!$G:$G, 150000), 150000), 0)</f>
        <v/>
      </c>
      <c r="M206" s="3">
        <f>ROUND(E206 * 1.10 * IFERROR(XLOOKUP(B206, DM_DinhMuc_TT20!$B:$B, DM_DinhMuc_TT20!$H:$H, 25000), 25000), 0)</f>
        <v/>
      </c>
      <c r="N206" s="3">
        <f>ROUND(E206 * IFERROR(XLOOKUP(B206, DM_DinhMuc_TT20!$B:$B, DM_DinhMuc_TT20!$I:$I, 80000), 80000), 0)</f>
        <v/>
      </c>
      <c r="O206" s="3" t="n">
        <v>0</v>
      </c>
      <c r="P206" s="3">
        <f>K206+L206+M206+N206+O206</f>
        <v/>
      </c>
      <c r="Q206" s="3">
        <f>IF(E206&gt;0, ROUND(P206/E206, 0), 0)</f>
        <v/>
      </c>
    </row>
    <row r="207">
      <c r="A207" s="2" t="n">
        <v>203</v>
      </c>
      <c r="B207" s="2" t="inlineStr">
        <is>
          <t>KT9e</t>
        </is>
      </c>
      <c r="C207" s="2" t="inlineStr">
        <is>
          <t>NOx (tính theo NO2)</t>
        </is>
      </c>
      <c r="D207" s="2" t="inlineStr">
        <is>
          <t>mg/Nm3</t>
        </is>
      </c>
      <c r="E207" s="2" t="n">
        <v>4</v>
      </c>
      <c r="F207" s="2" t="n">
        <v>1</v>
      </c>
      <c r="G207" s="2">
        <f>IFERROR(XLOOKUP(B207, DM_DinhMuc_TT20!$B:$B, DM_DinhMuc_TT20!$F:$F, 0.8), 0.8)</f>
        <v/>
      </c>
      <c r="H207" s="2">
        <f>ROUND((G207 * 0.4 * 1.2) / IF(F207&gt;0, F207, 1), 4)</f>
        <v/>
      </c>
      <c r="I207" s="2">
        <f>ROUND(G207 * 0.6, 4)</f>
        <v/>
      </c>
      <c r="J207" s="2">
        <f>DM_GiaVatTu!$E$8</f>
        <v/>
      </c>
      <c r="K207" s="2">
        <f>ROUND((H207 + I207) * J207 * E207, 0)</f>
        <v/>
      </c>
      <c r="L207" s="2">
        <f>ROUND(E207 * 1.08 * IFERROR(XLOOKUP(B207, DM_DinhMuc_TT20!$B:$B, DM_DinhMuc_TT20!$G:$G, 150000), 150000), 0)</f>
        <v/>
      </c>
      <c r="M207" s="2">
        <f>ROUND(E207 * 1.10 * IFERROR(XLOOKUP(B207, DM_DinhMuc_TT20!$B:$B, DM_DinhMuc_TT20!$H:$H, 25000), 25000), 0)</f>
        <v/>
      </c>
      <c r="N207" s="2">
        <f>ROUND(E207 * IFERROR(XLOOKUP(B207, DM_DinhMuc_TT20!$B:$B, DM_DinhMuc_TT20!$I:$I, 80000), 80000), 0)</f>
        <v/>
      </c>
      <c r="O207" s="2" t="n">
        <v>0</v>
      </c>
      <c r="P207" s="2">
        <f>K207+L207+M207+N207+O207</f>
        <v/>
      </c>
      <c r="Q207" s="2">
        <f>IF(E207&gt;0, ROUND(P207/E207, 0), 0)</f>
        <v/>
      </c>
    </row>
    <row r="208">
      <c r="A208" s="3" t="n">
        <v>204</v>
      </c>
      <c r="B208" s="3" t="inlineStr">
        <is>
          <t>KT9đ</t>
        </is>
      </c>
      <c r="C208" s="3" t="inlineStr">
        <is>
          <t>SO 2</t>
        </is>
      </c>
      <c r="D208" s="3" t="inlineStr">
        <is>
          <t>mg/Nm3</t>
        </is>
      </c>
      <c r="E208" s="3" t="n">
        <v>4</v>
      </c>
      <c r="F208" s="3" t="n">
        <v>1</v>
      </c>
      <c r="G208" s="3">
        <f>IFERROR(XLOOKUP(B208, DM_DinhMuc_TT20!$B:$B, DM_DinhMuc_TT20!$F:$F, 0.8), 0.8)</f>
        <v/>
      </c>
      <c r="H208" s="3">
        <f>ROUND((G208 * 0.4 * 1.2) / IF(F208&gt;0, F208, 1), 4)</f>
        <v/>
      </c>
      <c r="I208" s="3">
        <f>ROUND(G208 * 0.6, 4)</f>
        <v/>
      </c>
      <c r="J208" s="3">
        <f>DM_GiaVatTu!$E$8</f>
        <v/>
      </c>
      <c r="K208" s="3">
        <f>ROUND((H208 + I208) * J208 * E208, 0)</f>
        <v/>
      </c>
      <c r="L208" s="3">
        <f>ROUND(E208 * 1.08 * IFERROR(XLOOKUP(B208, DM_DinhMuc_TT20!$B:$B, DM_DinhMuc_TT20!$G:$G, 150000), 150000), 0)</f>
        <v/>
      </c>
      <c r="M208" s="3">
        <f>ROUND(E208 * 1.10 * IFERROR(XLOOKUP(B208, DM_DinhMuc_TT20!$B:$B, DM_DinhMuc_TT20!$H:$H, 25000), 25000), 0)</f>
        <v/>
      </c>
      <c r="N208" s="3">
        <f>ROUND(E208 * IFERROR(XLOOKUP(B208, DM_DinhMuc_TT20!$B:$B, DM_DinhMuc_TT20!$I:$I, 80000), 80000), 0)</f>
        <v/>
      </c>
      <c r="O208" s="3" t="n">
        <v>0</v>
      </c>
      <c r="P208" s="3">
        <f>K208+L208+M208+N208+O208</f>
        <v/>
      </c>
      <c r="Q208" s="3">
        <f>IF(E208&gt;0, ROUND(P208/E208, 0), 0)</f>
        <v/>
      </c>
    </row>
    <row r="209">
      <c r="A209" s="2" t="n">
        <v>205</v>
      </c>
      <c r="B209" s="2" t="inlineStr">
        <is>
          <t>KT9c</t>
        </is>
      </c>
      <c r="C209" s="2" t="inlineStr">
        <is>
          <t>Amoniac</t>
        </is>
      </c>
      <c r="D209" s="2" t="inlineStr">
        <is>
          <t>mg/Nm3</t>
        </is>
      </c>
      <c r="E209" s="2" t="n">
        <v>4</v>
      </c>
      <c r="F209" s="2" t="n">
        <v>1</v>
      </c>
      <c r="G209" s="2">
        <f>IFERROR(XLOOKUP(B209, DM_DinhMuc_TT20!$B:$B, DM_DinhMuc_TT20!$F:$F, 0.8), 0.8)</f>
        <v/>
      </c>
      <c r="H209" s="2">
        <f>ROUND((G209 * 0.4 * 1.2) / IF(F209&gt;0, F209, 1), 4)</f>
        <v/>
      </c>
      <c r="I209" s="2">
        <f>ROUND(G209 * 0.6, 4)</f>
        <v/>
      </c>
      <c r="J209" s="2">
        <f>DM_GiaVatTu!$E$8</f>
        <v/>
      </c>
      <c r="K209" s="2">
        <f>ROUND((H209 + I209) * J209 * E209, 0)</f>
        <v/>
      </c>
      <c r="L209" s="2">
        <f>ROUND(E209 * 1.08 * IFERROR(XLOOKUP(B209, DM_DinhMuc_TT20!$B:$B, DM_DinhMuc_TT20!$G:$G, 150000), 150000), 0)</f>
        <v/>
      </c>
      <c r="M209" s="2">
        <f>ROUND(E209 * 1.10 * IFERROR(XLOOKUP(B209, DM_DinhMuc_TT20!$B:$B, DM_DinhMuc_TT20!$H:$H, 25000), 25000), 0)</f>
        <v/>
      </c>
      <c r="N209" s="2">
        <f>ROUND(E209 * IFERROR(XLOOKUP(B209, DM_DinhMuc_TT20!$B:$B, DM_DinhMuc_TT20!$I:$I, 80000), 80000), 0)</f>
        <v/>
      </c>
      <c r="O209" s="2" t="n">
        <v>0</v>
      </c>
      <c r="P209" s="2">
        <f>K209+L209+M209+N209+O209</f>
        <v/>
      </c>
      <c r="Q209" s="2">
        <f>IF(E209&gt;0, ROUND(P209/E209, 0), 0)</f>
        <v/>
      </c>
    </row>
    <row r="210">
      <c r="A210" s="3" t="n">
        <v>206</v>
      </c>
      <c r="B210" s="3" t="inlineStr">
        <is>
          <t>KT9a</t>
        </is>
      </c>
      <c r="C210" s="3" t="inlineStr">
        <is>
          <t>O2</t>
        </is>
      </c>
      <c r="D210" s="3" t="inlineStr">
        <is>
          <t>%</t>
        </is>
      </c>
      <c r="E210" s="3" t="n">
        <v>4</v>
      </c>
      <c r="F210" s="3" t="n">
        <v>1</v>
      </c>
      <c r="G210" s="3">
        <f>IFERROR(XLOOKUP(B210, DM_DinhMuc_TT20!$B:$B, DM_DinhMuc_TT20!$F:$F, 0.8), 0.8)</f>
        <v/>
      </c>
      <c r="H210" s="3">
        <f>ROUND((G210 * 0.4 * 1.2) / IF(F210&gt;0, F210, 1), 4)</f>
        <v/>
      </c>
      <c r="I210" s="3">
        <f>ROUND(G210 * 0.6, 4)</f>
        <v/>
      </c>
      <c r="J210" s="3">
        <f>DM_GiaVatTu!$E$8</f>
        <v/>
      </c>
      <c r="K210" s="3">
        <f>ROUND((H210 + I210) * J210 * E210, 0)</f>
        <v/>
      </c>
      <c r="L210" s="3">
        <f>ROUND(E210 * 1.08 * IFERROR(XLOOKUP(B210, DM_DinhMuc_TT20!$B:$B, DM_DinhMuc_TT20!$G:$G, 150000), 150000), 0)</f>
        <v/>
      </c>
      <c r="M210" s="3">
        <f>ROUND(E210 * 1.10 * IFERROR(XLOOKUP(B210, DM_DinhMuc_TT20!$B:$B, DM_DinhMuc_TT20!$H:$H, 25000), 25000), 0)</f>
        <v/>
      </c>
      <c r="N210" s="3">
        <f>ROUND(E210 * IFERROR(XLOOKUP(B210, DM_DinhMuc_TT20!$B:$B, DM_DinhMuc_TT20!$I:$I, 80000), 80000), 0)</f>
        <v/>
      </c>
      <c r="O210" s="3" t="n">
        <v>0</v>
      </c>
      <c r="P210" s="3">
        <f>K210+L210+M210+N210+O210</f>
        <v/>
      </c>
      <c r="Q210" s="3">
        <f>IF(E210&gt;0, ROUND(P210/E210, 0), 0)</f>
        <v/>
      </c>
    </row>
    <row r="211">
      <c r="A211" s="2" t="n">
        <v>207</v>
      </c>
      <c r="B211" s="2" t="inlineStr">
        <is>
          <t>NT1</t>
        </is>
      </c>
      <c r="C211" s="2" t="inlineStr">
        <is>
          <t>Nhiệt độ</t>
        </is>
      </c>
      <c r="D211" s="2" t="inlineStr">
        <is>
          <t>0C</t>
        </is>
      </c>
      <c r="E211" s="2" t="n">
        <v>8</v>
      </c>
      <c r="F211" s="2" t="n">
        <v>1</v>
      </c>
      <c r="G211" s="2">
        <f>IFERROR(XLOOKUP(B211, DM_DinhMuc_TT20!$B:$B, DM_DinhMuc_TT20!$F:$F, 0.8), 0.8)</f>
        <v/>
      </c>
      <c r="H211" s="2">
        <f>ROUND((G211 * 0.4 * 1.2) / IF(F211&gt;0, F211, 1), 4)</f>
        <v/>
      </c>
      <c r="I211" s="2">
        <f>ROUND(G211 * 0.6, 4)</f>
        <v/>
      </c>
      <c r="J211" s="2">
        <f>DM_GiaVatTu!$E$8</f>
        <v/>
      </c>
      <c r="K211" s="2">
        <f>ROUND((H211 + I211) * J211 * E211, 0)</f>
        <v/>
      </c>
      <c r="L211" s="2">
        <f>ROUND(E211 * 1.08 * IFERROR(XLOOKUP(B211, DM_DinhMuc_TT20!$B:$B, DM_DinhMuc_TT20!$G:$G, 150000), 150000), 0)</f>
        <v/>
      </c>
      <c r="M211" s="2">
        <f>ROUND(E211 * 1.10 * IFERROR(XLOOKUP(B211, DM_DinhMuc_TT20!$B:$B, DM_DinhMuc_TT20!$H:$H, 25000), 25000), 0)</f>
        <v/>
      </c>
      <c r="N211" s="2">
        <f>ROUND(E211 * IFERROR(XLOOKUP(B211, DM_DinhMuc_TT20!$B:$B, DM_DinhMuc_TT20!$I:$I, 80000), 80000), 0)</f>
        <v/>
      </c>
      <c r="O211" s="2" t="n">
        <v>0</v>
      </c>
      <c r="P211" s="2">
        <f>K211+L211+M211+N211+O211</f>
        <v/>
      </c>
      <c r="Q211" s="2">
        <f>IF(E211&gt;0, ROUND(P211/E211, 0), 0)</f>
        <v/>
      </c>
    </row>
    <row r="212">
      <c r="A212" s="3" t="n">
        <v>208</v>
      </c>
      <c r="B212" s="3" t="inlineStr">
        <is>
          <t>NT2</t>
        </is>
      </c>
      <c r="C212" s="3" t="inlineStr">
        <is>
          <t>pH</t>
        </is>
      </c>
      <c r="D212" s="3" t="inlineStr">
        <is>
          <t>-</t>
        </is>
      </c>
      <c r="E212" s="3" t="n">
        <v>8</v>
      </c>
      <c r="F212" s="3" t="n">
        <v>1</v>
      </c>
      <c r="G212" s="3">
        <f>IFERROR(XLOOKUP(B212, DM_DinhMuc_TT20!$B:$B, DM_DinhMuc_TT20!$F:$F, 0.8), 0.8)</f>
        <v/>
      </c>
      <c r="H212" s="3">
        <f>ROUND((G212 * 0.4 * 1.2) / IF(F212&gt;0, F212, 1), 4)</f>
        <v/>
      </c>
      <c r="I212" s="3">
        <f>ROUND(G212 * 0.6, 4)</f>
        <v/>
      </c>
      <c r="J212" s="3">
        <f>DM_GiaVatTu!$E$8</f>
        <v/>
      </c>
      <c r="K212" s="3">
        <f>ROUND((H212 + I212) * J212 * E212, 0)</f>
        <v/>
      </c>
      <c r="L212" s="3">
        <f>ROUND(E212 * 1.08 * IFERROR(XLOOKUP(B212, DM_DinhMuc_TT20!$B:$B, DM_DinhMuc_TT20!$G:$G, 150000), 150000), 0)</f>
        <v/>
      </c>
      <c r="M212" s="3">
        <f>ROUND(E212 * 1.10 * IFERROR(XLOOKUP(B212, DM_DinhMuc_TT20!$B:$B, DM_DinhMuc_TT20!$H:$H, 25000), 25000), 0)</f>
        <v/>
      </c>
      <c r="N212" s="3">
        <f>ROUND(E212 * IFERROR(XLOOKUP(B212, DM_DinhMuc_TT20!$B:$B, DM_DinhMuc_TT20!$I:$I, 80000), 80000), 0)</f>
        <v/>
      </c>
      <c r="O212" s="3" t="n">
        <v>0</v>
      </c>
      <c r="P212" s="3">
        <f>K212+L212+M212+N212+O212</f>
        <v/>
      </c>
      <c r="Q212" s="3">
        <f>IF(E212&gt;0, ROUND(P212/E212, 0), 0)</f>
        <v/>
      </c>
    </row>
    <row r="213">
      <c r="A213" s="2" t="n">
        <v>209</v>
      </c>
      <c r="B213" s="2" t="inlineStr">
        <is>
          <t>NT10j</t>
        </is>
      </c>
      <c r="C213" s="2" t="inlineStr">
        <is>
          <t>Clo dư</t>
        </is>
      </c>
      <c r="D213" s="2" t="inlineStr">
        <is>
          <t>mg/l</t>
        </is>
      </c>
      <c r="E213" s="2" t="n">
        <v>8</v>
      </c>
      <c r="F213" s="2" t="n">
        <v>1</v>
      </c>
      <c r="G213" s="2">
        <f>IFERROR(XLOOKUP(B213, DM_DinhMuc_TT20!$B:$B, DM_DinhMuc_TT20!$F:$F, 0.8), 0.8)</f>
        <v/>
      </c>
      <c r="H213" s="2">
        <f>ROUND((G213 * 0.4 * 1.2) / IF(F213&gt;0, F213, 1), 4)</f>
        <v/>
      </c>
      <c r="I213" s="2">
        <f>ROUND(G213 * 0.6, 4)</f>
        <v/>
      </c>
      <c r="J213" s="2">
        <f>DM_GiaVatTu!$E$8</f>
        <v/>
      </c>
      <c r="K213" s="2">
        <f>ROUND((H213 + I213) * J213 * E213, 0)</f>
        <v/>
      </c>
      <c r="L213" s="2">
        <f>ROUND(E213 * 1.08 * IFERROR(XLOOKUP(B213, DM_DinhMuc_TT20!$B:$B, DM_DinhMuc_TT20!$G:$G, 150000), 150000), 0)</f>
        <v/>
      </c>
      <c r="M213" s="2">
        <f>ROUND(E213 * 1.10 * IFERROR(XLOOKUP(B213, DM_DinhMuc_TT20!$B:$B, DM_DinhMuc_TT20!$H:$H, 25000), 25000), 0)</f>
        <v/>
      </c>
      <c r="N213" s="2">
        <f>ROUND(E213 * IFERROR(XLOOKUP(B213, DM_DinhMuc_TT20!$B:$B, DM_DinhMuc_TT20!$I:$I, 80000), 80000), 0)</f>
        <v/>
      </c>
      <c r="O213" s="2" t="n">
        <v>0</v>
      </c>
      <c r="P213" s="2">
        <f>K213+L213+M213+N213+O213</f>
        <v/>
      </c>
      <c r="Q213" s="2">
        <f>IF(E213&gt;0, ROUND(P213/E213, 0), 0)</f>
        <v/>
      </c>
    </row>
    <row r="214">
      <c r="A214" s="3" t="n">
        <v>210</v>
      </c>
      <c r="B214" s="3" t="inlineStr">
        <is>
          <t>NT5b</t>
        </is>
      </c>
      <c r="C214" s="3" t="inlineStr">
        <is>
          <t>COD</t>
        </is>
      </c>
      <c r="D214" s="3" t="inlineStr">
        <is>
          <t>mg/l</t>
        </is>
      </c>
      <c r="E214" s="3" t="n">
        <v>8</v>
      </c>
      <c r="F214" s="3" t="n">
        <v>1</v>
      </c>
      <c r="G214" s="3">
        <f>IFERROR(XLOOKUP(B214, DM_DinhMuc_TT20!$B:$B, DM_DinhMuc_TT20!$F:$F, 0.8), 0.8)</f>
        <v/>
      </c>
      <c r="H214" s="3">
        <f>ROUND((G214 * 0.4 * 1.2) / IF(F214&gt;0, F214, 1), 4)</f>
        <v/>
      </c>
      <c r="I214" s="3">
        <f>ROUND(G214 * 0.6, 4)</f>
        <v/>
      </c>
      <c r="J214" s="3">
        <f>DM_GiaVatTu!$E$8</f>
        <v/>
      </c>
      <c r="K214" s="3">
        <f>ROUND((H214 + I214) * J214 * E214, 0)</f>
        <v/>
      </c>
      <c r="L214" s="3">
        <f>ROUND(E214 * 1.08 * IFERROR(XLOOKUP(B214, DM_DinhMuc_TT20!$B:$B, DM_DinhMuc_TT20!$G:$G, 150000), 150000), 0)</f>
        <v/>
      </c>
      <c r="M214" s="3">
        <f>ROUND(E214 * 1.10 * IFERROR(XLOOKUP(B214, DM_DinhMuc_TT20!$B:$B, DM_DinhMuc_TT20!$H:$H, 25000), 25000), 0)</f>
        <v/>
      </c>
      <c r="N214" s="3">
        <f>ROUND(E214 * IFERROR(XLOOKUP(B214, DM_DinhMuc_TT20!$B:$B, DM_DinhMuc_TT20!$I:$I, 80000), 80000), 0)</f>
        <v/>
      </c>
      <c r="O214" s="3" t="n">
        <v>0</v>
      </c>
      <c r="P214" s="3">
        <f>K214+L214+M214+N214+O214</f>
        <v/>
      </c>
      <c r="Q214" s="3">
        <f>IF(E214&gt;0, ROUND(P214/E214, 0), 0)</f>
        <v/>
      </c>
    </row>
    <row r="215">
      <c r="A215" s="2" t="n">
        <v>211</v>
      </c>
      <c r="B215" s="2" t="inlineStr">
        <is>
          <t>NT6</t>
        </is>
      </c>
      <c r="C215" s="2" t="inlineStr">
        <is>
          <t>TSS</t>
        </is>
      </c>
      <c r="D215" s="2" t="inlineStr">
        <is>
          <t>mg/l</t>
        </is>
      </c>
      <c r="E215" s="2" t="n">
        <v>8</v>
      </c>
      <c r="F215" s="2" t="n">
        <v>1</v>
      </c>
      <c r="G215" s="2">
        <f>IFERROR(XLOOKUP(B215, DM_DinhMuc_TT20!$B:$B, DM_DinhMuc_TT20!$F:$F, 0.8), 0.8)</f>
        <v/>
      </c>
      <c r="H215" s="2">
        <f>ROUND((G215 * 0.4 * 1.2) / IF(F215&gt;0, F215, 1), 4)</f>
        <v/>
      </c>
      <c r="I215" s="2">
        <f>ROUND(G215 * 0.6, 4)</f>
        <v/>
      </c>
      <c r="J215" s="2">
        <f>DM_GiaVatTu!$E$8</f>
        <v/>
      </c>
      <c r="K215" s="2">
        <f>ROUND((H215 + I215) * J215 * E215, 0)</f>
        <v/>
      </c>
      <c r="L215" s="2">
        <f>ROUND(E215 * 1.08 * IFERROR(XLOOKUP(B215, DM_DinhMuc_TT20!$B:$B, DM_DinhMuc_TT20!$G:$G, 150000), 150000), 0)</f>
        <v/>
      </c>
      <c r="M215" s="2">
        <f>ROUND(E215 * 1.10 * IFERROR(XLOOKUP(B215, DM_DinhMuc_TT20!$B:$B, DM_DinhMuc_TT20!$H:$H, 25000), 25000), 0)</f>
        <v/>
      </c>
      <c r="N215" s="2">
        <f>ROUND(E215 * IFERROR(XLOOKUP(B215, DM_DinhMuc_TT20!$B:$B, DM_DinhMuc_TT20!$I:$I, 80000), 80000), 0)</f>
        <v/>
      </c>
      <c r="O215" s="2" t="n">
        <v>0</v>
      </c>
      <c r="P215" s="2">
        <f>K215+L215+M215+N215+O215</f>
        <v/>
      </c>
      <c r="Q215" s="2">
        <f>IF(E215&gt;0, ROUND(P215/E215, 0), 0)</f>
        <v/>
      </c>
    </row>
    <row r="216">
      <c r="A216" s="3" t="n">
        <v>212</v>
      </c>
      <c r="B216" s="3" t="inlineStr">
        <is>
          <t>MỤC 2</t>
        </is>
      </c>
      <c r="C216" s="3" t="inlineStr">
        <is>
          <t>Tiêu đề: Nước thải sau xử lý của HTXLNT tập trung</t>
        </is>
      </c>
      <c r="D216" s="3" t="inlineStr">
        <is>
          <t>Header</t>
        </is>
      </c>
      <c r="E216" s="3" t="n">
        <v>0</v>
      </c>
      <c r="F216" s="3" t="n">
        <v>1</v>
      </c>
      <c r="G216" s="3">
        <f>IFERROR(XLOOKUP(B216, DM_DinhMuc_TT20!$B:$B, DM_DinhMuc_TT20!$F:$F, 0.8), 0.8)</f>
        <v/>
      </c>
      <c r="H216" s="3">
        <f>ROUND((G216 * 0.4 * 1.2) / IF(F216&gt;0, F216, 1), 4)</f>
        <v/>
      </c>
      <c r="I216" s="3">
        <f>ROUND(G216 * 0.6, 4)</f>
        <v/>
      </c>
      <c r="J216" s="3">
        <f>DM_GiaVatTu!$E$8</f>
        <v/>
      </c>
      <c r="K216" s="3">
        <f>ROUND((H216 + I216) * J216 * E216, 0)</f>
        <v/>
      </c>
      <c r="L216" s="3">
        <f>ROUND(E216 * 1.08 * IFERROR(XLOOKUP(B216, DM_DinhMuc_TT20!$B:$B, DM_DinhMuc_TT20!$G:$G, 150000), 150000), 0)</f>
        <v/>
      </c>
      <c r="M216" s="3">
        <f>ROUND(E216 * 1.10 * IFERROR(XLOOKUP(B216, DM_DinhMuc_TT20!$B:$B, DM_DinhMuc_TT20!$H:$H, 25000), 25000), 0)</f>
        <v/>
      </c>
      <c r="N216" s="3">
        <f>ROUND(E216 * IFERROR(XLOOKUP(B216, DM_DinhMuc_TT20!$B:$B, DM_DinhMuc_TT20!$I:$I, 80000), 80000), 0)</f>
        <v/>
      </c>
      <c r="O216" s="3" t="n">
        <v>0</v>
      </c>
      <c r="P216" s="3">
        <f>K216+L216+M216+N216+O216</f>
        <v/>
      </c>
      <c r="Q216" s="3">
        <f>IF(E216&gt;0, ROUND(P216/E216, 0), 0)</f>
        <v/>
      </c>
    </row>
    <row r="217">
      <c r="A217" s="2" t="n">
        <v>213</v>
      </c>
      <c r="B217" s="2" t="inlineStr">
        <is>
          <t>NT1</t>
        </is>
      </c>
      <c r="C217" s="2" t="inlineStr">
        <is>
          <t>Nhiệt độ</t>
        </is>
      </c>
      <c r="D217" s="2" t="inlineStr">
        <is>
          <t>0C</t>
        </is>
      </c>
      <c r="E217" s="2" t="n">
        <v>8</v>
      </c>
      <c r="F217" s="2" t="n">
        <v>1</v>
      </c>
      <c r="G217" s="2">
        <f>IFERROR(XLOOKUP(B217, DM_DinhMuc_TT20!$B:$B, DM_DinhMuc_TT20!$F:$F, 0.8), 0.8)</f>
        <v/>
      </c>
      <c r="H217" s="2">
        <f>ROUND((G217 * 0.4 * 1.2) / IF(F217&gt;0, F217, 1), 4)</f>
        <v/>
      </c>
      <c r="I217" s="2">
        <f>ROUND(G217 * 0.6, 4)</f>
        <v/>
      </c>
      <c r="J217" s="2">
        <f>DM_GiaVatTu!$E$8</f>
        <v/>
      </c>
      <c r="K217" s="2">
        <f>ROUND((H217 + I217) * J217 * E217, 0)</f>
        <v/>
      </c>
      <c r="L217" s="2">
        <f>ROUND(E217 * 1.08 * IFERROR(XLOOKUP(B217, DM_DinhMuc_TT20!$B:$B, DM_DinhMuc_TT20!$G:$G, 150000), 150000), 0)</f>
        <v/>
      </c>
      <c r="M217" s="2">
        <f>ROUND(E217 * 1.10 * IFERROR(XLOOKUP(B217, DM_DinhMuc_TT20!$B:$B, DM_DinhMuc_TT20!$H:$H, 25000), 25000), 0)</f>
        <v/>
      </c>
      <c r="N217" s="2">
        <f>ROUND(E217 * IFERROR(XLOOKUP(B217, DM_DinhMuc_TT20!$B:$B, DM_DinhMuc_TT20!$I:$I, 80000), 80000), 0)</f>
        <v/>
      </c>
      <c r="O217" s="2" t="n">
        <v>0</v>
      </c>
      <c r="P217" s="2">
        <f>K217+L217+M217+N217+O217</f>
        <v/>
      </c>
      <c r="Q217" s="2">
        <f>IF(E217&gt;0, ROUND(P217/E217, 0), 0)</f>
        <v/>
      </c>
    </row>
    <row r="218">
      <c r="A218" s="3" t="n">
        <v>214</v>
      </c>
      <c r="B218" s="3" t="inlineStr">
        <is>
          <t>NT2</t>
        </is>
      </c>
      <c r="C218" s="3" t="inlineStr">
        <is>
          <t>pH</t>
        </is>
      </c>
      <c r="D218" s="3" t="inlineStr">
        <is>
          <t>-</t>
        </is>
      </c>
      <c r="E218" s="3" t="n">
        <v>8</v>
      </c>
      <c r="F218" s="3" t="n">
        <v>1</v>
      </c>
      <c r="G218" s="3">
        <f>IFERROR(XLOOKUP(B218, DM_DinhMuc_TT20!$B:$B, DM_DinhMuc_TT20!$F:$F, 0.8), 0.8)</f>
        <v/>
      </c>
      <c r="H218" s="3">
        <f>ROUND((G218 * 0.4 * 1.2) / IF(F218&gt;0, F218, 1), 4)</f>
        <v/>
      </c>
      <c r="I218" s="3">
        <f>ROUND(G218 * 0.6, 4)</f>
        <v/>
      </c>
      <c r="J218" s="3">
        <f>DM_GiaVatTu!$E$8</f>
        <v/>
      </c>
      <c r="K218" s="3">
        <f>ROUND((H218 + I218) * J218 * E218, 0)</f>
        <v/>
      </c>
      <c r="L218" s="3">
        <f>ROUND(E218 * 1.08 * IFERROR(XLOOKUP(B218, DM_DinhMuc_TT20!$B:$B, DM_DinhMuc_TT20!$G:$G, 150000), 150000), 0)</f>
        <v/>
      </c>
      <c r="M218" s="3">
        <f>ROUND(E218 * 1.10 * IFERROR(XLOOKUP(B218, DM_DinhMuc_TT20!$B:$B, DM_DinhMuc_TT20!$H:$H, 25000), 25000), 0)</f>
        <v/>
      </c>
      <c r="N218" s="3">
        <f>ROUND(E218 * IFERROR(XLOOKUP(B218, DM_DinhMuc_TT20!$B:$B, DM_DinhMuc_TT20!$I:$I, 80000), 80000), 0)</f>
        <v/>
      </c>
      <c r="O218" s="3" t="n">
        <v>0</v>
      </c>
      <c r="P218" s="3">
        <f>K218+L218+M218+N218+O218</f>
        <v/>
      </c>
      <c r="Q218" s="3">
        <f>IF(E218&gt;0, ROUND(P218/E218, 0), 0)</f>
        <v/>
      </c>
    </row>
    <row r="219">
      <c r="A219" s="2" t="n">
        <v>215</v>
      </c>
      <c r="B219" s="2" t="inlineStr">
        <is>
          <t>NT4b</t>
        </is>
      </c>
      <c r="C219" s="2" t="inlineStr">
        <is>
          <t>Độ màu</t>
        </is>
      </c>
      <c r="D219" s="2" t="inlineStr">
        <is>
          <t>Pt/Co</t>
        </is>
      </c>
      <c r="E219" s="2" t="n">
        <v>8</v>
      </c>
      <c r="F219" s="2" t="n">
        <v>1</v>
      </c>
      <c r="G219" s="2">
        <f>IFERROR(XLOOKUP(B219, DM_DinhMuc_TT20!$B:$B, DM_DinhMuc_TT20!$F:$F, 0.8), 0.8)</f>
        <v/>
      </c>
      <c r="H219" s="2">
        <f>ROUND((G219 * 0.4 * 1.2) / IF(F219&gt;0, F219, 1), 4)</f>
        <v/>
      </c>
      <c r="I219" s="2">
        <f>ROUND(G219 * 0.6, 4)</f>
        <v/>
      </c>
      <c r="J219" s="2">
        <f>DM_GiaVatTu!$E$8</f>
        <v/>
      </c>
      <c r="K219" s="2">
        <f>ROUND((H219 + I219) * J219 * E219, 0)</f>
        <v/>
      </c>
      <c r="L219" s="2">
        <f>ROUND(E219 * 1.08 * IFERROR(XLOOKUP(B219, DM_DinhMuc_TT20!$B:$B, DM_DinhMuc_TT20!$G:$G, 150000), 150000), 0)</f>
        <v/>
      </c>
      <c r="M219" s="2">
        <f>ROUND(E219 * 1.10 * IFERROR(XLOOKUP(B219, DM_DinhMuc_TT20!$B:$B, DM_DinhMuc_TT20!$H:$H, 25000), 25000), 0)</f>
        <v/>
      </c>
      <c r="N219" s="2">
        <f>ROUND(E219 * IFERROR(XLOOKUP(B219, DM_DinhMuc_TT20!$B:$B, DM_DinhMuc_TT20!$I:$I, 80000), 80000), 0)</f>
        <v/>
      </c>
      <c r="O219" s="2" t="n">
        <v>0</v>
      </c>
      <c r="P219" s="2">
        <f>K219+L219+M219+N219+O219</f>
        <v/>
      </c>
      <c r="Q219" s="2">
        <f>IF(E219&gt;0, ROUND(P219/E219, 0), 0)</f>
        <v/>
      </c>
    </row>
    <row r="220">
      <c r="A220" s="3" t="n">
        <v>216</v>
      </c>
      <c r="B220" s="3" t="inlineStr">
        <is>
          <t>NT5a</t>
        </is>
      </c>
      <c r="C220" s="3" t="inlineStr">
        <is>
          <t>BOD5</t>
        </is>
      </c>
      <c r="D220" s="3" t="inlineStr">
        <is>
          <t>mg/l</t>
        </is>
      </c>
      <c r="E220" s="3" t="n">
        <v>8</v>
      </c>
      <c r="F220" s="3" t="n">
        <v>1</v>
      </c>
      <c r="G220" s="3">
        <f>IFERROR(XLOOKUP(B220, DM_DinhMuc_TT20!$B:$B, DM_DinhMuc_TT20!$F:$F, 0.8), 0.8)</f>
        <v/>
      </c>
      <c r="H220" s="3">
        <f>ROUND((G220 * 0.4 * 1.2) / IF(F220&gt;0, F220, 1), 4)</f>
        <v/>
      </c>
      <c r="I220" s="3">
        <f>ROUND(G220 * 0.6, 4)</f>
        <v/>
      </c>
      <c r="J220" s="3">
        <f>DM_GiaVatTu!$E$8</f>
        <v/>
      </c>
      <c r="K220" s="3">
        <f>ROUND((H220 + I220) * J220 * E220, 0)</f>
        <v/>
      </c>
      <c r="L220" s="3">
        <f>ROUND(E220 * 1.08 * IFERROR(XLOOKUP(B220, DM_DinhMuc_TT20!$B:$B, DM_DinhMuc_TT20!$G:$G, 150000), 150000), 0)</f>
        <v/>
      </c>
      <c r="M220" s="3">
        <f>ROUND(E220 * 1.10 * IFERROR(XLOOKUP(B220, DM_DinhMuc_TT20!$B:$B, DM_DinhMuc_TT20!$H:$H, 25000), 25000), 0)</f>
        <v/>
      </c>
      <c r="N220" s="3">
        <f>ROUND(E220 * IFERROR(XLOOKUP(B220, DM_DinhMuc_TT20!$B:$B, DM_DinhMuc_TT20!$I:$I, 80000), 80000), 0)</f>
        <v/>
      </c>
      <c r="O220" s="3" t="n">
        <v>0</v>
      </c>
      <c r="P220" s="3">
        <f>K220+L220+M220+N220+O220</f>
        <v/>
      </c>
      <c r="Q220" s="3">
        <f>IF(E220&gt;0, ROUND(P220/E220, 0), 0)</f>
        <v/>
      </c>
    </row>
    <row r="221">
      <c r="A221" s="2" t="n">
        <v>217</v>
      </c>
      <c r="B221" s="2" t="inlineStr">
        <is>
          <t>NT5b</t>
        </is>
      </c>
      <c r="C221" s="2" t="inlineStr">
        <is>
          <t>COD</t>
        </is>
      </c>
      <c r="D221" s="2" t="inlineStr">
        <is>
          <t>mg/l</t>
        </is>
      </c>
      <c r="E221" s="2" t="n">
        <v>8</v>
      </c>
      <c r="F221" s="2" t="n">
        <v>1</v>
      </c>
      <c r="G221" s="2">
        <f>IFERROR(XLOOKUP(B221, DM_DinhMuc_TT20!$B:$B, DM_DinhMuc_TT20!$F:$F, 0.8), 0.8)</f>
        <v/>
      </c>
      <c r="H221" s="2">
        <f>ROUND((G221 * 0.4 * 1.2) / IF(F221&gt;0, F221, 1), 4)</f>
        <v/>
      </c>
      <c r="I221" s="2">
        <f>ROUND(G221 * 0.6, 4)</f>
        <v/>
      </c>
      <c r="J221" s="2">
        <f>DM_GiaVatTu!$E$8</f>
        <v/>
      </c>
      <c r="K221" s="2">
        <f>ROUND((H221 + I221) * J221 * E221, 0)</f>
        <v/>
      </c>
      <c r="L221" s="2">
        <f>ROUND(E221 * 1.08 * IFERROR(XLOOKUP(B221, DM_DinhMuc_TT20!$B:$B, DM_DinhMuc_TT20!$G:$G, 150000), 150000), 0)</f>
        <v/>
      </c>
      <c r="M221" s="2">
        <f>ROUND(E221 * 1.10 * IFERROR(XLOOKUP(B221, DM_DinhMuc_TT20!$B:$B, DM_DinhMuc_TT20!$H:$H, 25000), 25000), 0)</f>
        <v/>
      </c>
      <c r="N221" s="2">
        <f>ROUND(E221 * IFERROR(XLOOKUP(B221, DM_DinhMuc_TT20!$B:$B, DM_DinhMuc_TT20!$I:$I, 80000), 80000), 0)</f>
        <v/>
      </c>
      <c r="O221" s="2" t="n">
        <v>0</v>
      </c>
      <c r="P221" s="2">
        <f>K221+L221+M221+N221+O221</f>
        <v/>
      </c>
      <c r="Q221" s="2">
        <f>IF(E221&gt;0, ROUND(P221/E221, 0), 0)</f>
        <v/>
      </c>
    </row>
    <row r="222">
      <c r="A222" s="3" t="n">
        <v>218</v>
      </c>
      <c r="B222" s="3" t="inlineStr">
        <is>
          <t>NT6</t>
        </is>
      </c>
      <c r="C222" s="3" t="inlineStr">
        <is>
          <t>TSS</t>
        </is>
      </c>
      <c r="D222" s="3" t="inlineStr">
        <is>
          <t>mg/l</t>
        </is>
      </c>
      <c r="E222" s="3" t="n">
        <v>8</v>
      </c>
      <c r="F222" s="3" t="n">
        <v>1</v>
      </c>
      <c r="G222" s="3">
        <f>IFERROR(XLOOKUP(B222, DM_DinhMuc_TT20!$B:$B, DM_DinhMuc_TT20!$F:$F, 0.8), 0.8)</f>
        <v/>
      </c>
      <c r="H222" s="3">
        <f>ROUND((G222 * 0.4 * 1.2) / IF(F222&gt;0, F222, 1), 4)</f>
        <v/>
      </c>
      <c r="I222" s="3">
        <f>ROUND(G222 * 0.6, 4)</f>
        <v/>
      </c>
      <c r="J222" s="3">
        <f>DM_GiaVatTu!$E$8</f>
        <v/>
      </c>
      <c r="K222" s="3">
        <f>ROUND((H222 + I222) * J222 * E222, 0)</f>
        <v/>
      </c>
      <c r="L222" s="3">
        <f>ROUND(E222 * 1.08 * IFERROR(XLOOKUP(B222, DM_DinhMuc_TT20!$B:$B, DM_DinhMuc_TT20!$G:$G, 150000), 150000), 0)</f>
        <v/>
      </c>
      <c r="M222" s="3">
        <f>ROUND(E222 * 1.10 * IFERROR(XLOOKUP(B222, DM_DinhMuc_TT20!$B:$B, DM_DinhMuc_TT20!$H:$H, 25000), 25000), 0)</f>
        <v/>
      </c>
      <c r="N222" s="3">
        <f>ROUND(E222 * IFERROR(XLOOKUP(B222, DM_DinhMuc_TT20!$B:$B, DM_DinhMuc_TT20!$I:$I, 80000), 80000), 0)</f>
        <v/>
      </c>
      <c r="O222" s="3" t="n">
        <v>0</v>
      </c>
      <c r="P222" s="3">
        <f>K222+L222+M222+N222+O222</f>
        <v/>
      </c>
      <c r="Q222" s="3">
        <f>IF(E222&gt;0, ROUND(P222/E222, 0), 0)</f>
        <v/>
      </c>
    </row>
    <row r="223">
      <c r="A223" s="2" t="n">
        <v>219</v>
      </c>
      <c r="B223" s="2" t="inlineStr">
        <is>
          <t>NT10c</t>
        </is>
      </c>
      <c r="C223" s="2" t="inlineStr">
        <is>
          <t>Amoni (tính theo N)</t>
        </is>
      </c>
      <c r="D223" s="2" t="inlineStr">
        <is>
          <t>mg/l</t>
        </is>
      </c>
      <c r="E223" s="2" t="n">
        <v>8</v>
      </c>
      <c r="F223" s="2" t="n">
        <v>1</v>
      </c>
      <c r="G223" s="2">
        <f>IFERROR(XLOOKUP(B223, DM_DinhMuc_TT20!$B:$B, DM_DinhMuc_TT20!$F:$F, 0.8), 0.8)</f>
        <v/>
      </c>
      <c r="H223" s="2">
        <f>ROUND((G223 * 0.4 * 1.2) / IF(F223&gt;0, F223, 1), 4)</f>
        <v/>
      </c>
      <c r="I223" s="2">
        <f>ROUND(G223 * 0.6, 4)</f>
        <v/>
      </c>
      <c r="J223" s="2">
        <f>DM_GiaVatTu!$E$8</f>
        <v/>
      </c>
      <c r="K223" s="2">
        <f>ROUND((H223 + I223) * J223 * E223, 0)</f>
        <v/>
      </c>
      <c r="L223" s="2">
        <f>ROUND(E223 * 1.08 * IFERROR(XLOOKUP(B223, DM_DinhMuc_TT20!$B:$B, DM_DinhMuc_TT20!$G:$G, 150000), 150000), 0)</f>
        <v/>
      </c>
      <c r="M223" s="2">
        <f>ROUND(E223 * 1.10 * IFERROR(XLOOKUP(B223, DM_DinhMuc_TT20!$B:$B, DM_DinhMuc_TT20!$H:$H, 25000), 25000), 0)</f>
        <v/>
      </c>
      <c r="N223" s="2">
        <f>ROUND(E223 * IFERROR(XLOOKUP(B223, DM_DinhMuc_TT20!$B:$B, DM_DinhMuc_TT20!$I:$I, 80000), 80000), 0)</f>
        <v/>
      </c>
      <c r="O223" s="2" t="n">
        <v>0</v>
      </c>
      <c r="P223" s="2">
        <f>K223+L223+M223+N223+O223</f>
        <v/>
      </c>
      <c r="Q223" s="2">
        <f>IF(E223&gt;0, ROUND(P223/E223, 0), 0)</f>
        <v/>
      </c>
    </row>
    <row r="224">
      <c r="A224" s="3" t="n">
        <v>220</v>
      </c>
      <c r="B224" s="3" t="inlineStr">
        <is>
          <t>NT10l1</t>
        </is>
      </c>
      <c r="C224" s="3" t="inlineStr">
        <is>
          <t>Asen</t>
        </is>
      </c>
      <c r="D224" s="3" t="inlineStr">
        <is>
          <t>mg/l</t>
        </is>
      </c>
      <c r="E224" s="3" t="n">
        <v>8</v>
      </c>
      <c r="F224" s="3" t="n">
        <v>1</v>
      </c>
      <c r="G224" s="3">
        <f>IFERROR(XLOOKUP(B224, DM_DinhMuc_TT20!$B:$B, DM_DinhMuc_TT20!$F:$F, 0.8), 0.8)</f>
        <v/>
      </c>
      <c r="H224" s="3">
        <f>ROUND((G224 * 0.4 * 1.2) / IF(F224&gt;0, F224, 1), 4)</f>
        <v/>
      </c>
      <c r="I224" s="3">
        <f>ROUND(G224 * 0.6, 4)</f>
        <v/>
      </c>
      <c r="J224" s="3">
        <f>DM_GiaVatTu!$E$8</f>
        <v/>
      </c>
      <c r="K224" s="3">
        <f>ROUND((H224 + I224) * J224 * E224, 0)</f>
        <v/>
      </c>
      <c r="L224" s="3">
        <f>ROUND(E224 * 1.08 * IFERROR(XLOOKUP(B224, DM_DinhMuc_TT20!$B:$B, DM_DinhMuc_TT20!$G:$G, 150000), 150000), 0)</f>
        <v/>
      </c>
      <c r="M224" s="3">
        <f>ROUND(E224 * 1.10 * IFERROR(XLOOKUP(B224, DM_DinhMuc_TT20!$B:$B, DM_DinhMuc_TT20!$H:$H, 25000), 25000), 0)</f>
        <v/>
      </c>
      <c r="N224" s="3">
        <f>ROUND(E224 * IFERROR(XLOOKUP(B224, DM_DinhMuc_TT20!$B:$B, DM_DinhMuc_TT20!$I:$I, 80000), 80000), 0)</f>
        <v/>
      </c>
      <c r="O224" s="3" t="n">
        <v>0</v>
      </c>
      <c r="P224" s="3">
        <f>K224+L224+M224+N224+O224</f>
        <v/>
      </c>
      <c r="Q224" s="3">
        <f>IF(E224&gt;0, ROUND(P224/E224, 0), 0)</f>
        <v/>
      </c>
    </row>
    <row r="225">
      <c r="A225" s="2" t="n">
        <v>221</v>
      </c>
      <c r="B225" s="2" t="inlineStr">
        <is>
          <t>NT10l2</t>
        </is>
      </c>
      <c r="C225" s="2" t="inlineStr">
        <is>
          <t>Thủy ngân</t>
        </is>
      </c>
      <c r="D225" s="2" t="inlineStr">
        <is>
          <t>mg/l</t>
        </is>
      </c>
      <c r="E225" s="2" t="n">
        <v>8</v>
      </c>
      <c r="F225" s="2" t="n">
        <v>1</v>
      </c>
      <c r="G225" s="2">
        <f>IFERROR(XLOOKUP(B225, DM_DinhMuc_TT20!$B:$B, DM_DinhMuc_TT20!$F:$F, 0.8), 0.8)</f>
        <v/>
      </c>
      <c r="H225" s="2">
        <f>ROUND((G225 * 0.4 * 1.2) / IF(F225&gt;0, F225, 1), 4)</f>
        <v/>
      </c>
      <c r="I225" s="2">
        <f>ROUND(G225 * 0.6, 4)</f>
        <v/>
      </c>
      <c r="J225" s="2">
        <f>DM_GiaVatTu!$E$8</f>
        <v/>
      </c>
      <c r="K225" s="2">
        <f>ROUND((H225 + I225) * J225 * E225, 0)</f>
        <v/>
      </c>
      <c r="L225" s="2">
        <f>ROUND(E225 * 1.08 * IFERROR(XLOOKUP(B225, DM_DinhMuc_TT20!$B:$B, DM_DinhMuc_TT20!$G:$G, 150000), 150000), 0)</f>
        <v/>
      </c>
      <c r="M225" s="2">
        <f>ROUND(E225 * 1.10 * IFERROR(XLOOKUP(B225, DM_DinhMuc_TT20!$B:$B, DM_DinhMuc_TT20!$H:$H, 25000), 25000), 0)</f>
        <v/>
      </c>
      <c r="N225" s="2">
        <f>ROUND(E225 * IFERROR(XLOOKUP(B225, DM_DinhMuc_TT20!$B:$B, DM_DinhMuc_TT20!$I:$I, 80000), 80000), 0)</f>
        <v/>
      </c>
      <c r="O225" s="2" t="n">
        <v>0</v>
      </c>
      <c r="P225" s="2">
        <f>K225+L225+M225+N225+O225</f>
        <v/>
      </c>
      <c r="Q225" s="2">
        <f>IF(E225&gt;0, ROUND(P225/E225, 0), 0)</f>
        <v/>
      </c>
    </row>
    <row r="226">
      <c r="A226" s="3" t="n">
        <v>222</v>
      </c>
      <c r="B226" s="3" t="inlineStr">
        <is>
          <t>NT10đ</t>
        </is>
      </c>
      <c r="C226" s="3" t="inlineStr">
        <is>
          <t>Crom (VI)</t>
        </is>
      </c>
      <c r="D226" s="3" t="inlineStr">
        <is>
          <t>mg/l</t>
        </is>
      </c>
      <c r="E226" s="3" t="n">
        <v>8</v>
      </c>
      <c r="F226" s="3" t="n">
        <v>1</v>
      </c>
      <c r="G226" s="3">
        <f>IFERROR(XLOOKUP(B226, DM_DinhMuc_TT20!$B:$B, DM_DinhMuc_TT20!$F:$F, 0.8), 0.8)</f>
        <v/>
      </c>
      <c r="H226" s="3">
        <f>ROUND((G226 * 0.4 * 1.2) / IF(F226&gt;0, F226, 1), 4)</f>
        <v/>
      </c>
      <c r="I226" s="3">
        <f>ROUND(G226 * 0.6, 4)</f>
        <v/>
      </c>
      <c r="J226" s="3">
        <f>DM_GiaVatTu!$E$8</f>
        <v/>
      </c>
      <c r="K226" s="3">
        <f>ROUND((H226 + I226) * J226 * E226, 0)</f>
        <v/>
      </c>
      <c r="L226" s="3">
        <f>ROUND(E226 * 1.08 * IFERROR(XLOOKUP(B226, DM_DinhMuc_TT20!$B:$B, DM_DinhMuc_TT20!$G:$G, 150000), 150000), 0)</f>
        <v/>
      </c>
      <c r="M226" s="3">
        <f>ROUND(E226 * 1.10 * IFERROR(XLOOKUP(B226, DM_DinhMuc_TT20!$B:$B, DM_DinhMuc_TT20!$H:$H, 25000), 25000), 0)</f>
        <v/>
      </c>
      <c r="N226" s="3">
        <f>ROUND(E226 * IFERROR(XLOOKUP(B226, DM_DinhMuc_TT20!$B:$B, DM_DinhMuc_TT20!$I:$I, 80000), 80000), 0)</f>
        <v/>
      </c>
      <c r="O226" s="3" t="n">
        <v>0</v>
      </c>
      <c r="P226" s="3">
        <f>K226+L226+M226+N226+O226</f>
        <v/>
      </c>
      <c r="Q226" s="3">
        <f>IF(E226&gt;0, ROUND(P226/E226, 0), 0)</f>
        <v/>
      </c>
    </row>
    <row r="227">
      <c r="A227" s="2" t="n">
        <v>223</v>
      </c>
      <c r="B227" s="2" t="inlineStr">
        <is>
          <t>NT10m5</t>
        </is>
      </c>
      <c r="C227" s="2" t="inlineStr">
        <is>
          <t>Crom (III)</t>
        </is>
      </c>
      <c r="D227" s="2" t="inlineStr">
        <is>
          <t>mg/l</t>
        </is>
      </c>
      <c r="E227" s="2" t="n">
        <v>8</v>
      </c>
      <c r="F227" s="2" t="n">
        <v>1</v>
      </c>
      <c r="G227" s="2">
        <f>IFERROR(XLOOKUP(B227, DM_DinhMuc_TT20!$B:$B, DM_DinhMuc_TT20!$F:$F, 0.8), 0.8)</f>
        <v/>
      </c>
      <c r="H227" s="2">
        <f>ROUND((G227 * 0.4 * 1.2) / IF(F227&gt;0, F227, 1), 4)</f>
        <v/>
      </c>
      <c r="I227" s="2">
        <f>ROUND(G227 * 0.6, 4)</f>
        <v/>
      </c>
      <c r="J227" s="2">
        <f>DM_GiaVatTu!$E$8</f>
        <v/>
      </c>
      <c r="K227" s="2">
        <f>ROUND((H227 + I227) * J227 * E227, 0)</f>
        <v/>
      </c>
      <c r="L227" s="2">
        <f>ROUND(E227 * 1.08 * IFERROR(XLOOKUP(B227, DM_DinhMuc_TT20!$B:$B, DM_DinhMuc_TT20!$G:$G, 150000), 150000), 0)</f>
        <v/>
      </c>
      <c r="M227" s="2">
        <f>ROUND(E227 * 1.10 * IFERROR(XLOOKUP(B227, DM_DinhMuc_TT20!$B:$B, DM_DinhMuc_TT20!$H:$H, 25000), 25000), 0)</f>
        <v/>
      </c>
      <c r="N227" s="2">
        <f>ROUND(E227 * IFERROR(XLOOKUP(B227, DM_DinhMuc_TT20!$B:$B, DM_DinhMuc_TT20!$I:$I, 80000), 80000), 0)</f>
        <v/>
      </c>
      <c r="O227" s="2" t="n">
        <v>0</v>
      </c>
      <c r="P227" s="2">
        <f>K227+L227+M227+N227+O227</f>
        <v/>
      </c>
      <c r="Q227" s="2">
        <f>IF(E227&gt;0, ROUND(P227/E227, 0), 0)</f>
        <v/>
      </c>
    </row>
    <row r="228">
      <c r="A228" s="3" t="n">
        <v>224</v>
      </c>
      <c r="B228" s="3" t="inlineStr">
        <is>
          <t>NT10k1</t>
        </is>
      </c>
      <c r="C228" s="3" t="inlineStr">
        <is>
          <t>Chì</t>
        </is>
      </c>
      <c r="D228" s="3" t="inlineStr">
        <is>
          <t>mg/l</t>
        </is>
      </c>
      <c r="E228" s="3" t="n">
        <v>8</v>
      </c>
      <c r="F228" s="3" t="n">
        <v>1</v>
      </c>
      <c r="G228" s="3">
        <f>IFERROR(XLOOKUP(B228, DM_DinhMuc_TT20!$B:$B, DM_DinhMuc_TT20!$F:$F, 0.8), 0.8)</f>
        <v/>
      </c>
      <c r="H228" s="3">
        <f>ROUND((G228 * 0.4 * 1.2) / IF(F228&gt;0, F228, 1), 4)</f>
        <v/>
      </c>
      <c r="I228" s="3">
        <f>ROUND(G228 * 0.6, 4)</f>
        <v/>
      </c>
      <c r="J228" s="3">
        <f>DM_GiaVatTu!$E$8</f>
        <v/>
      </c>
      <c r="K228" s="3">
        <f>ROUND((H228 + I228) * J228 * E228, 0)</f>
        <v/>
      </c>
      <c r="L228" s="3">
        <f>ROUND(E228 * 1.08 * IFERROR(XLOOKUP(B228, DM_DinhMuc_TT20!$B:$B, DM_DinhMuc_TT20!$G:$G, 150000), 150000), 0)</f>
        <v/>
      </c>
      <c r="M228" s="3">
        <f>ROUND(E228 * 1.10 * IFERROR(XLOOKUP(B228, DM_DinhMuc_TT20!$B:$B, DM_DinhMuc_TT20!$H:$H, 25000), 25000), 0)</f>
        <v/>
      </c>
      <c r="N228" s="3">
        <f>ROUND(E228 * IFERROR(XLOOKUP(B228, DM_DinhMuc_TT20!$B:$B, DM_DinhMuc_TT20!$I:$I, 80000), 80000), 0)</f>
        <v/>
      </c>
      <c r="O228" s="3" t="n">
        <v>0</v>
      </c>
      <c r="P228" s="3">
        <f>K228+L228+M228+N228+O228</f>
        <v/>
      </c>
      <c r="Q228" s="3">
        <f>IF(E228&gt;0, ROUND(P228/E228, 0), 0)</f>
        <v/>
      </c>
    </row>
    <row r="229">
      <c r="A229" s="2" t="n">
        <v>225</v>
      </c>
      <c r="B229" s="2" t="inlineStr">
        <is>
          <t>NT10k2</t>
        </is>
      </c>
      <c r="C229" s="2" t="inlineStr">
        <is>
          <t>Cadimi</t>
        </is>
      </c>
      <c r="D229" s="2" t="inlineStr">
        <is>
          <t>mg/l</t>
        </is>
      </c>
      <c r="E229" s="2" t="n">
        <v>8</v>
      </c>
      <c r="F229" s="2" t="n">
        <v>1</v>
      </c>
      <c r="G229" s="2">
        <f>IFERROR(XLOOKUP(B229, DM_DinhMuc_TT20!$B:$B, DM_DinhMuc_TT20!$F:$F, 0.8), 0.8)</f>
        <v/>
      </c>
      <c r="H229" s="2">
        <f>ROUND((G229 * 0.4 * 1.2) / IF(F229&gt;0, F229, 1), 4)</f>
        <v/>
      </c>
      <c r="I229" s="2">
        <f>ROUND(G229 * 0.6, 4)</f>
        <v/>
      </c>
      <c r="J229" s="2">
        <f>DM_GiaVatTu!$E$8</f>
        <v/>
      </c>
      <c r="K229" s="2">
        <f>ROUND((H229 + I229) * J229 * E229, 0)</f>
        <v/>
      </c>
      <c r="L229" s="2">
        <f>ROUND(E229 * 1.08 * IFERROR(XLOOKUP(B229, DM_DinhMuc_TT20!$B:$B, DM_DinhMuc_TT20!$G:$G, 150000), 150000), 0)</f>
        <v/>
      </c>
      <c r="M229" s="2">
        <f>ROUND(E229 * 1.10 * IFERROR(XLOOKUP(B229, DM_DinhMuc_TT20!$B:$B, DM_DinhMuc_TT20!$H:$H, 25000), 25000), 0)</f>
        <v/>
      </c>
      <c r="N229" s="2">
        <f>ROUND(E229 * IFERROR(XLOOKUP(B229, DM_DinhMuc_TT20!$B:$B, DM_DinhMuc_TT20!$I:$I, 80000), 80000), 0)</f>
        <v/>
      </c>
      <c r="O229" s="2" t="n">
        <v>0</v>
      </c>
      <c r="P229" s="2">
        <f>K229+L229+M229+N229+O229</f>
        <v/>
      </c>
      <c r="Q229" s="2">
        <f>IF(E229&gt;0, ROUND(P229/E229, 0), 0)</f>
        <v/>
      </c>
    </row>
    <row r="230">
      <c r="A230" s="3" t="n">
        <v>226</v>
      </c>
      <c r="B230" s="3" t="inlineStr">
        <is>
          <t>NT10m1</t>
        </is>
      </c>
      <c r="C230" s="3" t="inlineStr">
        <is>
          <t>Đồng</t>
        </is>
      </c>
      <c r="D230" s="3" t="inlineStr">
        <is>
          <t>mg/l</t>
        </is>
      </c>
      <c r="E230" s="3" t="n">
        <v>8</v>
      </c>
      <c r="F230" s="3" t="n">
        <v>1</v>
      </c>
      <c r="G230" s="3">
        <f>IFERROR(XLOOKUP(B230, DM_DinhMuc_TT20!$B:$B, DM_DinhMuc_TT20!$F:$F, 0.8), 0.8)</f>
        <v/>
      </c>
      <c r="H230" s="3">
        <f>ROUND((G230 * 0.4 * 1.2) / IF(F230&gt;0, F230, 1), 4)</f>
        <v/>
      </c>
      <c r="I230" s="3">
        <f>ROUND(G230 * 0.6, 4)</f>
        <v/>
      </c>
      <c r="J230" s="3">
        <f>DM_GiaVatTu!$E$8</f>
        <v/>
      </c>
      <c r="K230" s="3">
        <f>ROUND((H230 + I230) * J230 * E230, 0)</f>
        <v/>
      </c>
      <c r="L230" s="3">
        <f>ROUND(E230 * 1.08 * IFERROR(XLOOKUP(B230, DM_DinhMuc_TT20!$B:$B, DM_DinhMuc_TT20!$G:$G, 150000), 150000), 0)</f>
        <v/>
      </c>
      <c r="M230" s="3">
        <f>ROUND(E230 * 1.10 * IFERROR(XLOOKUP(B230, DM_DinhMuc_TT20!$B:$B, DM_DinhMuc_TT20!$H:$H, 25000), 25000), 0)</f>
        <v/>
      </c>
      <c r="N230" s="3">
        <f>ROUND(E230 * IFERROR(XLOOKUP(B230, DM_DinhMuc_TT20!$B:$B, DM_DinhMuc_TT20!$I:$I, 80000), 80000), 0)</f>
        <v/>
      </c>
      <c r="O230" s="3" t="n">
        <v>0</v>
      </c>
      <c r="P230" s="3">
        <f>K230+L230+M230+N230+O230</f>
        <v/>
      </c>
      <c r="Q230" s="3">
        <f>IF(E230&gt;0, ROUND(P230/E230, 0), 0)</f>
        <v/>
      </c>
    </row>
    <row r="231">
      <c r="A231" s="2" t="n">
        <v>227</v>
      </c>
      <c r="B231" s="2" t="inlineStr">
        <is>
          <t>NT10m2</t>
        </is>
      </c>
      <c r="C231" s="2" t="inlineStr">
        <is>
          <t>Kẽm</t>
        </is>
      </c>
      <c r="D231" s="2" t="inlineStr">
        <is>
          <t>mg/l</t>
        </is>
      </c>
      <c r="E231" s="2" t="n">
        <v>8</v>
      </c>
      <c r="F231" s="2" t="n">
        <v>1</v>
      </c>
      <c r="G231" s="2">
        <f>IFERROR(XLOOKUP(B231, DM_DinhMuc_TT20!$B:$B, DM_DinhMuc_TT20!$F:$F, 0.8), 0.8)</f>
        <v/>
      </c>
      <c r="H231" s="2">
        <f>ROUND((G231 * 0.4 * 1.2) / IF(F231&gt;0, F231, 1), 4)</f>
        <v/>
      </c>
      <c r="I231" s="2">
        <f>ROUND(G231 * 0.6, 4)</f>
        <v/>
      </c>
      <c r="J231" s="2">
        <f>DM_GiaVatTu!$E$8</f>
        <v/>
      </c>
      <c r="K231" s="2">
        <f>ROUND((H231 + I231) * J231 * E231, 0)</f>
        <v/>
      </c>
      <c r="L231" s="2">
        <f>ROUND(E231 * 1.08 * IFERROR(XLOOKUP(B231, DM_DinhMuc_TT20!$B:$B, DM_DinhMuc_TT20!$G:$G, 150000), 150000), 0)</f>
        <v/>
      </c>
      <c r="M231" s="2">
        <f>ROUND(E231 * 1.10 * IFERROR(XLOOKUP(B231, DM_DinhMuc_TT20!$B:$B, DM_DinhMuc_TT20!$H:$H, 25000), 25000), 0)</f>
        <v/>
      </c>
      <c r="N231" s="2">
        <f>ROUND(E231 * IFERROR(XLOOKUP(B231, DM_DinhMuc_TT20!$B:$B, DM_DinhMuc_TT20!$I:$I, 80000), 80000), 0)</f>
        <v/>
      </c>
      <c r="O231" s="2" t="n">
        <v>0</v>
      </c>
      <c r="P231" s="2">
        <f>K231+L231+M231+N231+O231</f>
        <v/>
      </c>
      <c r="Q231" s="2">
        <f>IF(E231&gt;0, ROUND(P231/E231, 0), 0)</f>
        <v/>
      </c>
    </row>
    <row r="232">
      <c r="A232" s="3" t="n">
        <v>228</v>
      </c>
      <c r="B232" s="3" t="inlineStr">
        <is>
          <t>NT10m6</t>
        </is>
      </c>
      <c r="C232" s="3" t="inlineStr">
        <is>
          <t>Niken</t>
        </is>
      </c>
      <c r="D232" s="3" t="inlineStr">
        <is>
          <t>mg/l</t>
        </is>
      </c>
      <c r="E232" s="3" t="n">
        <v>8</v>
      </c>
      <c r="F232" s="3" t="n">
        <v>1</v>
      </c>
      <c r="G232" s="3">
        <f>IFERROR(XLOOKUP(B232, DM_DinhMuc_TT20!$B:$B, DM_DinhMuc_TT20!$F:$F, 0.8), 0.8)</f>
        <v/>
      </c>
      <c r="H232" s="3">
        <f>ROUND((G232 * 0.4 * 1.2) / IF(F232&gt;0, F232, 1), 4)</f>
        <v/>
      </c>
      <c r="I232" s="3">
        <f>ROUND(G232 * 0.6, 4)</f>
        <v/>
      </c>
      <c r="J232" s="3">
        <f>DM_GiaVatTu!$E$8</f>
        <v/>
      </c>
      <c r="K232" s="3">
        <f>ROUND((H232 + I232) * J232 * E232, 0)</f>
        <v/>
      </c>
      <c r="L232" s="3">
        <f>ROUND(E232 * 1.08 * IFERROR(XLOOKUP(B232, DM_DinhMuc_TT20!$B:$B, DM_DinhMuc_TT20!$G:$G, 150000), 150000), 0)</f>
        <v/>
      </c>
      <c r="M232" s="3">
        <f>ROUND(E232 * 1.10 * IFERROR(XLOOKUP(B232, DM_DinhMuc_TT20!$B:$B, DM_DinhMuc_TT20!$H:$H, 25000), 25000), 0)</f>
        <v/>
      </c>
      <c r="N232" s="3">
        <f>ROUND(E232 * IFERROR(XLOOKUP(B232, DM_DinhMuc_TT20!$B:$B, DM_DinhMuc_TT20!$I:$I, 80000), 80000), 0)</f>
        <v/>
      </c>
      <c r="O232" s="3" t="n">
        <v>0</v>
      </c>
      <c r="P232" s="3">
        <f>K232+L232+M232+N232+O232</f>
        <v/>
      </c>
      <c r="Q232" s="3">
        <f>IF(E232&gt;0, ROUND(P232/E232, 0), 0)</f>
        <v/>
      </c>
    </row>
    <row r="233">
      <c r="A233" s="2" t="n">
        <v>229</v>
      </c>
      <c r="B233" s="2" t="inlineStr">
        <is>
          <t>NT10m3</t>
        </is>
      </c>
      <c r="C233" s="2" t="inlineStr">
        <is>
          <t>Mangan</t>
        </is>
      </c>
      <c r="D233" s="2" t="inlineStr">
        <is>
          <t>mg/l</t>
        </is>
      </c>
      <c r="E233" s="2" t="n">
        <v>8</v>
      </c>
      <c r="F233" s="2" t="n">
        <v>1</v>
      </c>
      <c r="G233" s="2">
        <f>IFERROR(XLOOKUP(B233, DM_DinhMuc_TT20!$B:$B, DM_DinhMuc_TT20!$F:$F, 0.8), 0.8)</f>
        <v/>
      </c>
      <c r="H233" s="2">
        <f>ROUND((G233 * 0.4 * 1.2) / IF(F233&gt;0, F233, 1), 4)</f>
        <v/>
      </c>
      <c r="I233" s="2">
        <f>ROUND(G233 * 0.6, 4)</f>
        <v/>
      </c>
      <c r="J233" s="2">
        <f>DM_GiaVatTu!$E$8</f>
        <v/>
      </c>
      <c r="K233" s="2">
        <f>ROUND((H233 + I233) * J233 * E233, 0)</f>
        <v/>
      </c>
      <c r="L233" s="2">
        <f>ROUND(E233 * 1.08 * IFERROR(XLOOKUP(B233, DM_DinhMuc_TT20!$B:$B, DM_DinhMuc_TT20!$G:$G, 150000), 150000), 0)</f>
        <v/>
      </c>
      <c r="M233" s="2">
        <f>ROUND(E233 * 1.10 * IFERROR(XLOOKUP(B233, DM_DinhMuc_TT20!$B:$B, DM_DinhMuc_TT20!$H:$H, 25000), 25000), 0)</f>
        <v/>
      </c>
      <c r="N233" s="2">
        <f>ROUND(E233 * IFERROR(XLOOKUP(B233, DM_DinhMuc_TT20!$B:$B, DM_DinhMuc_TT20!$I:$I, 80000), 80000), 0)</f>
        <v/>
      </c>
      <c r="O233" s="2" t="n">
        <v>0</v>
      </c>
      <c r="P233" s="2">
        <f>K233+L233+M233+N233+O233</f>
        <v/>
      </c>
      <c r="Q233" s="2">
        <f>IF(E233&gt;0, ROUND(P233/E233, 0), 0)</f>
        <v/>
      </c>
    </row>
    <row r="234">
      <c r="A234" s="3" t="n">
        <v>230</v>
      </c>
      <c r="B234" s="3" t="inlineStr">
        <is>
          <t>NT10m4</t>
        </is>
      </c>
      <c r="C234" s="3" t="inlineStr">
        <is>
          <t>Sắt</t>
        </is>
      </c>
      <c r="D234" s="3" t="inlineStr">
        <is>
          <t>mg/l</t>
        </is>
      </c>
      <c r="E234" s="3" t="n">
        <v>8</v>
      </c>
      <c r="F234" s="3" t="n">
        <v>1</v>
      </c>
      <c r="G234" s="3">
        <f>IFERROR(XLOOKUP(B234, DM_DinhMuc_TT20!$B:$B, DM_DinhMuc_TT20!$F:$F, 0.8), 0.8)</f>
        <v/>
      </c>
      <c r="H234" s="3">
        <f>ROUND((G234 * 0.4 * 1.2) / IF(F234&gt;0, F234, 1), 4)</f>
        <v/>
      </c>
      <c r="I234" s="3">
        <f>ROUND(G234 * 0.6, 4)</f>
        <v/>
      </c>
      <c r="J234" s="3">
        <f>DM_GiaVatTu!$E$8</f>
        <v/>
      </c>
      <c r="K234" s="3">
        <f>ROUND((H234 + I234) * J234 * E234, 0)</f>
        <v/>
      </c>
      <c r="L234" s="3">
        <f>ROUND(E234 * 1.08 * IFERROR(XLOOKUP(B234, DM_DinhMuc_TT20!$B:$B, DM_DinhMuc_TT20!$G:$G, 150000), 150000), 0)</f>
        <v/>
      </c>
      <c r="M234" s="3">
        <f>ROUND(E234 * 1.10 * IFERROR(XLOOKUP(B234, DM_DinhMuc_TT20!$B:$B, DM_DinhMuc_TT20!$H:$H, 25000), 25000), 0)</f>
        <v/>
      </c>
      <c r="N234" s="3">
        <f>ROUND(E234 * IFERROR(XLOOKUP(B234, DM_DinhMuc_TT20!$B:$B, DM_DinhMuc_TT20!$I:$I, 80000), 80000), 0)</f>
        <v/>
      </c>
      <c r="O234" s="3" t="n">
        <v>0</v>
      </c>
      <c r="P234" s="3">
        <f>K234+L234+M234+N234+O234</f>
        <v/>
      </c>
      <c r="Q234" s="3">
        <f>IF(E234&gt;0, ROUND(P234/E234, 0), 0)</f>
        <v/>
      </c>
    </row>
    <row r="235">
      <c r="A235" s="2" t="n">
        <v>231</v>
      </c>
      <c r="B235" s="2" t="inlineStr">
        <is>
          <t>NT9</t>
        </is>
      </c>
      <c r="C235" s="2" t="inlineStr">
        <is>
          <t>Tổng xianua</t>
        </is>
      </c>
      <c r="D235" s="2" t="inlineStr">
        <is>
          <t>mg/l</t>
        </is>
      </c>
      <c r="E235" s="2" t="n">
        <v>8</v>
      </c>
      <c r="F235" s="2" t="n">
        <v>1</v>
      </c>
      <c r="G235" s="2">
        <f>IFERROR(XLOOKUP(B235, DM_DinhMuc_TT20!$B:$B, DM_DinhMuc_TT20!$F:$F, 0.8), 0.8)</f>
        <v/>
      </c>
      <c r="H235" s="2">
        <f>ROUND((G235 * 0.4 * 1.2) / IF(F235&gt;0, F235, 1), 4)</f>
        <v/>
      </c>
      <c r="I235" s="2">
        <f>ROUND(G235 * 0.6, 4)</f>
        <v/>
      </c>
      <c r="J235" s="2">
        <f>DM_GiaVatTu!$E$8</f>
        <v/>
      </c>
      <c r="K235" s="2">
        <f>ROUND((H235 + I235) * J235 * E235, 0)</f>
        <v/>
      </c>
      <c r="L235" s="2">
        <f>ROUND(E235 * 1.08 * IFERROR(XLOOKUP(B235, DM_DinhMuc_TT20!$B:$B, DM_DinhMuc_TT20!$G:$G, 150000), 150000), 0)</f>
        <v/>
      </c>
      <c r="M235" s="2">
        <f>ROUND(E235 * 1.10 * IFERROR(XLOOKUP(B235, DM_DinhMuc_TT20!$B:$B, DM_DinhMuc_TT20!$H:$H, 25000), 25000), 0)</f>
        <v/>
      </c>
      <c r="N235" s="2">
        <f>ROUND(E235 * IFERROR(XLOOKUP(B235, DM_DinhMuc_TT20!$B:$B, DM_DinhMuc_TT20!$I:$I, 80000), 80000), 0)</f>
        <v/>
      </c>
      <c r="O235" s="2" t="n">
        <v>0</v>
      </c>
      <c r="P235" s="2">
        <f>K235+L235+M235+N235+O235</f>
        <v/>
      </c>
      <c r="Q235" s="2">
        <f>IF(E235&gt;0, ROUND(P235/E235, 0), 0)</f>
        <v/>
      </c>
    </row>
    <row r="236">
      <c r="A236" s="3" t="n">
        <v>232</v>
      </c>
      <c r="B236" s="3" t="inlineStr">
        <is>
          <t>NT2</t>
        </is>
      </c>
      <c r="C236" s="3" t="inlineStr">
        <is>
          <t>Tổng Phenol</t>
        </is>
      </c>
      <c r="D236" s="3" t="inlineStr">
        <is>
          <t>mg/l</t>
        </is>
      </c>
      <c r="E236" s="3" t="n">
        <v>8</v>
      </c>
      <c r="F236" s="3" t="n">
        <v>1</v>
      </c>
      <c r="G236" s="3">
        <f>IFERROR(XLOOKUP(B236, DM_DinhMuc_TT20!$B:$B, DM_DinhMuc_TT20!$F:$F, 0.8), 0.8)</f>
        <v/>
      </c>
      <c r="H236" s="3">
        <f>ROUND((G236 * 0.4 * 1.2) / IF(F236&gt;0, F236, 1), 4)</f>
        <v/>
      </c>
      <c r="I236" s="3">
        <f>ROUND(G236 * 0.6, 4)</f>
        <v/>
      </c>
      <c r="J236" s="3">
        <f>DM_GiaVatTu!$E$8</f>
        <v/>
      </c>
      <c r="K236" s="3">
        <f>ROUND((H236 + I236) * J236 * E236, 0)</f>
        <v/>
      </c>
      <c r="L236" s="3">
        <f>ROUND(E236 * 1.08 * IFERROR(XLOOKUP(B236, DM_DinhMuc_TT20!$B:$B, DM_DinhMuc_TT20!$G:$G, 150000), 150000), 0)</f>
        <v/>
      </c>
      <c r="M236" s="3">
        <f>ROUND(E236 * 1.10 * IFERROR(XLOOKUP(B236, DM_DinhMuc_TT20!$B:$B, DM_DinhMuc_TT20!$H:$H, 25000), 25000), 0)</f>
        <v/>
      </c>
      <c r="N236" s="3">
        <f>ROUND(E236 * IFERROR(XLOOKUP(B236, DM_DinhMuc_TT20!$B:$B, DM_DinhMuc_TT20!$I:$I, 80000), 80000), 0)</f>
        <v/>
      </c>
      <c r="O236" s="3" t="n">
        <v>0</v>
      </c>
      <c r="P236" s="3">
        <f>K236+L236+M236+N236+O236</f>
        <v/>
      </c>
      <c r="Q236" s="3">
        <f>IF(E236&gt;0, ROUND(P236/E236, 0), 0)</f>
        <v/>
      </c>
    </row>
    <row r="237">
      <c r="A237" s="2" t="n">
        <v>233</v>
      </c>
      <c r="B237" s="2" t="inlineStr">
        <is>
          <t>NT8</t>
        </is>
      </c>
      <c r="C237" s="2" t="inlineStr">
        <is>
          <t>Tổng dầu mỡ khoáng</t>
        </is>
      </c>
      <c r="D237" s="2" t="inlineStr">
        <is>
          <t>mg/l</t>
        </is>
      </c>
      <c r="E237" s="2" t="n">
        <v>8</v>
      </c>
      <c r="F237" s="2" t="n">
        <v>1</v>
      </c>
      <c r="G237" s="2">
        <f>IFERROR(XLOOKUP(B237, DM_DinhMuc_TT20!$B:$B, DM_DinhMuc_TT20!$F:$F, 0.8), 0.8)</f>
        <v/>
      </c>
      <c r="H237" s="2">
        <f>ROUND((G237 * 0.4 * 1.2) / IF(F237&gt;0, F237, 1), 4)</f>
        <v/>
      </c>
      <c r="I237" s="2">
        <f>ROUND(G237 * 0.6, 4)</f>
        <v/>
      </c>
      <c r="J237" s="2">
        <f>DM_GiaVatTu!$E$8</f>
        <v/>
      </c>
      <c r="K237" s="2">
        <f>ROUND((H237 + I237) * J237 * E237, 0)</f>
        <v/>
      </c>
      <c r="L237" s="2">
        <f>ROUND(E237 * 1.08 * IFERROR(XLOOKUP(B237, DM_DinhMuc_TT20!$B:$B, DM_DinhMuc_TT20!$G:$G, 150000), 150000), 0)</f>
        <v/>
      </c>
      <c r="M237" s="2">
        <f>ROUND(E237 * 1.10 * IFERROR(XLOOKUP(B237, DM_DinhMuc_TT20!$B:$B, DM_DinhMuc_TT20!$H:$H, 25000), 25000), 0)</f>
        <v/>
      </c>
      <c r="N237" s="2">
        <f>ROUND(E237 * IFERROR(XLOOKUP(B237, DM_DinhMuc_TT20!$B:$B, DM_DinhMuc_TT20!$I:$I, 80000), 80000), 0)</f>
        <v/>
      </c>
      <c r="O237" s="2" t="n">
        <v>0</v>
      </c>
      <c r="P237" s="2">
        <f>K237+L237+M237+N237+O237</f>
        <v/>
      </c>
      <c r="Q237" s="2">
        <f>IF(E237&gt;0, ROUND(P237/E237, 0), 0)</f>
        <v/>
      </c>
    </row>
    <row r="238">
      <c r="A238" s="3" t="n">
        <v>234</v>
      </c>
      <c r="B238" s="3" t="inlineStr">
        <is>
          <t>NT10d</t>
        </is>
      </c>
      <c r="C238" s="3" t="inlineStr">
        <is>
          <t>Sunfua</t>
        </is>
      </c>
      <c r="D238" s="3" t="inlineStr">
        <is>
          <t>mg/l</t>
        </is>
      </c>
      <c r="E238" s="3" t="n">
        <v>8</v>
      </c>
      <c r="F238" s="3" t="n">
        <v>1</v>
      </c>
      <c r="G238" s="3">
        <f>IFERROR(XLOOKUP(B238, DM_DinhMuc_TT20!$B:$B, DM_DinhMuc_TT20!$F:$F, 0.8), 0.8)</f>
        <v/>
      </c>
      <c r="H238" s="3">
        <f>ROUND((G238 * 0.4 * 1.2) / IF(F238&gt;0, F238, 1), 4)</f>
        <v/>
      </c>
      <c r="I238" s="3">
        <f>ROUND(G238 * 0.6, 4)</f>
        <v/>
      </c>
      <c r="J238" s="3">
        <f>DM_GiaVatTu!$E$8</f>
        <v/>
      </c>
      <c r="K238" s="3">
        <f>ROUND((H238 + I238) * J238 * E238, 0)</f>
        <v/>
      </c>
      <c r="L238" s="3">
        <f>ROUND(E238 * 1.08 * IFERROR(XLOOKUP(B238, DM_DinhMuc_TT20!$B:$B, DM_DinhMuc_TT20!$G:$G, 150000), 150000), 0)</f>
        <v/>
      </c>
      <c r="M238" s="3">
        <f>ROUND(E238 * 1.10 * IFERROR(XLOOKUP(B238, DM_DinhMuc_TT20!$B:$B, DM_DinhMuc_TT20!$H:$H, 25000), 25000), 0)</f>
        <v/>
      </c>
      <c r="N238" s="3">
        <f>ROUND(E238 * IFERROR(XLOOKUP(B238, DM_DinhMuc_TT20!$B:$B, DM_DinhMuc_TT20!$I:$I, 80000), 80000), 0)</f>
        <v/>
      </c>
      <c r="O238" s="3" t="n">
        <v>0</v>
      </c>
      <c r="P238" s="3">
        <f>K238+L238+M238+N238+O238</f>
        <v/>
      </c>
      <c r="Q238" s="3">
        <f>IF(E238&gt;0, ROUND(P238/E238, 0), 0)</f>
        <v/>
      </c>
    </row>
    <row r="239">
      <c r="A239" s="2" t="n">
        <v>235</v>
      </c>
      <c r="B239" s="2" t="inlineStr">
        <is>
          <t>NT10h</t>
        </is>
      </c>
      <c r="C239" s="2" t="inlineStr">
        <is>
          <t>Florua</t>
        </is>
      </c>
      <c r="D239" s="2" t="inlineStr">
        <is>
          <t>mg/l</t>
        </is>
      </c>
      <c r="E239" s="2" t="n">
        <v>8</v>
      </c>
      <c r="F239" s="2" t="n">
        <v>1</v>
      </c>
      <c r="G239" s="2">
        <f>IFERROR(XLOOKUP(B239, DM_DinhMuc_TT20!$B:$B, DM_DinhMuc_TT20!$F:$F, 0.8), 0.8)</f>
        <v/>
      </c>
      <c r="H239" s="2">
        <f>ROUND((G239 * 0.4 * 1.2) / IF(F239&gt;0, F239, 1), 4)</f>
        <v/>
      </c>
      <c r="I239" s="2">
        <f>ROUND(G239 * 0.6, 4)</f>
        <v/>
      </c>
      <c r="J239" s="2">
        <f>DM_GiaVatTu!$E$8</f>
        <v/>
      </c>
      <c r="K239" s="2">
        <f>ROUND((H239 + I239) * J239 * E239, 0)</f>
        <v/>
      </c>
      <c r="L239" s="2">
        <f>ROUND(E239 * 1.08 * IFERROR(XLOOKUP(B239, DM_DinhMuc_TT20!$B:$B, DM_DinhMuc_TT20!$G:$G, 150000), 150000), 0)</f>
        <v/>
      </c>
      <c r="M239" s="2">
        <f>ROUND(E239 * 1.10 * IFERROR(XLOOKUP(B239, DM_DinhMuc_TT20!$B:$B, DM_DinhMuc_TT20!$H:$H, 25000), 25000), 0)</f>
        <v/>
      </c>
      <c r="N239" s="2">
        <f>ROUND(E239 * IFERROR(XLOOKUP(B239, DM_DinhMuc_TT20!$B:$B, DM_DinhMuc_TT20!$I:$I, 80000), 80000), 0)</f>
        <v/>
      </c>
      <c r="O239" s="2" t="n">
        <v>0</v>
      </c>
      <c r="P239" s="2">
        <f>K239+L239+M239+N239+O239</f>
        <v/>
      </c>
      <c r="Q239" s="2">
        <f>IF(E239&gt;0, ROUND(P239/E239, 0), 0)</f>
        <v/>
      </c>
    </row>
    <row r="240">
      <c r="A240" s="3" t="n">
        <v>236</v>
      </c>
      <c r="B240" s="3" t="inlineStr">
        <is>
          <t>NT10b</t>
        </is>
      </c>
      <c r="C240" s="3" t="inlineStr">
        <is>
          <t>Tổng Nitơ</t>
        </is>
      </c>
      <c r="D240" s="3" t="inlineStr">
        <is>
          <t>mg/l</t>
        </is>
      </c>
      <c r="E240" s="3" t="n">
        <v>8</v>
      </c>
      <c r="F240" s="3" t="n">
        <v>1</v>
      </c>
      <c r="G240" s="3">
        <f>IFERROR(XLOOKUP(B240, DM_DinhMuc_TT20!$B:$B, DM_DinhMuc_TT20!$F:$F, 0.8), 0.8)</f>
        <v/>
      </c>
      <c r="H240" s="3">
        <f>ROUND((G240 * 0.4 * 1.2) / IF(F240&gt;0, F240, 1), 4)</f>
        <v/>
      </c>
      <c r="I240" s="3">
        <f>ROUND(G240 * 0.6, 4)</f>
        <v/>
      </c>
      <c r="J240" s="3">
        <f>DM_GiaVatTu!$E$8</f>
        <v/>
      </c>
      <c r="K240" s="3">
        <f>ROUND((H240 + I240) * J240 * E240, 0)</f>
        <v/>
      </c>
      <c r="L240" s="3">
        <f>ROUND(E240 * 1.08 * IFERROR(XLOOKUP(B240, DM_DinhMuc_TT20!$B:$B, DM_DinhMuc_TT20!$G:$G, 150000), 150000), 0)</f>
        <v/>
      </c>
      <c r="M240" s="3">
        <f>ROUND(E240 * 1.10 * IFERROR(XLOOKUP(B240, DM_DinhMuc_TT20!$B:$B, DM_DinhMuc_TT20!$H:$H, 25000), 25000), 0)</f>
        <v/>
      </c>
      <c r="N240" s="3">
        <f>ROUND(E240 * IFERROR(XLOOKUP(B240, DM_DinhMuc_TT20!$B:$B, DM_DinhMuc_TT20!$I:$I, 80000), 80000), 0)</f>
        <v/>
      </c>
      <c r="O240" s="3" t="n">
        <v>0</v>
      </c>
      <c r="P240" s="3">
        <f>K240+L240+M240+N240+O240</f>
        <v/>
      </c>
      <c r="Q240" s="3">
        <f>IF(E240&gt;0, ROUND(P240/E240, 0), 0)</f>
        <v/>
      </c>
    </row>
    <row r="241">
      <c r="A241" s="2" t="n">
        <v>237</v>
      </c>
      <c r="B241" s="2" t="inlineStr">
        <is>
          <t>NT2</t>
        </is>
      </c>
      <c r="C241" s="2" t="inlineStr">
        <is>
          <t>Tổng photpho (tính theo P)</t>
        </is>
      </c>
      <c r="D241" s="2" t="inlineStr">
        <is>
          <t>mg/l</t>
        </is>
      </c>
      <c r="E241" s="2" t="n">
        <v>8</v>
      </c>
      <c r="F241" s="2" t="n">
        <v>1</v>
      </c>
      <c r="G241" s="2">
        <f>IFERROR(XLOOKUP(B241, DM_DinhMuc_TT20!$B:$B, DM_DinhMuc_TT20!$F:$F, 0.8), 0.8)</f>
        <v/>
      </c>
      <c r="H241" s="2">
        <f>ROUND((G241 * 0.4 * 1.2) / IF(F241&gt;0, F241, 1), 4)</f>
        <v/>
      </c>
      <c r="I241" s="2">
        <f>ROUND(G241 * 0.6, 4)</f>
        <v/>
      </c>
      <c r="J241" s="2">
        <f>DM_GiaVatTu!$E$8</f>
        <v/>
      </c>
      <c r="K241" s="2">
        <f>ROUND((H241 + I241) * J241 * E241, 0)</f>
        <v/>
      </c>
      <c r="L241" s="2">
        <f>ROUND(E241 * 1.08 * IFERROR(XLOOKUP(B241, DM_DinhMuc_TT20!$B:$B, DM_DinhMuc_TT20!$G:$G, 150000), 150000), 0)</f>
        <v/>
      </c>
      <c r="M241" s="2">
        <f>ROUND(E241 * 1.10 * IFERROR(XLOOKUP(B241, DM_DinhMuc_TT20!$B:$B, DM_DinhMuc_TT20!$H:$H, 25000), 25000), 0)</f>
        <v/>
      </c>
      <c r="N241" s="2">
        <f>ROUND(E241 * IFERROR(XLOOKUP(B241, DM_DinhMuc_TT20!$B:$B, DM_DinhMuc_TT20!$I:$I, 80000), 80000), 0)</f>
        <v/>
      </c>
      <c r="O241" s="2" t="n">
        <v>0</v>
      </c>
      <c r="P241" s="2">
        <f>K241+L241+M241+N241+O241</f>
        <v/>
      </c>
      <c r="Q241" s="2">
        <f>IF(E241&gt;0, ROUND(P241/E241, 0), 0)</f>
        <v/>
      </c>
    </row>
    <row r="242">
      <c r="A242" s="3" t="n">
        <v>238</v>
      </c>
      <c r="B242" s="3" t="inlineStr">
        <is>
          <t>NT10i</t>
        </is>
      </c>
      <c r="C242" s="3" t="inlineStr">
        <is>
          <t>Clorua</t>
        </is>
      </c>
      <c r="D242" s="3" t="inlineStr">
        <is>
          <t>mg/l</t>
        </is>
      </c>
      <c r="E242" s="3" t="n">
        <v>8</v>
      </c>
      <c r="F242" s="3" t="n">
        <v>1</v>
      </c>
      <c r="G242" s="3">
        <f>IFERROR(XLOOKUP(B242, DM_DinhMuc_TT20!$B:$B, DM_DinhMuc_TT20!$F:$F, 0.8), 0.8)</f>
        <v/>
      </c>
      <c r="H242" s="3">
        <f>ROUND((G242 * 0.4 * 1.2) / IF(F242&gt;0, F242, 1), 4)</f>
        <v/>
      </c>
      <c r="I242" s="3">
        <f>ROUND(G242 * 0.6, 4)</f>
        <v/>
      </c>
      <c r="J242" s="3">
        <f>DM_GiaVatTu!$E$8</f>
        <v/>
      </c>
      <c r="K242" s="3">
        <f>ROUND((H242 + I242) * J242 * E242, 0)</f>
        <v/>
      </c>
      <c r="L242" s="3">
        <f>ROUND(E242 * 1.08 * IFERROR(XLOOKUP(B242, DM_DinhMuc_TT20!$B:$B, DM_DinhMuc_TT20!$G:$G, 150000), 150000), 0)</f>
        <v/>
      </c>
      <c r="M242" s="3">
        <f>ROUND(E242 * 1.10 * IFERROR(XLOOKUP(B242, DM_DinhMuc_TT20!$B:$B, DM_DinhMuc_TT20!$H:$H, 25000), 25000), 0)</f>
        <v/>
      </c>
      <c r="N242" s="3">
        <f>ROUND(E242 * IFERROR(XLOOKUP(B242, DM_DinhMuc_TT20!$B:$B, DM_DinhMuc_TT20!$I:$I, 80000), 80000), 0)</f>
        <v/>
      </c>
      <c r="O242" s="3" t="n">
        <v>0</v>
      </c>
      <c r="P242" s="3">
        <f>K242+L242+M242+N242+O242</f>
        <v/>
      </c>
      <c r="Q242" s="3">
        <f>IF(E242&gt;0, ROUND(P242/E242, 0), 0)</f>
        <v/>
      </c>
    </row>
    <row r="243">
      <c r="A243" s="2" t="n">
        <v>239</v>
      </c>
      <c r="B243" s="2" t="inlineStr">
        <is>
          <t>NT10j</t>
        </is>
      </c>
      <c r="C243" s="2" t="inlineStr">
        <is>
          <t>Clo dư</t>
        </is>
      </c>
      <c r="D243" s="2" t="inlineStr">
        <is>
          <t>mg/l</t>
        </is>
      </c>
      <c r="E243" s="2" t="n">
        <v>8</v>
      </c>
      <c r="F243" s="2" t="n">
        <v>1</v>
      </c>
      <c r="G243" s="2">
        <f>IFERROR(XLOOKUP(B243, DM_DinhMuc_TT20!$B:$B, DM_DinhMuc_TT20!$F:$F, 0.8), 0.8)</f>
        <v/>
      </c>
      <c r="H243" s="2">
        <f>ROUND((G243 * 0.4 * 1.2) / IF(F243&gt;0, F243, 1), 4)</f>
        <v/>
      </c>
      <c r="I243" s="2">
        <f>ROUND(G243 * 0.6, 4)</f>
        <v/>
      </c>
      <c r="J243" s="2">
        <f>DM_GiaVatTu!$E$8</f>
        <v/>
      </c>
      <c r="K243" s="2">
        <f>ROUND((H243 + I243) * J243 * E243, 0)</f>
        <v/>
      </c>
      <c r="L243" s="2">
        <f>ROUND(E243 * 1.08 * IFERROR(XLOOKUP(B243, DM_DinhMuc_TT20!$B:$B, DM_DinhMuc_TT20!$G:$G, 150000), 150000), 0)</f>
        <v/>
      </c>
      <c r="M243" s="2">
        <f>ROUND(E243 * 1.10 * IFERROR(XLOOKUP(B243, DM_DinhMuc_TT20!$B:$B, DM_DinhMuc_TT20!$H:$H, 25000), 25000), 0)</f>
        <v/>
      </c>
      <c r="N243" s="2">
        <f>ROUND(E243 * IFERROR(XLOOKUP(B243, DM_DinhMuc_TT20!$B:$B, DM_DinhMuc_TT20!$I:$I, 80000), 80000), 0)</f>
        <v/>
      </c>
      <c r="O243" s="2" t="n">
        <v>0</v>
      </c>
      <c r="P243" s="2">
        <f>K243+L243+M243+N243+O243</f>
        <v/>
      </c>
      <c r="Q243" s="2">
        <f>IF(E243&gt;0, ROUND(P243/E243, 0), 0)</f>
        <v/>
      </c>
    </row>
    <row r="244">
      <c r="A244" s="3" t="n">
        <v>240</v>
      </c>
      <c r="B244" s="3" t="inlineStr">
        <is>
          <t>NT7a</t>
        </is>
      </c>
      <c r="C244" s="3" t="inlineStr">
        <is>
          <t>Coliform</t>
        </is>
      </c>
      <c r="D244" s="3" t="inlineStr">
        <is>
          <t>MPN/100ml</t>
        </is>
      </c>
      <c r="E244" s="3" t="n">
        <v>8</v>
      </c>
      <c r="F244" s="3" t="n">
        <v>1</v>
      </c>
      <c r="G244" s="3">
        <f>IFERROR(XLOOKUP(B244, DM_DinhMuc_TT20!$B:$B, DM_DinhMuc_TT20!$F:$F, 0.8), 0.8)</f>
        <v/>
      </c>
      <c r="H244" s="3">
        <f>ROUND((G244 * 0.4 * 1.2) / IF(F244&gt;0, F244, 1), 4)</f>
        <v/>
      </c>
      <c r="I244" s="3">
        <f>ROUND(G244 * 0.6, 4)</f>
        <v/>
      </c>
      <c r="J244" s="3">
        <f>DM_GiaVatTu!$E$8</f>
        <v/>
      </c>
      <c r="K244" s="3">
        <f>ROUND((H244 + I244) * J244 * E244, 0)</f>
        <v/>
      </c>
      <c r="L244" s="3">
        <f>ROUND(E244 * 1.08 * IFERROR(XLOOKUP(B244, DM_DinhMuc_TT20!$B:$B, DM_DinhMuc_TT20!$G:$G, 150000), 150000), 0)</f>
        <v/>
      </c>
      <c r="M244" s="3">
        <f>ROUND(E244 * 1.10 * IFERROR(XLOOKUP(B244, DM_DinhMuc_TT20!$B:$B, DM_DinhMuc_TT20!$H:$H, 25000), 25000), 0)</f>
        <v/>
      </c>
      <c r="N244" s="3">
        <f>ROUND(E244 * IFERROR(XLOOKUP(B244, DM_DinhMuc_TT20!$B:$B, DM_DinhMuc_TT20!$I:$I, 80000), 80000), 0)</f>
        <v/>
      </c>
      <c r="O244" s="3" t="n">
        <v>0</v>
      </c>
      <c r="P244" s="3">
        <f>K244+L244+M244+N244+O244</f>
        <v/>
      </c>
      <c r="Q244" s="3">
        <f>IF(E244&gt;0, ROUND(P244/E244, 0), 0)</f>
        <v/>
      </c>
    </row>
    <row r="245">
      <c r="A245" s="2" t="n">
        <v>241</v>
      </c>
      <c r="B245" s="2" t="inlineStr">
        <is>
          <t>CT2</t>
        </is>
      </c>
      <c r="C245" s="2" t="inlineStr">
        <is>
          <t>pH</t>
        </is>
      </c>
      <c r="D245" s="2" t="inlineStr">
        <is>
          <t>-</t>
        </is>
      </c>
      <c r="E245" s="2" t="n">
        <v>4</v>
      </c>
      <c r="F245" s="2" t="n">
        <v>1</v>
      </c>
      <c r="G245" s="2">
        <f>IFERROR(XLOOKUP(B245, DM_DinhMuc_TT20!$B:$B, DM_DinhMuc_TT20!$F:$F, 0.8), 0.8)</f>
        <v/>
      </c>
      <c r="H245" s="2">
        <f>ROUND((G245 * 0.4 * 1.2) / IF(F245&gt;0, F245, 1), 4)</f>
        <v/>
      </c>
      <c r="I245" s="2">
        <f>ROUND(G245 * 0.6, 4)</f>
        <v/>
      </c>
      <c r="J245" s="2">
        <f>DM_GiaVatTu!$E$8</f>
        <v/>
      </c>
      <c r="K245" s="2">
        <f>ROUND((H245 + I245) * J245 * E245, 0)</f>
        <v/>
      </c>
      <c r="L245" s="2">
        <f>ROUND(E245 * 1.08 * IFERROR(XLOOKUP(B245, DM_DinhMuc_TT20!$B:$B, DM_DinhMuc_TT20!$G:$G, 150000), 150000), 0)</f>
        <v/>
      </c>
      <c r="M245" s="2">
        <f>ROUND(E245 * 1.10 * IFERROR(XLOOKUP(B245, DM_DinhMuc_TT20!$B:$B, DM_DinhMuc_TT20!$H:$H, 25000), 25000), 0)</f>
        <v/>
      </c>
      <c r="N245" s="2">
        <f>ROUND(E245 * IFERROR(XLOOKUP(B245, DM_DinhMuc_TT20!$B:$B, DM_DinhMuc_TT20!$I:$I, 80000), 80000), 0)</f>
        <v/>
      </c>
      <c r="O245" s="2" t="n">
        <v>0</v>
      </c>
      <c r="P245" s="2">
        <f>K245+L245+M245+N245+O245</f>
        <v/>
      </c>
      <c r="Q245" s="2">
        <f>IF(E245&gt;0, ROUND(P245/E245, 0), 0)</f>
        <v/>
      </c>
    </row>
    <row r="246">
      <c r="A246" s="3" t="n">
        <v>242</v>
      </c>
      <c r="B246" s="3" t="inlineStr">
        <is>
          <t>CT3</t>
        </is>
      </c>
      <c r="C246" s="3" t="inlineStr">
        <is>
          <t>Cyanua (CN-)</t>
        </is>
      </c>
      <c r="D246" s="3" t="inlineStr">
        <is>
          <t>ppm</t>
        </is>
      </c>
      <c r="E246" s="3" t="n">
        <v>4</v>
      </c>
      <c r="F246" s="3" t="n">
        <v>1</v>
      </c>
      <c r="G246" s="3">
        <f>IFERROR(XLOOKUP(B246, DM_DinhMuc_TT20!$B:$B, DM_DinhMuc_TT20!$F:$F, 0.8), 0.8)</f>
        <v/>
      </c>
      <c r="H246" s="3">
        <f>ROUND((G246 * 0.4 * 1.2) / IF(F246&gt;0, F246, 1), 4)</f>
        <v/>
      </c>
      <c r="I246" s="3">
        <f>ROUND(G246 * 0.6, 4)</f>
        <v/>
      </c>
      <c r="J246" s="3">
        <f>DM_GiaVatTu!$E$8</f>
        <v/>
      </c>
      <c r="K246" s="3">
        <f>ROUND((H246 + I246) * J246 * E246, 0)</f>
        <v/>
      </c>
      <c r="L246" s="3">
        <f>ROUND(E246 * 1.08 * IFERROR(XLOOKUP(B246, DM_DinhMuc_TT20!$B:$B, DM_DinhMuc_TT20!$G:$G, 150000), 150000), 0)</f>
        <v/>
      </c>
      <c r="M246" s="3">
        <f>ROUND(E246 * 1.10 * IFERROR(XLOOKUP(B246, DM_DinhMuc_TT20!$B:$B, DM_DinhMuc_TT20!$H:$H, 25000), 25000), 0)</f>
        <v/>
      </c>
      <c r="N246" s="3">
        <f>ROUND(E246 * IFERROR(XLOOKUP(B246, DM_DinhMuc_TT20!$B:$B, DM_DinhMuc_TT20!$I:$I, 80000), 80000), 0)</f>
        <v/>
      </c>
      <c r="O246" s="3" t="n">
        <v>0</v>
      </c>
      <c r="P246" s="3">
        <f>K246+L246+M246+N246+O246</f>
        <v/>
      </c>
      <c r="Q246" s="3">
        <f>IF(E246&gt;0, ROUND(P246/E246, 0), 0)</f>
        <v/>
      </c>
    </row>
    <row r="247">
      <c r="A247" s="2" t="n">
        <v>243</v>
      </c>
      <c r="B247" s="2" t="inlineStr">
        <is>
          <t>CT4</t>
        </is>
      </c>
      <c r="C247" s="2" t="inlineStr">
        <is>
          <t>Crom (VI)</t>
        </is>
      </c>
      <c r="D247" s="2" t="inlineStr">
        <is>
          <t>mg/l</t>
        </is>
      </c>
      <c r="E247" s="2" t="n">
        <v>4</v>
      </c>
      <c r="F247" s="2" t="n">
        <v>1</v>
      </c>
      <c r="G247" s="2">
        <f>IFERROR(XLOOKUP(B247, DM_DinhMuc_TT20!$B:$B, DM_DinhMuc_TT20!$F:$F, 0.8), 0.8)</f>
        <v/>
      </c>
      <c r="H247" s="2">
        <f>ROUND((G247 * 0.4 * 1.2) / IF(F247&gt;0, F247, 1), 4)</f>
        <v/>
      </c>
      <c r="I247" s="2">
        <f>ROUND(G247 * 0.6, 4)</f>
        <v/>
      </c>
      <c r="J247" s="2">
        <f>DM_GiaVatTu!$E$8</f>
        <v/>
      </c>
      <c r="K247" s="2">
        <f>ROUND((H247 + I247) * J247 * E247, 0)</f>
        <v/>
      </c>
      <c r="L247" s="2">
        <f>ROUND(E247 * 1.08 * IFERROR(XLOOKUP(B247, DM_DinhMuc_TT20!$B:$B, DM_DinhMuc_TT20!$G:$G, 150000), 150000), 0)</f>
        <v/>
      </c>
      <c r="M247" s="2">
        <f>ROUND(E247 * 1.10 * IFERROR(XLOOKUP(B247, DM_DinhMuc_TT20!$B:$B, DM_DinhMuc_TT20!$H:$H, 25000), 25000), 0)</f>
        <v/>
      </c>
      <c r="N247" s="2">
        <f>ROUND(E247 * IFERROR(XLOOKUP(B247, DM_DinhMuc_TT20!$B:$B, DM_DinhMuc_TT20!$I:$I, 80000), 80000), 0)</f>
        <v/>
      </c>
      <c r="O247" s="2" t="n">
        <v>0</v>
      </c>
      <c r="P247" s="2">
        <f>K247+L247+M247+N247+O247</f>
        <v/>
      </c>
      <c r="Q247" s="2">
        <f>IF(E247&gt;0, ROUND(P247/E247, 0), 0)</f>
        <v/>
      </c>
    </row>
    <row r="248">
      <c r="A248" s="3" t="n">
        <v>244</v>
      </c>
      <c r="B248" s="3" t="inlineStr">
        <is>
          <t>CT7a</t>
        </is>
      </c>
      <c r="C248" s="3" t="inlineStr">
        <is>
          <t>As</t>
        </is>
      </c>
      <c r="D248" s="3" t="inlineStr">
        <is>
          <t>mg/l</t>
        </is>
      </c>
      <c r="E248" s="3" t="n">
        <v>4</v>
      </c>
      <c r="F248" s="3" t="n">
        <v>1</v>
      </c>
      <c r="G248" s="3">
        <f>IFERROR(XLOOKUP(B248, DM_DinhMuc_TT20!$B:$B, DM_DinhMuc_TT20!$F:$F, 0.8), 0.8)</f>
        <v/>
      </c>
      <c r="H248" s="3">
        <f>ROUND((G248 * 0.4 * 1.2) / IF(F248&gt;0, F248, 1), 4)</f>
        <v/>
      </c>
      <c r="I248" s="3">
        <f>ROUND(G248 * 0.6, 4)</f>
        <v/>
      </c>
      <c r="J248" s="3">
        <f>DM_GiaVatTu!$E$8</f>
        <v/>
      </c>
      <c r="K248" s="3">
        <f>ROUND((H248 + I248) * J248 * E248, 0)</f>
        <v/>
      </c>
      <c r="L248" s="3">
        <f>ROUND(E248 * 1.08 * IFERROR(XLOOKUP(B248, DM_DinhMuc_TT20!$B:$B, DM_DinhMuc_TT20!$G:$G, 150000), 150000), 0)</f>
        <v/>
      </c>
      <c r="M248" s="3">
        <f>ROUND(E248 * 1.10 * IFERROR(XLOOKUP(B248, DM_DinhMuc_TT20!$B:$B, DM_DinhMuc_TT20!$H:$H, 25000), 25000), 0)</f>
        <v/>
      </c>
      <c r="N248" s="3">
        <f>ROUND(E248 * IFERROR(XLOOKUP(B248, DM_DinhMuc_TT20!$B:$B, DM_DinhMuc_TT20!$I:$I, 80000), 80000), 0)</f>
        <v/>
      </c>
      <c r="O248" s="3" t="n">
        <v>0</v>
      </c>
      <c r="P248" s="3">
        <f>K248+L248+M248+N248+O248</f>
        <v/>
      </c>
      <c r="Q248" s="3">
        <f>IF(E248&gt;0, ROUND(P248/E248, 0), 0)</f>
        <v/>
      </c>
    </row>
    <row r="249">
      <c r="A249" s="2" t="n">
        <v>245</v>
      </c>
      <c r="B249" s="2" t="inlineStr">
        <is>
          <t>CT7b</t>
        </is>
      </c>
      <c r="C249" s="2" t="inlineStr">
        <is>
          <t>Hg</t>
        </is>
      </c>
      <c r="D249" s="2" t="inlineStr">
        <is>
          <t>mg/l</t>
        </is>
      </c>
      <c r="E249" s="2" t="n">
        <v>4</v>
      </c>
      <c r="F249" s="2" t="n">
        <v>1</v>
      </c>
      <c r="G249" s="2">
        <f>IFERROR(XLOOKUP(B249, DM_DinhMuc_TT20!$B:$B, DM_DinhMuc_TT20!$F:$F, 0.8), 0.8)</f>
        <v/>
      </c>
      <c r="H249" s="2">
        <f>ROUND((G249 * 0.4 * 1.2) / IF(F249&gt;0, F249, 1), 4)</f>
        <v/>
      </c>
      <c r="I249" s="2">
        <f>ROUND(G249 * 0.6, 4)</f>
        <v/>
      </c>
      <c r="J249" s="2">
        <f>DM_GiaVatTu!$E$8</f>
        <v/>
      </c>
      <c r="K249" s="2">
        <f>ROUND((H249 + I249) * J249 * E249, 0)</f>
        <v/>
      </c>
      <c r="L249" s="2">
        <f>ROUND(E249 * 1.08 * IFERROR(XLOOKUP(B249, DM_DinhMuc_TT20!$B:$B, DM_DinhMuc_TT20!$G:$G, 150000), 150000), 0)</f>
        <v/>
      </c>
      <c r="M249" s="2">
        <f>ROUND(E249 * 1.10 * IFERROR(XLOOKUP(B249, DM_DinhMuc_TT20!$B:$B, DM_DinhMuc_TT20!$H:$H, 25000), 25000), 0)</f>
        <v/>
      </c>
      <c r="N249" s="2">
        <f>ROUND(E249 * IFERROR(XLOOKUP(B249, DM_DinhMuc_TT20!$B:$B, DM_DinhMuc_TT20!$I:$I, 80000), 80000), 0)</f>
        <v/>
      </c>
      <c r="O249" s="2" t="n">
        <v>0</v>
      </c>
      <c r="P249" s="2">
        <f>K249+L249+M249+N249+O249</f>
        <v/>
      </c>
      <c r="Q249" s="2">
        <f>IF(E249&gt;0, ROUND(P249/E249, 0), 0)</f>
        <v/>
      </c>
    </row>
    <row r="250">
      <c r="A250" s="3" t="n">
        <v>246</v>
      </c>
      <c r="B250" s="3" t="inlineStr">
        <is>
          <t>CT2</t>
        </is>
      </c>
      <c r="C250" s="3" t="inlineStr">
        <is>
          <t>Phenol</t>
        </is>
      </c>
      <c r="D250" s="3" t="inlineStr">
        <is>
          <t>mg/l</t>
        </is>
      </c>
      <c r="E250" s="3" t="n">
        <v>4</v>
      </c>
      <c r="F250" s="3" t="n">
        <v>1</v>
      </c>
      <c r="G250" s="3">
        <f>IFERROR(XLOOKUP(B250, DM_DinhMuc_TT20!$B:$B, DM_DinhMuc_TT20!$F:$F, 0.8), 0.8)</f>
        <v/>
      </c>
      <c r="H250" s="3">
        <f>ROUND((G250 * 0.4 * 1.2) / IF(F250&gt;0, F250, 1), 4)</f>
        <v/>
      </c>
      <c r="I250" s="3">
        <f>ROUND(G250 * 0.6, 4)</f>
        <v/>
      </c>
      <c r="J250" s="3">
        <f>DM_GiaVatTu!$E$8</f>
        <v/>
      </c>
      <c r="K250" s="3">
        <f>ROUND((H250 + I250) * J250 * E250, 0)</f>
        <v/>
      </c>
      <c r="L250" s="3">
        <f>ROUND(E250 * 1.08 * IFERROR(XLOOKUP(B250, DM_DinhMuc_TT20!$B:$B, DM_DinhMuc_TT20!$G:$G, 150000), 150000), 0)</f>
        <v/>
      </c>
      <c r="M250" s="3">
        <f>ROUND(E250 * 1.10 * IFERROR(XLOOKUP(B250, DM_DinhMuc_TT20!$B:$B, DM_DinhMuc_TT20!$H:$H, 25000), 25000), 0)</f>
        <v/>
      </c>
      <c r="N250" s="3">
        <f>ROUND(E250 * IFERROR(XLOOKUP(B250, DM_DinhMuc_TT20!$B:$B, DM_DinhMuc_TT20!$I:$I, 80000), 80000), 0)</f>
        <v/>
      </c>
      <c r="O250" s="3" t="n">
        <v>0</v>
      </c>
      <c r="P250" s="3">
        <f>K250+L250+M250+N250+O250</f>
        <v/>
      </c>
      <c r="Q250" s="3">
        <f>IF(E250&gt;0, ROUND(P250/E250, 0), 0)</f>
        <v/>
      </c>
    </row>
    <row r="251">
      <c r="A251" s="2" t="n">
        <v>247</v>
      </c>
      <c r="B251" s="2" t="inlineStr">
        <is>
          <t>CT6a</t>
        </is>
      </c>
      <c r="C251" s="2" t="inlineStr">
        <is>
          <t>Pb</t>
        </is>
      </c>
      <c r="D251" s="2" t="inlineStr">
        <is>
          <t>mg/l</t>
        </is>
      </c>
      <c r="E251" s="2" t="n">
        <v>4</v>
      </c>
      <c r="F251" s="2" t="n">
        <v>1</v>
      </c>
      <c r="G251" s="2">
        <f>IFERROR(XLOOKUP(B251, DM_DinhMuc_TT20!$B:$B, DM_DinhMuc_TT20!$F:$F, 0.8), 0.8)</f>
        <v/>
      </c>
      <c r="H251" s="2">
        <f>ROUND((G251 * 0.4 * 1.2) / IF(F251&gt;0, F251, 1), 4)</f>
        <v/>
      </c>
      <c r="I251" s="2">
        <f>ROUND(G251 * 0.6, 4)</f>
        <v/>
      </c>
      <c r="J251" s="2">
        <f>DM_GiaVatTu!$E$8</f>
        <v/>
      </c>
      <c r="K251" s="2">
        <f>ROUND((H251 + I251) * J251 * E251, 0)</f>
        <v/>
      </c>
      <c r="L251" s="2">
        <f>ROUND(E251 * 1.08 * IFERROR(XLOOKUP(B251, DM_DinhMuc_TT20!$B:$B, DM_DinhMuc_TT20!$G:$G, 150000), 150000), 0)</f>
        <v/>
      </c>
      <c r="M251" s="2">
        <f>ROUND(E251 * 1.10 * IFERROR(XLOOKUP(B251, DM_DinhMuc_TT20!$B:$B, DM_DinhMuc_TT20!$H:$H, 25000), 25000), 0)</f>
        <v/>
      </c>
      <c r="N251" s="2">
        <f>ROUND(E251 * IFERROR(XLOOKUP(B251, DM_DinhMuc_TT20!$B:$B, DM_DinhMuc_TT20!$I:$I, 80000), 80000), 0)</f>
        <v/>
      </c>
      <c r="O251" s="2" t="n">
        <v>0</v>
      </c>
      <c r="P251" s="2">
        <f>K251+L251+M251+N251+O251</f>
        <v/>
      </c>
      <c r="Q251" s="2">
        <f>IF(E251&gt;0, ROUND(P251/E251, 0), 0)</f>
        <v/>
      </c>
    </row>
    <row r="252">
      <c r="A252" s="3" t="n">
        <v>248</v>
      </c>
      <c r="B252" s="3" t="inlineStr">
        <is>
          <t>CT6b</t>
        </is>
      </c>
      <c r="C252" s="3" t="inlineStr">
        <is>
          <t>Cd</t>
        </is>
      </c>
      <c r="D252" s="3" t="inlineStr">
        <is>
          <t>mg/l</t>
        </is>
      </c>
      <c r="E252" s="3" t="n">
        <v>4</v>
      </c>
      <c r="F252" s="3" t="n">
        <v>1</v>
      </c>
      <c r="G252" s="3">
        <f>IFERROR(XLOOKUP(B252, DM_DinhMuc_TT20!$B:$B, DM_DinhMuc_TT20!$F:$F, 0.8), 0.8)</f>
        <v/>
      </c>
      <c r="H252" s="3">
        <f>ROUND((G252 * 0.4 * 1.2) / IF(F252&gt;0, F252, 1), 4)</f>
        <v/>
      </c>
      <c r="I252" s="3">
        <f>ROUND(G252 * 0.6, 4)</f>
        <v/>
      </c>
      <c r="J252" s="3">
        <f>DM_GiaVatTu!$E$8</f>
        <v/>
      </c>
      <c r="K252" s="3">
        <f>ROUND((H252 + I252) * J252 * E252, 0)</f>
        <v/>
      </c>
      <c r="L252" s="3">
        <f>ROUND(E252 * 1.08 * IFERROR(XLOOKUP(B252, DM_DinhMuc_TT20!$B:$B, DM_DinhMuc_TT20!$G:$G, 150000), 150000), 0)</f>
        <v/>
      </c>
      <c r="M252" s="3">
        <f>ROUND(E252 * 1.10 * IFERROR(XLOOKUP(B252, DM_DinhMuc_TT20!$B:$B, DM_DinhMuc_TT20!$H:$H, 25000), 25000), 0)</f>
        <v/>
      </c>
      <c r="N252" s="3">
        <f>ROUND(E252 * IFERROR(XLOOKUP(B252, DM_DinhMuc_TT20!$B:$B, DM_DinhMuc_TT20!$I:$I, 80000), 80000), 0)</f>
        <v/>
      </c>
      <c r="O252" s="3" t="n">
        <v>0</v>
      </c>
      <c r="P252" s="3">
        <f>K252+L252+M252+N252+O252</f>
        <v/>
      </c>
      <c r="Q252" s="3">
        <f>IF(E252&gt;0, ROUND(P252/E252, 0), 0)</f>
        <v/>
      </c>
    </row>
    <row r="253">
      <c r="A253" s="2" t="n">
        <v>249</v>
      </c>
      <c r="B253" s="2" t="inlineStr">
        <is>
          <t>CT8b</t>
        </is>
      </c>
      <c r="C253" s="2" t="inlineStr">
        <is>
          <t>Zn</t>
        </is>
      </c>
      <c r="D253" s="2" t="inlineStr">
        <is>
          <t>mg/l</t>
        </is>
      </c>
      <c r="E253" s="2" t="n">
        <v>4</v>
      </c>
      <c r="F253" s="2" t="n">
        <v>1</v>
      </c>
      <c r="G253" s="2">
        <f>IFERROR(XLOOKUP(B253, DM_DinhMuc_TT20!$B:$B, DM_DinhMuc_TT20!$F:$F, 0.8), 0.8)</f>
        <v/>
      </c>
      <c r="H253" s="2">
        <f>ROUND((G253 * 0.4 * 1.2) / IF(F253&gt;0, F253, 1), 4)</f>
        <v/>
      </c>
      <c r="I253" s="2">
        <f>ROUND(G253 * 0.6, 4)</f>
        <v/>
      </c>
      <c r="J253" s="2">
        <f>DM_GiaVatTu!$E$8</f>
        <v/>
      </c>
      <c r="K253" s="2">
        <f>ROUND((H253 + I253) * J253 * E253, 0)</f>
        <v/>
      </c>
      <c r="L253" s="2">
        <f>ROUND(E253 * 1.08 * IFERROR(XLOOKUP(B253, DM_DinhMuc_TT20!$B:$B, DM_DinhMuc_TT20!$G:$G, 150000), 150000), 0)</f>
        <v/>
      </c>
      <c r="M253" s="2">
        <f>ROUND(E253 * 1.10 * IFERROR(XLOOKUP(B253, DM_DinhMuc_TT20!$B:$B, DM_DinhMuc_TT20!$H:$H, 25000), 25000), 0)</f>
        <v/>
      </c>
      <c r="N253" s="2">
        <f>ROUND(E253 * IFERROR(XLOOKUP(B253, DM_DinhMuc_TT20!$B:$B, DM_DinhMuc_TT20!$I:$I, 80000), 80000), 0)</f>
        <v/>
      </c>
      <c r="O253" s="2" t="n">
        <v>0</v>
      </c>
      <c r="P253" s="2">
        <f>K253+L253+M253+N253+O253</f>
        <v/>
      </c>
      <c r="Q253" s="2">
        <f>IF(E253&gt;0, ROUND(P253/E253, 0), 0)</f>
        <v/>
      </c>
    </row>
    <row r="254">
      <c r="A254" s="3" t="n">
        <v>250</v>
      </c>
      <c r="B254" s="3" t="inlineStr">
        <is>
          <t>CT8e</t>
        </is>
      </c>
      <c r="C254" s="3" t="inlineStr">
        <is>
          <t>Ni</t>
        </is>
      </c>
      <c r="D254" s="3" t="inlineStr">
        <is>
          <t>mg/l</t>
        </is>
      </c>
      <c r="E254" s="3" t="n">
        <v>4</v>
      </c>
      <c r="F254" s="3" t="n">
        <v>1</v>
      </c>
      <c r="G254" s="3">
        <f>IFERROR(XLOOKUP(B254, DM_DinhMuc_TT20!$B:$B, DM_DinhMuc_TT20!$F:$F, 0.8), 0.8)</f>
        <v/>
      </c>
      <c r="H254" s="3">
        <f>ROUND((G254 * 0.4 * 1.2) / IF(F254&gt;0, F254, 1), 4)</f>
        <v/>
      </c>
      <c r="I254" s="3">
        <f>ROUND(G254 * 0.6, 4)</f>
        <v/>
      </c>
      <c r="J254" s="3">
        <f>DM_GiaVatTu!$E$8</f>
        <v/>
      </c>
      <c r="K254" s="3">
        <f>ROUND((H254 + I254) * J254 * E254, 0)</f>
        <v/>
      </c>
      <c r="L254" s="3">
        <f>ROUND(E254 * 1.08 * IFERROR(XLOOKUP(B254, DM_DinhMuc_TT20!$B:$B, DM_DinhMuc_TT20!$G:$G, 150000), 150000), 0)</f>
        <v/>
      </c>
      <c r="M254" s="3">
        <f>ROUND(E254 * 1.10 * IFERROR(XLOOKUP(B254, DM_DinhMuc_TT20!$B:$B, DM_DinhMuc_TT20!$H:$H, 25000), 25000), 0)</f>
        <v/>
      </c>
      <c r="N254" s="3">
        <f>ROUND(E254 * IFERROR(XLOOKUP(B254, DM_DinhMuc_TT20!$B:$B, DM_DinhMuc_TT20!$I:$I, 80000), 80000), 0)</f>
        <v/>
      </c>
      <c r="O254" s="3" t="n">
        <v>0</v>
      </c>
      <c r="P254" s="3">
        <f>K254+L254+M254+N254+O254</f>
        <v/>
      </c>
      <c r="Q254" s="3">
        <f>IF(E254&gt;0, ROUND(P254/E254, 0), 0)</f>
        <v/>
      </c>
    </row>
    <row r="255">
      <c r="A255" s="2" t="n">
        <v>251</v>
      </c>
      <c r="B255" s="2" t="inlineStr">
        <is>
          <t>CT8f</t>
        </is>
      </c>
      <c r="C255" s="2" t="inlineStr">
        <is>
          <t>Ba</t>
        </is>
      </c>
      <c r="D255" s="2" t="inlineStr">
        <is>
          <t>mg/l</t>
        </is>
      </c>
      <c r="E255" s="2" t="n">
        <v>4</v>
      </c>
      <c r="F255" s="2" t="n">
        <v>1</v>
      </c>
      <c r="G255" s="2">
        <f>IFERROR(XLOOKUP(B255, DM_DinhMuc_TT20!$B:$B, DM_DinhMuc_TT20!$F:$F, 0.8), 0.8)</f>
        <v/>
      </c>
      <c r="H255" s="2">
        <f>ROUND((G255 * 0.4 * 1.2) / IF(F255&gt;0, F255, 1), 4)</f>
        <v/>
      </c>
      <c r="I255" s="2">
        <f>ROUND(G255 * 0.6, 4)</f>
        <v/>
      </c>
      <c r="J255" s="2">
        <f>DM_GiaVatTu!$E$8</f>
        <v/>
      </c>
      <c r="K255" s="2">
        <f>ROUND((H255 + I255) * J255 * E255, 0)</f>
        <v/>
      </c>
      <c r="L255" s="2">
        <f>ROUND(E255 * 1.08 * IFERROR(XLOOKUP(B255, DM_DinhMuc_TT20!$B:$B, DM_DinhMuc_TT20!$G:$G, 150000), 150000), 0)</f>
        <v/>
      </c>
      <c r="M255" s="2">
        <f>ROUND(E255 * 1.10 * IFERROR(XLOOKUP(B255, DM_DinhMuc_TT20!$B:$B, DM_DinhMuc_TT20!$H:$H, 25000), 25000), 0)</f>
        <v/>
      </c>
      <c r="N255" s="2">
        <f>ROUND(E255 * IFERROR(XLOOKUP(B255, DM_DinhMuc_TT20!$B:$B, DM_DinhMuc_TT20!$I:$I, 80000), 80000), 0)</f>
        <v/>
      </c>
      <c r="O255" s="2" t="n">
        <v>0</v>
      </c>
      <c r="P255" s="2">
        <f>K255+L255+M255+N255+O255</f>
        <v/>
      </c>
      <c r="Q255" s="2">
        <f>IF(E255&gt;0, ROUND(P255/E255, 0), 0)</f>
        <v/>
      </c>
    </row>
    <row r="256">
      <c r="A256" s="3" t="n">
        <v>252</v>
      </c>
      <c r="B256" s="3" t="inlineStr">
        <is>
          <t>CT8g</t>
        </is>
      </c>
      <c r="C256" s="3" t="inlineStr">
        <is>
          <t>Se</t>
        </is>
      </c>
      <c r="D256" s="3" t="inlineStr">
        <is>
          <t>mg/l</t>
        </is>
      </c>
      <c r="E256" s="3" t="n">
        <v>4</v>
      </c>
      <c r="F256" s="3" t="n">
        <v>1</v>
      </c>
      <c r="G256" s="3">
        <f>IFERROR(XLOOKUP(B256, DM_DinhMuc_TT20!$B:$B, DM_DinhMuc_TT20!$F:$F, 0.8), 0.8)</f>
        <v/>
      </c>
      <c r="H256" s="3">
        <f>ROUND((G256 * 0.4 * 1.2) / IF(F256&gt;0, F256, 1), 4)</f>
        <v/>
      </c>
      <c r="I256" s="3">
        <f>ROUND(G256 * 0.6, 4)</f>
        <v/>
      </c>
      <c r="J256" s="3">
        <f>DM_GiaVatTu!$E$8</f>
        <v/>
      </c>
      <c r="K256" s="3">
        <f>ROUND((H256 + I256) * J256 * E256, 0)</f>
        <v/>
      </c>
      <c r="L256" s="3">
        <f>ROUND(E256 * 1.08 * IFERROR(XLOOKUP(B256, DM_DinhMuc_TT20!$B:$B, DM_DinhMuc_TT20!$G:$G, 150000), 150000), 0)</f>
        <v/>
      </c>
      <c r="M256" s="3">
        <f>ROUND(E256 * 1.10 * IFERROR(XLOOKUP(B256, DM_DinhMuc_TT20!$B:$B, DM_DinhMuc_TT20!$H:$H, 25000), 25000), 0)</f>
        <v/>
      </c>
      <c r="N256" s="3">
        <f>ROUND(E256 * IFERROR(XLOOKUP(B256, DM_DinhMuc_TT20!$B:$B, DM_DinhMuc_TT20!$I:$I, 80000), 80000), 0)</f>
        <v/>
      </c>
      <c r="O256" s="3" t="n">
        <v>0</v>
      </c>
      <c r="P256" s="3">
        <f>K256+L256+M256+N256+O256</f>
        <v/>
      </c>
      <c r="Q256" s="3">
        <f>IF(E256&gt;0, ROUND(P256/E256, 0), 0)</f>
        <v/>
      </c>
    </row>
    <row r="257">
      <c r="A257" s="2" t="n">
        <v>253</v>
      </c>
      <c r="B257" s="2" t="inlineStr">
        <is>
          <t>CT8m</t>
        </is>
      </c>
      <c r="C257" s="2" t="inlineStr">
        <is>
          <t>Ag</t>
        </is>
      </c>
      <c r="D257" s="2" t="inlineStr">
        <is>
          <t>mg/l</t>
        </is>
      </c>
      <c r="E257" s="2" t="n">
        <v>4</v>
      </c>
      <c r="F257" s="2" t="n">
        <v>1</v>
      </c>
      <c r="G257" s="2">
        <f>IFERROR(XLOOKUP(B257, DM_DinhMuc_TT20!$B:$B, DM_DinhMuc_TT20!$F:$F, 0.8), 0.8)</f>
        <v/>
      </c>
      <c r="H257" s="2">
        <f>ROUND((G257 * 0.4 * 1.2) / IF(F257&gt;0, F257, 1), 4)</f>
        <v/>
      </c>
      <c r="I257" s="2">
        <f>ROUND(G257 * 0.6, 4)</f>
        <v/>
      </c>
      <c r="J257" s="2">
        <f>DM_GiaVatTu!$E$8</f>
        <v/>
      </c>
      <c r="K257" s="2">
        <f>ROUND((H257 + I257) * J257 * E257, 0)</f>
        <v/>
      </c>
      <c r="L257" s="2">
        <f>ROUND(E257 * 1.08 * IFERROR(XLOOKUP(B257, DM_DinhMuc_TT20!$B:$B, DM_DinhMuc_TT20!$G:$G, 150000), 150000), 0)</f>
        <v/>
      </c>
      <c r="M257" s="2">
        <f>ROUND(E257 * 1.10 * IFERROR(XLOOKUP(B257, DM_DinhMuc_TT20!$B:$B, DM_DinhMuc_TT20!$H:$H, 25000), 25000), 0)</f>
        <v/>
      </c>
      <c r="N257" s="2">
        <f>ROUND(E257 * IFERROR(XLOOKUP(B257, DM_DinhMuc_TT20!$B:$B, DM_DinhMuc_TT20!$I:$I, 80000), 80000), 0)</f>
        <v/>
      </c>
      <c r="O257" s="2" t="n">
        <v>0</v>
      </c>
      <c r="P257" s="2">
        <f>K257+L257+M257+N257+O257</f>
        <v/>
      </c>
      <c r="Q257" s="2">
        <f>IF(E257&gt;0, ROUND(P257/E257, 0), 0)</f>
        <v/>
      </c>
    </row>
    <row r="258">
      <c r="A258" s="6" t="inlineStr">
        <is>
          <t>TỔNG CỘNG</t>
        </is>
      </c>
      <c r="B258" s="6" t="inlineStr"/>
      <c r="C258" s="6" t="inlineStr"/>
      <c r="D258" s="6" t="inlineStr"/>
      <c r="E258" s="6">
        <f>SUM(E5:E257)</f>
        <v/>
      </c>
      <c r="F258" s="6" t="inlineStr"/>
      <c r="G258" s="6" t="inlineStr"/>
      <c r="H258" s="6">
        <f>SUM(H5:H257)</f>
        <v/>
      </c>
      <c r="I258" s="6">
        <f>SUM(I5:I257)</f>
        <v/>
      </c>
      <c r="J258" s="6" t="inlineStr"/>
      <c r="K258" s="6">
        <f>SUM(K5:K257)</f>
        <v/>
      </c>
      <c r="L258" s="6">
        <f>SUM(L5:L257)</f>
        <v/>
      </c>
      <c r="M258" s="6">
        <f>SUM(M5:M257)</f>
        <v/>
      </c>
      <c r="N258" s="6">
        <f>SUM(N5:N257)</f>
        <v/>
      </c>
      <c r="O258" s="6">
        <f>SUM(O5:O257)</f>
        <v/>
      </c>
      <c r="P258" s="6">
        <f>SUM(P5:P257)</f>
        <v/>
      </c>
      <c r="Q258" 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57"/>
  <sheetViews>
    <sheetView workbookViewId="0">
      <selection activeCell="A1" sqref="A1"/>
    </sheetView>
  </sheetViews>
  <sheetFormatPr baseColWidth="8" defaultRowHeight="15"/>
  <cols>
    <col width="45" customWidth="1" min="1" max="1"/>
    <col width="15" customWidth="1" min="2" max="2"/>
    <col width="45" customWidth="1" min="3" max="3"/>
    <col width="18" customWidth="1" min="4" max="4"/>
    <col width="45" customWidth="1" min="5" max="5"/>
    <col width="45" customWidth="1" min="6" max="6"/>
    <col width="45" customWidth="1" min="7" max="7"/>
    <col width="45" customWidth="1" min="8" max="8"/>
    <col width="42" customWidth="1" min="9" max="9"/>
    <col width="45" customWidth="1" min="10" max="10"/>
  </cols>
  <sheetData>
    <row r="1">
      <c r="A1" t="inlineStr">
        <is>
          <t>BẢNG CHIẾT TÍNH ĐƠN GIÁ CHI TIẾT 1 ĐƠN VỊ MẪU QUAN TRẮC MÔI TRƯỜNG</t>
        </is>
      </c>
    </row>
    <row r="2">
      <c r="A2" t="inlineStr">
        <is>
          <t>(Phục vụ in ấn, kẹp hồ sơ nghiệm thu thanh quyết toán và trình Hội đồng Thẩm định)</t>
        </is>
      </c>
    </row>
    <row r="3"/>
    <row r="4">
      <c r="A4" s="1" t="inlineStr">
        <is>
          <t>STT</t>
        </is>
      </c>
      <c r="B4" s="1" t="inlineStr">
        <is>
          <t>Mã Hiệu TT20</t>
        </is>
      </c>
      <c r="C4" s="1" t="inlineStr">
        <is>
          <t>Tên Thông Số Quan Trắc</t>
        </is>
      </c>
      <c r="D4" s="1" t="inlineStr">
        <is>
          <t>ĐVT</t>
        </is>
      </c>
      <c r="E4" s="1" t="inlineStr">
        <is>
          <t>ĐG Nhân Công 1 Mẫu</t>
        </is>
      </c>
      <c r="F4" s="1" t="inlineStr">
        <is>
          <t>ĐG Vật Liệu 1 Mẫu</t>
        </is>
      </c>
      <c r="G4" s="1" t="inlineStr">
        <is>
          <t>ĐG Dụng Cụ 1 Mẫu</t>
        </is>
      </c>
      <c r="H4" s="1" t="inlineStr">
        <is>
          <t>ĐG Thiết Bị 1 Mẫu</t>
        </is>
      </c>
      <c r="I4" s="1" t="inlineStr">
        <is>
          <t>Cộng Chi Phí Trực Tiếp 1 Mẫu (Đồng/mẫu)</t>
        </is>
      </c>
      <c r="J4" s="1" t="inlineStr">
        <is>
          <t>Ghi Chú Công Đoạn</t>
        </is>
      </c>
    </row>
    <row r="5">
      <c r="A5" s="2" t="n">
        <v>1</v>
      </c>
      <c r="B5" s="2" t="inlineStr">
        <is>
          <t>KK1a</t>
        </is>
      </c>
      <c r="C5" s="2" t="inlineStr">
        <is>
          <t>Nhiệt độ</t>
        </is>
      </c>
      <c r="D5" s="2" t="inlineStr">
        <is>
          <t>0C</t>
        </is>
      </c>
      <c r="E5" s="2">
        <f>IF(DuToan!E5&gt;0, ROUND(DuToan!K5/DuToan!E5, 0), 0)</f>
        <v/>
      </c>
      <c r="F5" s="2">
        <f>IF(DuToan!E5&gt;0, ROUND(DuToan!L5/DuToan!E5, 0), 0)</f>
        <v/>
      </c>
      <c r="G5" s="2">
        <f>IF(DuToan!E5&gt;0, ROUND(DuToan!M5/DuToan!E5, 0), 0)</f>
        <v/>
      </c>
      <c r="H5" s="2">
        <f>IF(DuToan!E5&gt;0, ROUND(DuToan!N5/DuToan!E5, 0), 0)</f>
        <v/>
      </c>
      <c r="I5" s="2">
        <f>E5+F5+G5+H5</f>
        <v/>
      </c>
      <c r="J5" s="2" t="inlineStr">
        <is>
          <t>Bao gồm lấy mẫu hiện trường và phân tích phòng thí nghiệm</t>
        </is>
      </c>
    </row>
    <row r="6">
      <c r="A6" s="3" t="n">
        <v>2</v>
      </c>
      <c r="B6" s="3" t="inlineStr">
        <is>
          <t>KK1b</t>
        </is>
      </c>
      <c r="C6" s="3" t="inlineStr">
        <is>
          <t>Độ ẩm</t>
        </is>
      </c>
      <c r="D6" s="3" t="inlineStr">
        <is>
          <t>%</t>
        </is>
      </c>
      <c r="E6" s="3">
        <f>IF(DuToan!E6&gt;0, ROUND(DuToan!K6/DuToan!E6, 0), 0)</f>
        <v/>
      </c>
      <c r="F6" s="3">
        <f>IF(DuToan!E6&gt;0, ROUND(DuToan!L6/DuToan!E6, 0), 0)</f>
        <v/>
      </c>
      <c r="G6" s="3">
        <f>IF(DuToan!E6&gt;0, ROUND(DuToan!M6/DuToan!E6, 0), 0)</f>
        <v/>
      </c>
      <c r="H6" s="3">
        <f>IF(DuToan!E6&gt;0, ROUND(DuToan!N6/DuToan!E6, 0), 0)</f>
        <v/>
      </c>
      <c r="I6" s="3">
        <f>E6+F6+G6+H6</f>
        <v/>
      </c>
      <c r="J6" s="3" t="inlineStr">
        <is>
          <t>Bao gồm lấy mẫu hiện trường và phân tích phòng thí nghiệm</t>
        </is>
      </c>
    </row>
    <row r="7">
      <c r="A7" s="2" t="n">
        <v>3</v>
      </c>
      <c r="B7" s="2" t="inlineStr">
        <is>
          <t>KK2b</t>
        </is>
      </c>
      <c r="C7" s="2" t="inlineStr">
        <is>
          <t>Hướng gió</t>
        </is>
      </c>
      <c r="D7" s="2" t="inlineStr">
        <is>
          <t>-</t>
        </is>
      </c>
      <c r="E7" s="2">
        <f>IF(DuToan!E7&gt;0, ROUND(DuToan!K7/DuToan!E7, 0), 0)</f>
        <v/>
      </c>
      <c r="F7" s="2">
        <f>IF(DuToan!E7&gt;0, ROUND(DuToan!L7/DuToan!E7, 0), 0)</f>
        <v/>
      </c>
      <c r="G7" s="2">
        <f>IF(DuToan!E7&gt;0, ROUND(DuToan!M7/DuToan!E7, 0), 0)</f>
        <v/>
      </c>
      <c r="H7" s="2">
        <f>IF(DuToan!E7&gt;0, ROUND(DuToan!N7/DuToan!E7, 0), 0)</f>
        <v/>
      </c>
      <c r="I7" s="2">
        <f>E7+F7+G7+H7</f>
        <v/>
      </c>
      <c r="J7" s="2" t="inlineStr">
        <is>
          <t>Bao gồm lấy mẫu hiện trường và phân tích phòng thí nghiệm</t>
        </is>
      </c>
    </row>
    <row r="8">
      <c r="A8" s="3" t="n">
        <v>4</v>
      </c>
      <c r="B8" s="3" t="inlineStr">
        <is>
          <t>KK2a</t>
        </is>
      </c>
      <c r="C8" s="3" t="inlineStr">
        <is>
          <t>Tốc độ gió</t>
        </is>
      </c>
      <c r="D8" s="3" t="inlineStr">
        <is>
          <t>m/s</t>
        </is>
      </c>
      <c r="E8" s="3">
        <f>IF(DuToan!E8&gt;0, ROUND(DuToan!K8/DuToan!E8, 0), 0)</f>
        <v/>
      </c>
      <c r="F8" s="3">
        <f>IF(DuToan!E8&gt;0, ROUND(DuToan!L8/DuToan!E8, 0), 0)</f>
        <v/>
      </c>
      <c r="G8" s="3">
        <f>IF(DuToan!E8&gt;0, ROUND(DuToan!M8/DuToan!E8, 0), 0)</f>
        <v/>
      </c>
      <c r="H8" s="3">
        <f>IF(DuToan!E8&gt;0, ROUND(DuToan!N8/DuToan!E8, 0), 0)</f>
        <v/>
      </c>
      <c r="I8" s="3">
        <f>E8+F8+G8+H8</f>
        <v/>
      </c>
      <c r="J8" s="3" t="inlineStr">
        <is>
          <t>Bao gồm lấy mẫu hiện trường và phân tích phòng thí nghiệm</t>
        </is>
      </c>
    </row>
    <row r="9">
      <c r="A9" s="2" t="n">
        <v>5</v>
      </c>
      <c r="B9" s="2" t="inlineStr">
        <is>
          <t>TO1a</t>
        </is>
      </c>
      <c r="C9" s="2" t="inlineStr">
        <is>
          <t>Tiếng ồn</t>
        </is>
      </c>
      <c r="D9" s="2" t="inlineStr">
        <is>
          <t>dBA</t>
        </is>
      </c>
      <c r="E9" s="2">
        <f>IF(DuToan!E9&gt;0, ROUND(DuToan!K9/DuToan!E9, 0), 0)</f>
        <v/>
      </c>
      <c r="F9" s="2">
        <f>IF(DuToan!E9&gt;0, ROUND(DuToan!L9/DuToan!E9, 0), 0)</f>
        <v/>
      </c>
      <c r="G9" s="2">
        <f>IF(DuToan!E9&gt;0, ROUND(DuToan!M9/DuToan!E9, 0), 0)</f>
        <v/>
      </c>
      <c r="H9" s="2">
        <f>IF(DuToan!E9&gt;0, ROUND(DuToan!N9/DuToan!E9, 0), 0)</f>
        <v/>
      </c>
      <c r="I9" s="2">
        <f>E9+F9+G9+H9</f>
        <v/>
      </c>
      <c r="J9" s="2" t="inlineStr">
        <is>
          <t>Bao gồm lấy mẫu hiện trường và phân tích phòng thí nghiệm</t>
        </is>
      </c>
    </row>
    <row r="10">
      <c r="A10" s="3" t="n">
        <v>6</v>
      </c>
      <c r="B10" s="3" t="inlineStr">
        <is>
          <t>ĐR01</t>
        </is>
      </c>
      <c r="C10" s="3" t="inlineStr">
        <is>
          <t>Độ rung</t>
        </is>
      </c>
      <c r="D10" s="3" t="inlineStr">
        <is>
          <t>dB</t>
        </is>
      </c>
      <c r="E10" s="3">
        <f>IF(DuToan!E10&gt;0, ROUND(DuToan!K10/DuToan!E10, 0), 0)</f>
        <v/>
      </c>
      <c r="F10" s="3">
        <f>IF(DuToan!E10&gt;0, ROUND(DuToan!L10/DuToan!E10, 0), 0)</f>
        <v/>
      </c>
      <c r="G10" s="3">
        <f>IF(DuToan!E10&gt;0, ROUND(DuToan!M10/DuToan!E10, 0), 0)</f>
        <v/>
      </c>
      <c r="H10" s="3">
        <f>IF(DuToan!E10&gt;0, ROUND(DuToan!N10/DuToan!E10, 0), 0)</f>
        <v/>
      </c>
      <c r="I10" s="3">
        <f>E10+F10+G10+H10</f>
        <v/>
      </c>
      <c r="J10" s="3" t="inlineStr">
        <is>
          <t>Bao gồm lấy mẫu hiện trường và phân tích phòng thí nghiệm</t>
        </is>
      </c>
    </row>
    <row r="11">
      <c r="A11" s="2" t="n">
        <v>7</v>
      </c>
      <c r="B11" s="2" t="inlineStr">
        <is>
          <t>KK4a</t>
        </is>
      </c>
      <c r="C11" s="2" t="inlineStr">
        <is>
          <t>Tổng bụi lơ lửng</t>
        </is>
      </c>
      <c r="D11" s="2" t="inlineStr">
        <is>
          <t>µg/Nm3</t>
        </is>
      </c>
      <c r="E11" s="2">
        <f>IF(DuToan!E11&gt;0, ROUND(DuToan!K11/DuToan!E11, 0), 0)</f>
        <v/>
      </c>
      <c r="F11" s="2">
        <f>IF(DuToan!E11&gt;0, ROUND(DuToan!L11/DuToan!E11, 0), 0)</f>
        <v/>
      </c>
      <c r="G11" s="2">
        <f>IF(DuToan!E11&gt;0, ROUND(DuToan!M11/DuToan!E11, 0), 0)</f>
        <v/>
      </c>
      <c r="H11" s="2">
        <f>IF(DuToan!E11&gt;0, ROUND(DuToan!N11/DuToan!E11, 0), 0)</f>
        <v/>
      </c>
      <c r="I11" s="2">
        <f>E11+F11+G11+H11</f>
        <v/>
      </c>
      <c r="J11" s="2" t="inlineStr">
        <is>
          <t>Bao gồm lấy mẫu hiện trường và phân tích phòng thí nghiệm</t>
        </is>
      </c>
    </row>
    <row r="12">
      <c r="A12" s="3" t="n">
        <v>8</v>
      </c>
      <c r="B12" s="3" t="inlineStr">
        <is>
          <t>KK4c</t>
        </is>
      </c>
      <c r="C12" s="3" t="inlineStr">
        <is>
          <t>Bụi PM10</t>
        </is>
      </c>
      <c r="D12" s="3" t="inlineStr">
        <is>
          <t>µg/Nm3</t>
        </is>
      </c>
      <c r="E12" s="3">
        <f>IF(DuToan!E12&gt;0, ROUND(DuToan!K12/DuToan!E12, 0), 0)</f>
        <v/>
      </c>
      <c r="F12" s="3">
        <f>IF(DuToan!E12&gt;0, ROUND(DuToan!L12/DuToan!E12, 0), 0)</f>
        <v/>
      </c>
      <c r="G12" s="3">
        <f>IF(DuToan!E12&gt;0, ROUND(DuToan!M12/DuToan!E12, 0), 0)</f>
        <v/>
      </c>
      <c r="H12" s="3">
        <f>IF(DuToan!E12&gt;0, ROUND(DuToan!N12/DuToan!E12, 0), 0)</f>
        <v/>
      </c>
      <c r="I12" s="3">
        <f>E12+F12+G12+H12</f>
        <v/>
      </c>
      <c r="J12" s="3" t="inlineStr">
        <is>
          <t>Bao gồm lấy mẫu hiện trường và phân tích phòng thí nghiệm</t>
        </is>
      </c>
    </row>
    <row r="13">
      <c r="A13" s="2" t="n">
        <v>9</v>
      </c>
      <c r="B13" s="2" t="inlineStr">
        <is>
          <t>KK7</t>
        </is>
      </c>
      <c r="C13" s="2" t="inlineStr">
        <is>
          <t>SO 2</t>
        </is>
      </c>
      <c r="D13" s="2" t="inlineStr">
        <is>
          <t>µg/Nm3</t>
        </is>
      </c>
      <c r="E13" s="2">
        <f>IF(DuToan!E13&gt;0, ROUND(DuToan!K13/DuToan!E13, 0), 0)</f>
        <v/>
      </c>
      <c r="F13" s="2">
        <f>IF(DuToan!E13&gt;0, ROUND(DuToan!L13/DuToan!E13, 0), 0)</f>
        <v/>
      </c>
      <c r="G13" s="2">
        <f>IF(DuToan!E13&gt;0, ROUND(DuToan!M13/DuToan!E13, 0), 0)</f>
        <v/>
      </c>
      <c r="H13" s="2">
        <f>IF(DuToan!E13&gt;0, ROUND(DuToan!N13/DuToan!E13, 0), 0)</f>
        <v/>
      </c>
      <c r="I13" s="2">
        <f>E13+F13+G13+H13</f>
        <v/>
      </c>
      <c r="J13" s="2" t="inlineStr">
        <is>
          <t>Bao gồm lấy mẫu hiện trường và phân tích phòng thí nghiệm</t>
        </is>
      </c>
    </row>
    <row r="14">
      <c r="A14" s="3" t="n">
        <v>10</v>
      </c>
      <c r="B14" s="3" t="inlineStr">
        <is>
          <t>KK6</t>
        </is>
      </c>
      <c r="C14" s="3" t="inlineStr">
        <is>
          <t>NO 2</t>
        </is>
      </c>
      <c r="D14" s="3" t="inlineStr">
        <is>
          <t>µg/Nm3</t>
        </is>
      </c>
      <c r="E14" s="3">
        <f>IF(DuToan!E14&gt;0, ROUND(DuToan!K14/DuToan!E14, 0), 0)</f>
        <v/>
      </c>
      <c r="F14" s="3">
        <f>IF(DuToan!E14&gt;0, ROUND(DuToan!L14/DuToan!E14, 0), 0)</f>
        <v/>
      </c>
      <c r="G14" s="3">
        <f>IF(DuToan!E14&gt;0, ROUND(DuToan!M14/DuToan!E14, 0), 0)</f>
        <v/>
      </c>
      <c r="H14" s="3">
        <f>IF(DuToan!E14&gt;0, ROUND(DuToan!N14/DuToan!E14, 0), 0)</f>
        <v/>
      </c>
      <c r="I14" s="3">
        <f>E14+F14+G14+H14</f>
        <v/>
      </c>
      <c r="J14" s="3" t="inlineStr">
        <is>
          <t>Bao gồm lấy mẫu hiện trường và phân tích phòng thí nghiệm</t>
        </is>
      </c>
    </row>
    <row r="15">
      <c r="A15" s="2" t="n">
        <v>11</v>
      </c>
      <c r="B15" s="2" t="inlineStr">
        <is>
          <t>KK5a</t>
        </is>
      </c>
      <c r="C15" s="2" t="inlineStr">
        <is>
          <t>CO</t>
        </is>
      </c>
      <c r="D15" s="2" t="inlineStr">
        <is>
          <t>µg/Nm3</t>
        </is>
      </c>
      <c r="E15" s="2">
        <f>IF(DuToan!E15&gt;0, ROUND(DuToan!K15/DuToan!E15, 0), 0)</f>
        <v/>
      </c>
      <c r="F15" s="2">
        <f>IF(DuToan!E15&gt;0, ROUND(DuToan!L15/DuToan!E15, 0), 0)</f>
        <v/>
      </c>
      <c r="G15" s="2">
        <f>IF(DuToan!E15&gt;0, ROUND(DuToan!M15/DuToan!E15, 0), 0)</f>
        <v/>
      </c>
      <c r="H15" s="2">
        <f>IF(DuToan!E15&gt;0, ROUND(DuToan!N15/DuToan!E15, 0), 0)</f>
        <v/>
      </c>
      <c r="I15" s="2">
        <f>E15+F15+G15+H15</f>
        <v/>
      </c>
      <c r="J15" s="2" t="inlineStr">
        <is>
          <t>Bao gồm lấy mẫu hiện trường và phân tích phòng thí nghiệm</t>
        </is>
      </c>
    </row>
    <row r="16">
      <c r="A16" s="3" t="n">
        <v>12</v>
      </c>
      <c r="B16" s="3" t="inlineStr">
        <is>
          <t>NT5b</t>
        </is>
      </c>
      <c r="C16" s="3" t="inlineStr">
        <is>
          <t>COD</t>
        </is>
      </c>
      <c r="D16" s="3" t="inlineStr">
        <is>
          <t>mg/l</t>
        </is>
      </c>
      <c r="E16" s="3">
        <f>IF(DuToan!E16&gt;0, ROUND(DuToan!K16/DuToan!E16, 0), 0)</f>
        <v/>
      </c>
      <c r="F16" s="3">
        <f>IF(DuToan!E16&gt;0, ROUND(DuToan!L16/DuToan!E16, 0), 0)</f>
        <v/>
      </c>
      <c r="G16" s="3">
        <f>IF(DuToan!E16&gt;0, ROUND(DuToan!M16/DuToan!E16, 0), 0)</f>
        <v/>
      </c>
      <c r="H16" s="3">
        <f>IF(DuToan!E16&gt;0, ROUND(DuToan!N16/DuToan!E16, 0), 0)</f>
        <v/>
      </c>
      <c r="I16" s="3">
        <f>E16+F16+G16+H16</f>
        <v/>
      </c>
      <c r="J16" s="3" t="inlineStr">
        <is>
          <t>Bao gồm lấy mẫu hiện trường và phân tích phòng thí nghiệm</t>
        </is>
      </c>
    </row>
    <row r="17">
      <c r="A17" s="2" t="n">
        <v>13</v>
      </c>
      <c r="B17" s="2" t="inlineStr">
        <is>
          <t>NT6</t>
        </is>
      </c>
      <c r="C17" s="2" t="inlineStr">
        <is>
          <t>TSS</t>
        </is>
      </c>
      <c r="D17" s="2" t="inlineStr">
        <is>
          <t>mg/l</t>
        </is>
      </c>
      <c r="E17" s="2">
        <f>IF(DuToan!E17&gt;0, ROUND(DuToan!K17/DuToan!E17, 0), 0)</f>
        <v/>
      </c>
      <c r="F17" s="2">
        <f>IF(DuToan!E17&gt;0, ROUND(DuToan!L17/DuToan!E17, 0), 0)</f>
        <v/>
      </c>
      <c r="G17" s="2">
        <f>IF(DuToan!E17&gt;0, ROUND(DuToan!M17/DuToan!E17, 0), 0)</f>
        <v/>
      </c>
      <c r="H17" s="2">
        <f>IF(DuToan!E17&gt;0, ROUND(DuToan!N17/DuToan!E17, 0), 0)</f>
        <v/>
      </c>
      <c r="I17" s="2">
        <f>E17+F17+G17+H17</f>
        <v/>
      </c>
      <c r="J17" s="2" t="inlineStr">
        <is>
          <t>Bao gồm lấy mẫu hiện trường và phân tích phòng thí nghiệm</t>
        </is>
      </c>
    </row>
    <row r="18">
      <c r="A18" s="3" t="n">
        <v>14</v>
      </c>
      <c r="B18" s="3" t="inlineStr">
        <is>
          <t>NT2</t>
        </is>
      </c>
      <c r="C18" s="3" t="inlineStr">
        <is>
          <t>Photphat (PO 3- 4 tính theo Nitơ)</t>
        </is>
      </c>
      <c r="D18" s="3" t="inlineStr">
        <is>
          <t>mg/l</t>
        </is>
      </c>
      <c r="E18" s="3">
        <f>IF(DuToan!E18&gt;0, ROUND(DuToan!K18/DuToan!E18, 0), 0)</f>
        <v/>
      </c>
      <c r="F18" s="3">
        <f>IF(DuToan!E18&gt;0, ROUND(DuToan!L18/DuToan!E18, 0), 0)</f>
        <v/>
      </c>
      <c r="G18" s="3">
        <f>IF(DuToan!E18&gt;0, ROUND(DuToan!M18/DuToan!E18, 0), 0)</f>
        <v/>
      </c>
      <c r="H18" s="3">
        <f>IF(DuToan!E18&gt;0, ROUND(DuToan!N18/DuToan!E18, 0), 0)</f>
        <v/>
      </c>
      <c r="I18" s="3">
        <f>E18+F18+G18+H18</f>
        <v/>
      </c>
      <c r="J18" s="3" t="inlineStr">
        <is>
          <t>Bao gồm lấy mẫu hiện trường và phân tích phòng thí nghiệm</t>
        </is>
      </c>
    </row>
    <row r="19">
      <c r="A19" s="2" t="n">
        <v>15</v>
      </c>
      <c r="B19" s="2" t="inlineStr">
        <is>
          <t>NT10h</t>
        </is>
      </c>
      <c r="C19" s="2" t="inlineStr">
        <is>
          <t>Fluoride</t>
        </is>
      </c>
      <c r="D19" s="2" t="inlineStr">
        <is>
          <t>mg/l</t>
        </is>
      </c>
      <c r="E19" s="2">
        <f>IF(DuToan!E19&gt;0, ROUND(DuToan!K19/DuToan!E19, 0), 0)</f>
        <v/>
      </c>
      <c r="F19" s="2">
        <f>IF(DuToan!E19&gt;0, ROUND(DuToan!L19/DuToan!E19, 0), 0)</f>
        <v/>
      </c>
      <c r="G19" s="2">
        <f>IF(DuToan!E19&gt;0, ROUND(DuToan!M19/DuToan!E19, 0), 0)</f>
        <v/>
      </c>
      <c r="H19" s="2">
        <f>IF(DuToan!E19&gt;0, ROUND(DuToan!N19/DuToan!E19, 0), 0)</f>
        <v/>
      </c>
      <c r="I19" s="2">
        <f>E19+F19+G19+H19</f>
        <v/>
      </c>
      <c r="J19" s="2" t="inlineStr">
        <is>
          <t>Bao gồm lấy mẫu hiện trường và phân tích phòng thí nghiệm</t>
        </is>
      </c>
    </row>
    <row r="20">
      <c r="A20" s="3" t="n">
        <v>16</v>
      </c>
      <c r="B20" s="3" t="inlineStr">
        <is>
          <t>NT10l1</t>
        </is>
      </c>
      <c r="C20" s="3" t="inlineStr">
        <is>
          <t>Asen</t>
        </is>
      </c>
      <c r="D20" s="3" t="inlineStr">
        <is>
          <t>mg/l</t>
        </is>
      </c>
      <c r="E20" s="3">
        <f>IF(DuToan!E20&gt;0, ROUND(DuToan!K20/DuToan!E20, 0), 0)</f>
        <v/>
      </c>
      <c r="F20" s="3">
        <f>IF(DuToan!E20&gt;0, ROUND(DuToan!L20/DuToan!E20, 0), 0)</f>
        <v/>
      </c>
      <c r="G20" s="3">
        <f>IF(DuToan!E20&gt;0, ROUND(DuToan!M20/DuToan!E20, 0), 0)</f>
        <v/>
      </c>
      <c r="H20" s="3">
        <f>IF(DuToan!E20&gt;0, ROUND(DuToan!N20/DuToan!E20, 0), 0)</f>
        <v/>
      </c>
      <c r="I20" s="3">
        <f>E20+F20+G20+H20</f>
        <v/>
      </c>
      <c r="J20" s="3" t="inlineStr">
        <is>
          <t>Bao gồm lấy mẫu hiện trường và phân tích phòng thí nghiệm</t>
        </is>
      </c>
    </row>
    <row r="21">
      <c r="A21" s="2" t="n">
        <v>17</v>
      </c>
      <c r="B21" s="2" t="inlineStr">
        <is>
          <t>NT10l2</t>
        </is>
      </c>
      <c r="C21" s="2" t="inlineStr">
        <is>
          <t>Thủy ngân (Hg)</t>
        </is>
      </c>
      <c r="D21" s="2" t="inlineStr">
        <is>
          <t>mg/l</t>
        </is>
      </c>
      <c r="E21" s="2">
        <f>IF(DuToan!E21&gt;0, ROUND(DuToan!K21/DuToan!E21, 0), 0)</f>
        <v/>
      </c>
      <c r="F21" s="2">
        <f>IF(DuToan!E21&gt;0, ROUND(DuToan!L21/DuToan!E21, 0), 0)</f>
        <v/>
      </c>
      <c r="G21" s="2">
        <f>IF(DuToan!E21&gt;0, ROUND(DuToan!M21/DuToan!E21, 0), 0)</f>
        <v/>
      </c>
      <c r="H21" s="2">
        <f>IF(DuToan!E21&gt;0, ROUND(DuToan!N21/DuToan!E21, 0), 0)</f>
        <v/>
      </c>
      <c r="I21" s="2">
        <f>E21+F21+G21+H21</f>
        <v/>
      </c>
      <c r="J21" s="2" t="inlineStr">
        <is>
          <t>Bao gồm lấy mẫu hiện trường và phân tích phòng thí nghiệm</t>
        </is>
      </c>
    </row>
    <row r="22">
      <c r="A22" s="3" t="n">
        <v>18</v>
      </c>
      <c r="B22" s="3" t="inlineStr">
        <is>
          <t>NT10k1</t>
        </is>
      </c>
      <c r="C22" s="3" t="inlineStr">
        <is>
          <t>Chì</t>
        </is>
      </c>
      <c r="D22" s="3" t="inlineStr">
        <is>
          <t>mg/l</t>
        </is>
      </c>
      <c r="E22" s="3">
        <f>IF(DuToan!E22&gt;0, ROUND(DuToan!K22/DuToan!E22, 0), 0)</f>
        <v/>
      </c>
      <c r="F22" s="3">
        <f>IF(DuToan!E22&gt;0, ROUND(DuToan!L22/DuToan!E22, 0), 0)</f>
        <v/>
      </c>
      <c r="G22" s="3">
        <f>IF(DuToan!E22&gt;0, ROUND(DuToan!M22/DuToan!E22, 0), 0)</f>
        <v/>
      </c>
      <c r="H22" s="3">
        <f>IF(DuToan!E22&gt;0, ROUND(DuToan!N22/DuToan!E22, 0), 0)</f>
        <v/>
      </c>
      <c r="I22" s="3">
        <f>E22+F22+G22+H22</f>
        <v/>
      </c>
      <c r="J22" s="3" t="inlineStr">
        <is>
          <t>Bao gồm lấy mẫu hiện trường và phân tích phòng thí nghiệm</t>
        </is>
      </c>
    </row>
    <row r="23">
      <c r="A23" s="2" t="n">
        <v>19</v>
      </c>
      <c r="B23" s="2" t="inlineStr">
        <is>
          <t>NT10k2</t>
        </is>
      </c>
      <c r="C23" s="2" t="inlineStr">
        <is>
          <t>Cadimi</t>
        </is>
      </c>
      <c r="D23" s="2" t="inlineStr">
        <is>
          <t>mg/l</t>
        </is>
      </c>
      <c r="E23" s="2">
        <f>IF(DuToan!E23&gt;0, ROUND(DuToan!K23/DuToan!E23, 0), 0)</f>
        <v/>
      </c>
      <c r="F23" s="2">
        <f>IF(DuToan!E23&gt;0, ROUND(DuToan!L23/DuToan!E23, 0), 0)</f>
        <v/>
      </c>
      <c r="G23" s="2">
        <f>IF(DuToan!E23&gt;0, ROUND(DuToan!M23/DuToan!E23, 0), 0)</f>
        <v/>
      </c>
      <c r="H23" s="2">
        <f>IF(DuToan!E23&gt;0, ROUND(DuToan!N23/DuToan!E23, 0), 0)</f>
        <v/>
      </c>
      <c r="I23" s="2">
        <f>E23+F23+G23+H23</f>
        <v/>
      </c>
      <c r="J23" s="2" t="inlineStr">
        <is>
          <t>Bao gồm lấy mẫu hiện trường và phân tích phòng thí nghiệm</t>
        </is>
      </c>
    </row>
    <row r="24">
      <c r="A24" s="3" t="n">
        <v>20</v>
      </c>
      <c r="B24" s="3" t="inlineStr">
        <is>
          <t>NT10đ</t>
        </is>
      </c>
      <c r="C24" s="3" t="inlineStr">
        <is>
          <t>Crom (VI)</t>
        </is>
      </c>
      <c r="D24" s="3" t="inlineStr">
        <is>
          <t>mg/l</t>
        </is>
      </c>
      <c r="E24" s="3">
        <f>IF(DuToan!E24&gt;0, ROUND(DuToan!K24/DuToan!E24, 0), 0)</f>
        <v/>
      </c>
      <c r="F24" s="3">
        <f>IF(DuToan!E24&gt;0, ROUND(DuToan!L24/DuToan!E24, 0), 0)</f>
        <v/>
      </c>
      <c r="G24" s="3">
        <f>IF(DuToan!E24&gt;0, ROUND(DuToan!M24/DuToan!E24, 0), 0)</f>
        <v/>
      </c>
      <c r="H24" s="3">
        <f>IF(DuToan!E24&gt;0, ROUND(DuToan!N24/DuToan!E24, 0), 0)</f>
        <v/>
      </c>
      <c r="I24" s="3">
        <f>E24+F24+G24+H24</f>
        <v/>
      </c>
      <c r="J24" s="3" t="inlineStr">
        <is>
          <t>Bao gồm lấy mẫu hiện trường và phân tích phòng thí nghiệm</t>
        </is>
      </c>
    </row>
    <row r="25">
      <c r="A25" s="2" t="n">
        <v>21</v>
      </c>
      <c r="B25" s="2" t="inlineStr">
        <is>
          <t>NT10m5</t>
        </is>
      </c>
      <c r="C25" s="2" t="inlineStr">
        <is>
          <t>Tổng Crom</t>
        </is>
      </c>
      <c r="D25" s="2" t="inlineStr">
        <is>
          <t>mg/l</t>
        </is>
      </c>
      <c r="E25" s="2">
        <f>IF(DuToan!E25&gt;0, ROUND(DuToan!K25/DuToan!E25, 0), 0)</f>
        <v/>
      </c>
      <c r="F25" s="2">
        <f>IF(DuToan!E25&gt;0, ROUND(DuToan!L25/DuToan!E25, 0), 0)</f>
        <v/>
      </c>
      <c r="G25" s="2">
        <f>IF(DuToan!E25&gt;0, ROUND(DuToan!M25/DuToan!E25, 0), 0)</f>
        <v/>
      </c>
      <c r="H25" s="2">
        <f>IF(DuToan!E25&gt;0, ROUND(DuToan!N25/DuToan!E25, 0), 0)</f>
        <v/>
      </c>
      <c r="I25" s="2">
        <f>E25+F25+G25+H25</f>
        <v/>
      </c>
      <c r="J25" s="2" t="inlineStr">
        <is>
          <t>Bao gồm lấy mẫu hiện trường và phân tích phòng thí nghiệm</t>
        </is>
      </c>
    </row>
    <row r="26">
      <c r="A26" s="3" t="n">
        <v>22</v>
      </c>
      <c r="B26" s="3" t="inlineStr">
        <is>
          <t>NT10m1</t>
        </is>
      </c>
      <c r="C26" s="3" t="inlineStr">
        <is>
          <t>Đồng</t>
        </is>
      </c>
      <c r="D26" s="3" t="inlineStr">
        <is>
          <t>mg/l</t>
        </is>
      </c>
      <c r="E26" s="3">
        <f>IF(DuToan!E26&gt;0, ROUND(DuToan!K26/DuToan!E26, 0), 0)</f>
        <v/>
      </c>
      <c r="F26" s="3">
        <f>IF(DuToan!E26&gt;0, ROUND(DuToan!L26/DuToan!E26, 0), 0)</f>
        <v/>
      </c>
      <c r="G26" s="3">
        <f>IF(DuToan!E26&gt;0, ROUND(DuToan!M26/DuToan!E26, 0), 0)</f>
        <v/>
      </c>
      <c r="H26" s="3">
        <f>IF(DuToan!E26&gt;0, ROUND(DuToan!N26/DuToan!E26, 0), 0)</f>
        <v/>
      </c>
      <c r="I26" s="3">
        <f>E26+F26+G26+H26</f>
        <v/>
      </c>
      <c r="J26" s="3" t="inlineStr">
        <is>
          <t>Bao gồm lấy mẫu hiện trường và phân tích phòng thí nghiệm</t>
        </is>
      </c>
    </row>
    <row r="27">
      <c r="A27" s="2" t="n">
        <v>23</v>
      </c>
      <c r="B27" s="2" t="inlineStr">
        <is>
          <t>NT10m2</t>
        </is>
      </c>
      <c r="C27" s="2" t="inlineStr">
        <is>
          <t>Kẽm</t>
        </is>
      </c>
      <c r="D27" s="2" t="inlineStr">
        <is>
          <t>mg/l</t>
        </is>
      </c>
      <c r="E27" s="2">
        <f>IF(DuToan!E27&gt;0, ROUND(DuToan!K27/DuToan!E27, 0), 0)</f>
        <v/>
      </c>
      <c r="F27" s="2">
        <f>IF(DuToan!E27&gt;0, ROUND(DuToan!L27/DuToan!E27, 0), 0)</f>
        <v/>
      </c>
      <c r="G27" s="2">
        <f>IF(DuToan!E27&gt;0, ROUND(DuToan!M27/DuToan!E27, 0), 0)</f>
        <v/>
      </c>
      <c r="H27" s="2">
        <f>IF(DuToan!E27&gt;0, ROUND(DuToan!N27/DuToan!E27, 0), 0)</f>
        <v/>
      </c>
      <c r="I27" s="2">
        <f>E27+F27+G27+H27</f>
        <v/>
      </c>
      <c r="J27" s="2" t="inlineStr">
        <is>
          <t>Bao gồm lấy mẫu hiện trường và phân tích phòng thí nghiệm</t>
        </is>
      </c>
    </row>
    <row r="28">
      <c r="A28" s="3" t="n">
        <v>24</v>
      </c>
      <c r="B28" s="3" t="inlineStr">
        <is>
          <t>NT10m3</t>
        </is>
      </c>
      <c r="C28" s="3" t="inlineStr">
        <is>
          <t>Mangan</t>
        </is>
      </c>
      <c r="D28" s="3" t="inlineStr">
        <is>
          <t>mg/l</t>
        </is>
      </c>
      <c r="E28" s="3">
        <f>IF(DuToan!E28&gt;0, ROUND(DuToan!K28/DuToan!E28, 0), 0)</f>
        <v/>
      </c>
      <c r="F28" s="3">
        <f>IF(DuToan!E28&gt;0, ROUND(DuToan!L28/DuToan!E28, 0), 0)</f>
        <v/>
      </c>
      <c r="G28" s="3">
        <f>IF(DuToan!E28&gt;0, ROUND(DuToan!M28/DuToan!E28, 0), 0)</f>
        <v/>
      </c>
      <c r="H28" s="3">
        <f>IF(DuToan!E28&gt;0, ROUND(DuToan!N28/DuToan!E28, 0), 0)</f>
        <v/>
      </c>
      <c r="I28" s="3">
        <f>E28+F28+G28+H28</f>
        <v/>
      </c>
      <c r="J28" s="3" t="inlineStr">
        <is>
          <t>Bao gồm lấy mẫu hiện trường và phân tích phòng thí nghiệm</t>
        </is>
      </c>
    </row>
    <row r="29">
      <c r="A29" s="2" t="n">
        <v>25</v>
      </c>
      <c r="B29" s="2" t="inlineStr">
        <is>
          <t>NT10m4</t>
        </is>
      </c>
      <c r="C29" s="2" t="inlineStr">
        <is>
          <t>Sắt</t>
        </is>
      </c>
      <c r="D29" s="2" t="inlineStr">
        <is>
          <t>mg/l</t>
        </is>
      </c>
      <c r="E29" s="2">
        <f>IF(DuToan!E29&gt;0, ROUND(DuToan!K29/DuToan!E29, 0), 0)</f>
        <v/>
      </c>
      <c r="F29" s="2">
        <f>IF(DuToan!E29&gt;0, ROUND(DuToan!L29/DuToan!E29, 0), 0)</f>
        <v/>
      </c>
      <c r="G29" s="2">
        <f>IF(DuToan!E29&gt;0, ROUND(DuToan!M29/DuToan!E29, 0), 0)</f>
        <v/>
      </c>
      <c r="H29" s="2">
        <f>IF(DuToan!E29&gt;0, ROUND(DuToan!N29/DuToan!E29, 0), 0)</f>
        <v/>
      </c>
      <c r="I29" s="2">
        <f>E29+F29+G29+H29</f>
        <v/>
      </c>
      <c r="J29" s="2" t="inlineStr">
        <is>
          <t>Bao gồm lấy mẫu hiện trường và phân tích phòng thí nghiệm</t>
        </is>
      </c>
    </row>
    <row r="30">
      <c r="A30" s="3" t="n">
        <v>26</v>
      </c>
      <c r="B30" s="3" t="inlineStr">
        <is>
          <t>NT9</t>
        </is>
      </c>
      <c r="C30" s="3" t="inlineStr">
        <is>
          <t>Xyanua</t>
        </is>
      </c>
      <c r="D30" s="3" t="inlineStr">
        <is>
          <t>mg/l</t>
        </is>
      </c>
      <c r="E30" s="3">
        <f>IF(DuToan!E30&gt;0, ROUND(DuToan!K30/DuToan!E30, 0), 0)</f>
        <v/>
      </c>
      <c r="F30" s="3">
        <f>IF(DuToan!E30&gt;0, ROUND(DuToan!L30/DuToan!E30, 0), 0)</f>
        <v/>
      </c>
      <c r="G30" s="3">
        <f>IF(DuToan!E30&gt;0, ROUND(DuToan!M30/DuToan!E30, 0), 0)</f>
        <v/>
      </c>
      <c r="H30" s="3">
        <f>IF(DuToan!E30&gt;0, ROUND(DuToan!N30/DuToan!E30, 0), 0)</f>
        <v/>
      </c>
      <c r="I30" s="3">
        <f>E30+F30+G30+H30</f>
        <v/>
      </c>
      <c r="J30" s="3" t="inlineStr">
        <is>
          <t>Bao gồm lấy mẫu hiện trường và phân tích phòng thí nghiệm</t>
        </is>
      </c>
    </row>
    <row r="31">
      <c r="A31" s="2" t="n">
        <v>27</v>
      </c>
      <c r="B31" s="2" t="inlineStr">
        <is>
          <t>NT8</t>
        </is>
      </c>
      <c r="C31" s="2" t="inlineStr">
        <is>
          <t>Dầu mỡ khoáng</t>
        </is>
      </c>
      <c r="D31" s="2" t="inlineStr">
        <is>
          <t>mg/l</t>
        </is>
      </c>
      <c r="E31" s="2">
        <f>IF(DuToan!E31&gt;0, ROUND(DuToan!K31/DuToan!E31, 0), 0)</f>
        <v/>
      </c>
      <c r="F31" s="2">
        <f>IF(DuToan!E31&gt;0, ROUND(DuToan!L31/DuToan!E31, 0), 0)</f>
        <v/>
      </c>
      <c r="G31" s="2">
        <f>IF(DuToan!E31&gt;0, ROUND(DuToan!M31/DuToan!E31, 0), 0)</f>
        <v/>
      </c>
      <c r="H31" s="2">
        <f>IF(DuToan!E31&gt;0, ROUND(DuToan!N31/DuToan!E31, 0), 0)</f>
        <v/>
      </c>
      <c r="I31" s="2">
        <f>E31+F31+G31+H31</f>
        <v/>
      </c>
      <c r="J31" s="2" t="inlineStr">
        <is>
          <t>Bao gồm lấy mẫu hiện trường và phân tích phòng thí nghiệm</t>
        </is>
      </c>
    </row>
    <row r="32">
      <c r="A32" s="3" t="n">
        <v>28</v>
      </c>
      <c r="B32" s="3" t="inlineStr">
        <is>
          <t>NT2</t>
        </is>
      </c>
      <c r="C32" s="3" t="inlineStr">
        <is>
          <t>Tổng phenol</t>
        </is>
      </c>
      <c r="D32" s="3" t="inlineStr">
        <is>
          <t>mg/l</t>
        </is>
      </c>
      <c r="E32" s="3">
        <f>IF(DuToan!E32&gt;0, ROUND(DuToan!K32/DuToan!E32, 0), 0)</f>
        <v/>
      </c>
      <c r="F32" s="3">
        <f>IF(DuToan!E32&gt;0, ROUND(DuToan!L32/DuToan!E32, 0), 0)</f>
        <v/>
      </c>
      <c r="G32" s="3">
        <f>IF(DuToan!E32&gt;0, ROUND(DuToan!M32/DuToan!E32, 0), 0)</f>
        <v/>
      </c>
      <c r="H32" s="3">
        <f>IF(DuToan!E32&gt;0, ROUND(DuToan!N32/DuToan!E32, 0), 0)</f>
        <v/>
      </c>
      <c r="I32" s="3">
        <f>E32+F32+G32+H32</f>
        <v/>
      </c>
      <c r="J32" s="3" t="inlineStr">
        <is>
          <t>Bao gồm lấy mẫu hiện trường và phân tích phòng thí nghiệm</t>
        </is>
      </c>
    </row>
    <row r="33">
      <c r="A33" s="2" t="n">
        <v>29</v>
      </c>
      <c r="B33" s="2" t="inlineStr">
        <is>
          <t>NT7a</t>
        </is>
      </c>
      <c r="C33" s="2" t="inlineStr">
        <is>
          <t>Coliform</t>
        </is>
      </c>
      <c r="D33" s="2" t="inlineStr">
        <is>
          <t>Vi khuẩn/ 100ml</t>
        </is>
      </c>
      <c r="E33" s="2">
        <f>IF(DuToan!E33&gt;0, ROUND(DuToan!K33/DuToan!E33, 0), 0)</f>
        <v/>
      </c>
      <c r="F33" s="2">
        <f>IF(DuToan!E33&gt;0, ROUND(DuToan!L33/DuToan!E33, 0), 0)</f>
        <v/>
      </c>
      <c r="G33" s="2">
        <f>IF(DuToan!E33&gt;0, ROUND(DuToan!M33/DuToan!E33, 0), 0)</f>
        <v/>
      </c>
      <c r="H33" s="2">
        <f>IF(DuToan!E33&gt;0, ROUND(DuToan!N33/DuToan!E33, 0), 0)</f>
        <v/>
      </c>
      <c r="I33" s="2">
        <f>E33+F33+G33+H33</f>
        <v/>
      </c>
      <c r="J33" s="2" t="inlineStr">
        <is>
          <t>Bao gồm lấy mẫu hiện trường và phân tích phòng thí nghiệm</t>
        </is>
      </c>
    </row>
    <row r="34">
      <c r="A34" s="3" t="n">
        <v>30</v>
      </c>
      <c r="B34" s="3" t="inlineStr">
        <is>
          <t>NT4b</t>
        </is>
      </c>
      <c r="C34" s="3" t="inlineStr">
        <is>
          <t>Màu</t>
        </is>
      </c>
      <c r="D34" s="3" t="inlineStr">
        <is>
          <t>mg/l</t>
        </is>
      </c>
      <c r="E34" s="3">
        <f>IF(DuToan!E34&gt;0, ROUND(DuToan!K34/DuToan!E34, 0), 0)</f>
        <v/>
      </c>
      <c r="F34" s="3">
        <f>IF(DuToan!E34&gt;0, ROUND(DuToan!L34/DuToan!E34, 0), 0)</f>
        <v/>
      </c>
      <c r="G34" s="3">
        <f>IF(DuToan!E34&gt;0, ROUND(DuToan!M34/DuToan!E34, 0), 0)</f>
        <v/>
      </c>
      <c r="H34" s="3">
        <f>IF(DuToan!E34&gt;0, ROUND(DuToan!N34/DuToan!E34, 0), 0)</f>
        <v/>
      </c>
      <c r="I34" s="3">
        <f>E34+F34+G34+H34</f>
        <v/>
      </c>
      <c r="J34" s="3" t="inlineStr">
        <is>
          <t>Bao gồm lấy mẫu hiện trường và phân tích phòng thí nghiệm</t>
        </is>
      </c>
    </row>
    <row r="35">
      <c r="A35" s="2" t="n">
        <v>31</v>
      </c>
      <c r="B35" s="2" t="inlineStr">
        <is>
          <t>NT5a</t>
        </is>
      </c>
      <c r="C35" s="2" t="inlineStr">
        <is>
          <t>BOD5 (20°C)</t>
        </is>
      </c>
      <c r="D35" s="2" t="inlineStr">
        <is>
          <t>mg/l</t>
        </is>
      </c>
      <c r="E35" s="2">
        <f>IF(DuToan!E35&gt;0, ROUND(DuToan!K35/DuToan!E35, 0), 0)</f>
        <v/>
      </c>
      <c r="F35" s="2">
        <f>IF(DuToan!E35&gt;0, ROUND(DuToan!L35/DuToan!E35, 0), 0)</f>
        <v/>
      </c>
      <c r="G35" s="2">
        <f>IF(DuToan!E35&gt;0, ROUND(DuToan!M35/DuToan!E35, 0), 0)</f>
        <v/>
      </c>
      <c r="H35" s="2">
        <f>IF(DuToan!E35&gt;0, ROUND(DuToan!N35/DuToan!E35, 0), 0)</f>
        <v/>
      </c>
      <c r="I35" s="2">
        <f>E35+F35+G35+H35</f>
        <v/>
      </c>
      <c r="J35" s="2" t="inlineStr">
        <is>
          <t>Bao gồm lấy mẫu hiện trường và phân tích phòng thí nghiệm</t>
        </is>
      </c>
    </row>
    <row r="36">
      <c r="A36" s="3" t="n">
        <v>32</v>
      </c>
      <c r="B36" s="3" t="inlineStr">
        <is>
          <t>NT10l1</t>
        </is>
      </c>
      <c r="C36" s="3" t="inlineStr">
        <is>
          <t>Asen</t>
        </is>
      </c>
      <c r="D36" s="3" t="inlineStr">
        <is>
          <t>mg/l</t>
        </is>
      </c>
      <c r="E36" s="3">
        <f>IF(DuToan!E36&gt;0, ROUND(DuToan!K36/DuToan!E36, 0), 0)</f>
        <v/>
      </c>
      <c r="F36" s="3">
        <f>IF(DuToan!E36&gt;0, ROUND(DuToan!L36/DuToan!E36, 0), 0)</f>
        <v/>
      </c>
      <c r="G36" s="3">
        <f>IF(DuToan!E36&gt;0, ROUND(DuToan!M36/DuToan!E36, 0), 0)</f>
        <v/>
      </c>
      <c r="H36" s="3">
        <f>IF(DuToan!E36&gt;0, ROUND(DuToan!N36/DuToan!E36, 0), 0)</f>
        <v/>
      </c>
      <c r="I36" s="3">
        <f>E36+F36+G36+H36</f>
        <v/>
      </c>
      <c r="J36" s="3" t="inlineStr">
        <is>
          <t>Bao gồm lấy mẫu hiện trường và phân tích phòng thí nghiệm</t>
        </is>
      </c>
    </row>
    <row r="37">
      <c r="A37" s="2" t="n">
        <v>33</v>
      </c>
      <c r="B37" s="2" t="inlineStr">
        <is>
          <t>NT10l2</t>
        </is>
      </c>
      <c r="C37" s="2" t="inlineStr">
        <is>
          <t>Thủy ngân</t>
        </is>
      </c>
      <c r="D37" s="2" t="inlineStr">
        <is>
          <t>mg/l</t>
        </is>
      </c>
      <c r="E37" s="2">
        <f>IF(DuToan!E37&gt;0, ROUND(DuToan!K37/DuToan!E37, 0), 0)</f>
        <v/>
      </c>
      <c r="F37" s="2">
        <f>IF(DuToan!E37&gt;0, ROUND(DuToan!L37/DuToan!E37, 0), 0)</f>
        <v/>
      </c>
      <c r="G37" s="2">
        <f>IF(DuToan!E37&gt;0, ROUND(DuToan!M37/DuToan!E37, 0), 0)</f>
        <v/>
      </c>
      <c r="H37" s="2">
        <f>IF(DuToan!E37&gt;0, ROUND(DuToan!N37/DuToan!E37, 0), 0)</f>
        <v/>
      </c>
      <c r="I37" s="2">
        <f>E37+F37+G37+H37</f>
        <v/>
      </c>
      <c r="J37" s="2" t="inlineStr">
        <is>
          <t>Bao gồm lấy mẫu hiện trường và phân tích phòng thí nghiệm</t>
        </is>
      </c>
    </row>
    <row r="38">
      <c r="A38" s="3" t="n">
        <v>34</v>
      </c>
      <c r="B38" s="3" t="inlineStr">
        <is>
          <t>NT10k1</t>
        </is>
      </c>
      <c r="C38" s="3" t="inlineStr">
        <is>
          <t>Chì</t>
        </is>
      </c>
      <c r="D38" s="3" t="inlineStr">
        <is>
          <t>mg/l</t>
        </is>
      </c>
      <c r="E38" s="3">
        <f>IF(DuToan!E38&gt;0, ROUND(DuToan!K38/DuToan!E38, 0), 0)</f>
        <v/>
      </c>
      <c r="F38" s="3">
        <f>IF(DuToan!E38&gt;0, ROUND(DuToan!L38/DuToan!E38, 0), 0)</f>
        <v/>
      </c>
      <c r="G38" s="3">
        <f>IF(DuToan!E38&gt;0, ROUND(DuToan!M38/DuToan!E38, 0), 0)</f>
        <v/>
      </c>
      <c r="H38" s="3">
        <f>IF(DuToan!E38&gt;0, ROUND(DuToan!N38/DuToan!E38, 0), 0)</f>
        <v/>
      </c>
      <c r="I38" s="3">
        <f>E38+F38+G38+H38</f>
        <v/>
      </c>
      <c r="J38" s="3" t="inlineStr">
        <is>
          <t>Bao gồm lấy mẫu hiện trường và phân tích phòng thí nghiệm</t>
        </is>
      </c>
    </row>
    <row r="39">
      <c r="A39" s="2" t="n">
        <v>35</v>
      </c>
      <c r="B39" s="2" t="inlineStr">
        <is>
          <t>NT10k2</t>
        </is>
      </c>
      <c r="C39" s="2" t="inlineStr">
        <is>
          <t>Cadimi</t>
        </is>
      </c>
      <c r="D39" s="2" t="inlineStr">
        <is>
          <t>mg/l</t>
        </is>
      </c>
      <c r="E39" s="2">
        <f>IF(DuToan!E39&gt;0, ROUND(DuToan!K39/DuToan!E39, 0), 0)</f>
        <v/>
      </c>
      <c r="F39" s="2">
        <f>IF(DuToan!E39&gt;0, ROUND(DuToan!L39/DuToan!E39, 0), 0)</f>
        <v/>
      </c>
      <c r="G39" s="2">
        <f>IF(DuToan!E39&gt;0, ROUND(DuToan!M39/DuToan!E39, 0), 0)</f>
        <v/>
      </c>
      <c r="H39" s="2">
        <f>IF(DuToan!E39&gt;0, ROUND(DuToan!N39/DuToan!E39, 0), 0)</f>
        <v/>
      </c>
      <c r="I39" s="2">
        <f>E39+F39+G39+H39</f>
        <v/>
      </c>
      <c r="J39" s="2" t="inlineStr">
        <is>
          <t>Bao gồm lấy mẫu hiện trường và phân tích phòng thí nghiệm</t>
        </is>
      </c>
    </row>
    <row r="40">
      <c r="A40" s="3" t="n">
        <v>36</v>
      </c>
      <c r="B40" s="3" t="inlineStr">
        <is>
          <t>NT10m5</t>
        </is>
      </c>
      <c r="C40" s="3" t="inlineStr">
        <is>
          <t>Crom (III)</t>
        </is>
      </c>
      <c r="D40" s="3" t="inlineStr">
        <is>
          <t>mg/l</t>
        </is>
      </c>
      <c r="E40" s="3">
        <f>IF(DuToan!E40&gt;0, ROUND(DuToan!K40/DuToan!E40, 0), 0)</f>
        <v/>
      </c>
      <c r="F40" s="3">
        <f>IF(DuToan!E40&gt;0, ROUND(DuToan!L40/DuToan!E40, 0), 0)</f>
        <v/>
      </c>
      <c r="G40" s="3">
        <f>IF(DuToan!E40&gt;0, ROUND(DuToan!M40/DuToan!E40, 0), 0)</f>
        <v/>
      </c>
      <c r="H40" s="3">
        <f>IF(DuToan!E40&gt;0, ROUND(DuToan!N40/DuToan!E40, 0), 0)</f>
        <v/>
      </c>
      <c r="I40" s="3">
        <f>E40+F40+G40+H40</f>
        <v/>
      </c>
      <c r="J40" s="3" t="inlineStr">
        <is>
          <t>Bao gồm lấy mẫu hiện trường và phân tích phòng thí nghiệm</t>
        </is>
      </c>
    </row>
    <row r="41">
      <c r="A41" s="2" t="n">
        <v>37</v>
      </c>
      <c r="B41" s="2" t="inlineStr">
        <is>
          <t>NT10đ</t>
        </is>
      </c>
      <c r="C41" s="2" t="inlineStr">
        <is>
          <t>Crom (VI)</t>
        </is>
      </c>
      <c r="D41" s="2" t="inlineStr">
        <is>
          <t>mg/l</t>
        </is>
      </c>
      <c r="E41" s="2">
        <f>IF(DuToan!E41&gt;0, ROUND(DuToan!K41/DuToan!E41, 0), 0)</f>
        <v/>
      </c>
      <c r="F41" s="2">
        <f>IF(DuToan!E41&gt;0, ROUND(DuToan!L41/DuToan!E41, 0), 0)</f>
        <v/>
      </c>
      <c r="G41" s="2">
        <f>IF(DuToan!E41&gt;0, ROUND(DuToan!M41/DuToan!E41, 0), 0)</f>
        <v/>
      </c>
      <c r="H41" s="2">
        <f>IF(DuToan!E41&gt;0, ROUND(DuToan!N41/DuToan!E41, 0), 0)</f>
        <v/>
      </c>
      <c r="I41" s="2">
        <f>E41+F41+G41+H41</f>
        <v/>
      </c>
      <c r="J41" s="2" t="inlineStr">
        <is>
          <t>Bao gồm lấy mẫu hiện trường và phân tích phòng thí nghiệm</t>
        </is>
      </c>
    </row>
    <row r="42">
      <c r="A42" s="3" t="n">
        <v>38</v>
      </c>
      <c r="B42" s="3" t="inlineStr">
        <is>
          <t>NT10m1</t>
        </is>
      </c>
      <c r="C42" s="3" t="inlineStr">
        <is>
          <t>Đồng</t>
        </is>
      </c>
      <c r="D42" s="3" t="inlineStr">
        <is>
          <t>mg/l</t>
        </is>
      </c>
      <c r="E42" s="3">
        <f>IF(DuToan!E42&gt;0, ROUND(DuToan!K42/DuToan!E42, 0), 0)</f>
        <v/>
      </c>
      <c r="F42" s="3">
        <f>IF(DuToan!E42&gt;0, ROUND(DuToan!L42/DuToan!E42, 0), 0)</f>
        <v/>
      </c>
      <c r="G42" s="3">
        <f>IF(DuToan!E42&gt;0, ROUND(DuToan!M42/DuToan!E42, 0), 0)</f>
        <v/>
      </c>
      <c r="H42" s="3">
        <f>IF(DuToan!E42&gt;0, ROUND(DuToan!N42/DuToan!E42, 0), 0)</f>
        <v/>
      </c>
      <c r="I42" s="3">
        <f>E42+F42+G42+H42</f>
        <v/>
      </c>
      <c r="J42" s="3" t="inlineStr">
        <is>
          <t>Bao gồm lấy mẫu hiện trường và phân tích phòng thí nghiệm</t>
        </is>
      </c>
    </row>
    <row r="43">
      <c r="A43" s="2" t="n">
        <v>39</v>
      </c>
      <c r="B43" s="2" t="inlineStr">
        <is>
          <t>NT10m2</t>
        </is>
      </c>
      <c r="C43" s="2" t="inlineStr">
        <is>
          <t>Kẽm</t>
        </is>
      </c>
      <c r="D43" s="2" t="inlineStr">
        <is>
          <t>mg/l</t>
        </is>
      </c>
      <c r="E43" s="2">
        <f>IF(DuToan!E43&gt;0, ROUND(DuToan!K43/DuToan!E43, 0), 0)</f>
        <v/>
      </c>
      <c r="F43" s="2">
        <f>IF(DuToan!E43&gt;0, ROUND(DuToan!L43/DuToan!E43, 0), 0)</f>
        <v/>
      </c>
      <c r="G43" s="2">
        <f>IF(DuToan!E43&gt;0, ROUND(DuToan!M43/DuToan!E43, 0), 0)</f>
        <v/>
      </c>
      <c r="H43" s="2">
        <f>IF(DuToan!E43&gt;0, ROUND(DuToan!N43/DuToan!E43, 0), 0)</f>
        <v/>
      </c>
      <c r="I43" s="2">
        <f>E43+F43+G43+H43</f>
        <v/>
      </c>
      <c r="J43" s="2" t="inlineStr">
        <is>
          <t>Bao gồm lấy mẫu hiện trường và phân tích phòng thí nghiệm</t>
        </is>
      </c>
    </row>
    <row r="44">
      <c r="A44" s="3" t="n">
        <v>40</v>
      </c>
      <c r="B44" s="3" t="inlineStr">
        <is>
          <t>NT10m6</t>
        </is>
      </c>
      <c r="C44" s="3" t="inlineStr">
        <is>
          <t>Niken</t>
        </is>
      </c>
      <c r="D44" s="3" t="inlineStr">
        <is>
          <t>mg/l</t>
        </is>
      </c>
      <c r="E44" s="3">
        <f>IF(DuToan!E44&gt;0, ROUND(DuToan!K44/DuToan!E44, 0), 0)</f>
        <v/>
      </c>
      <c r="F44" s="3">
        <f>IF(DuToan!E44&gt;0, ROUND(DuToan!L44/DuToan!E44, 0), 0)</f>
        <v/>
      </c>
      <c r="G44" s="3">
        <f>IF(DuToan!E44&gt;0, ROUND(DuToan!M44/DuToan!E44, 0), 0)</f>
        <v/>
      </c>
      <c r="H44" s="3">
        <f>IF(DuToan!E44&gt;0, ROUND(DuToan!N44/DuToan!E44, 0), 0)</f>
        <v/>
      </c>
      <c r="I44" s="3">
        <f>E44+F44+G44+H44</f>
        <v/>
      </c>
      <c r="J44" s="3" t="inlineStr">
        <is>
          <t>Bao gồm lấy mẫu hiện trường và phân tích phòng thí nghiệm</t>
        </is>
      </c>
    </row>
    <row r="45">
      <c r="A45" s="2" t="n">
        <v>41</v>
      </c>
      <c r="B45" s="2" t="inlineStr">
        <is>
          <t>NT10m3</t>
        </is>
      </c>
      <c r="C45" s="2" t="inlineStr">
        <is>
          <t>Mangan</t>
        </is>
      </c>
      <c r="D45" s="2" t="inlineStr">
        <is>
          <t>mg/l</t>
        </is>
      </c>
      <c r="E45" s="2">
        <f>IF(DuToan!E45&gt;0, ROUND(DuToan!K45/DuToan!E45, 0), 0)</f>
        <v/>
      </c>
      <c r="F45" s="2">
        <f>IF(DuToan!E45&gt;0, ROUND(DuToan!L45/DuToan!E45, 0), 0)</f>
        <v/>
      </c>
      <c r="G45" s="2">
        <f>IF(DuToan!E45&gt;0, ROUND(DuToan!M45/DuToan!E45, 0), 0)</f>
        <v/>
      </c>
      <c r="H45" s="2">
        <f>IF(DuToan!E45&gt;0, ROUND(DuToan!N45/DuToan!E45, 0), 0)</f>
        <v/>
      </c>
      <c r="I45" s="2">
        <f>E45+F45+G45+H45</f>
        <v/>
      </c>
      <c r="J45" s="2" t="inlineStr">
        <is>
          <t>Bao gồm lấy mẫu hiện trường và phân tích phòng thí nghiệm</t>
        </is>
      </c>
    </row>
    <row r="46">
      <c r="A46" s="3" t="n">
        <v>42</v>
      </c>
      <c r="B46" s="3" t="inlineStr">
        <is>
          <t>NT10m4</t>
        </is>
      </c>
      <c r="C46" s="3" t="inlineStr">
        <is>
          <t>Sắt</t>
        </is>
      </c>
      <c r="D46" s="3" t="inlineStr">
        <is>
          <t>mg/l</t>
        </is>
      </c>
      <c r="E46" s="3">
        <f>IF(DuToan!E46&gt;0, ROUND(DuToan!K46/DuToan!E46, 0), 0)</f>
        <v/>
      </c>
      <c r="F46" s="3">
        <f>IF(DuToan!E46&gt;0, ROUND(DuToan!L46/DuToan!E46, 0), 0)</f>
        <v/>
      </c>
      <c r="G46" s="3">
        <f>IF(DuToan!E46&gt;0, ROUND(DuToan!M46/DuToan!E46, 0), 0)</f>
        <v/>
      </c>
      <c r="H46" s="3">
        <f>IF(DuToan!E46&gt;0, ROUND(DuToan!N46/DuToan!E46, 0), 0)</f>
        <v/>
      </c>
      <c r="I46" s="3">
        <f>E46+F46+G46+H46</f>
        <v/>
      </c>
      <c r="J46" s="3" t="inlineStr">
        <is>
          <t>Bao gồm lấy mẫu hiện trường và phân tích phòng thí nghiệm</t>
        </is>
      </c>
    </row>
    <row r="47">
      <c r="A47" s="2" t="n">
        <v>43</v>
      </c>
      <c r="B47" s="2" t="inlineStr">
        <is>
          <t>NT9</t>
        </is>
      </c>
      <c r="C47" s="2" t="inlineStr">
        <is>
          <t>Tổng xyanua</t>
        </is>
      </c>
      <c r="D47" s="2" t="inlineStr">
        <is>
          <t>mg/l</t>
        </is>
      </c>
      <c r="E47" s="2">
        <f>IF(DuToan!E47&gt;0, ROUND(DuToan!K47/DuToan!E47, 0), 0)</f>
        <v/>
      </c>
      <c r="F47" s="2">
        <f>IF(DuToan!E47&gt;0, ROUND(DuToan!L47/DuToan!E47, 0), 0)</f>
        <v/>
      </c>
      <c r="G47" s="2">
        <f>IF(DuToan!E47&gt;0, ROUND(DuToan!M47/DuToan!E47, 0), 0)</f>
        <v/>
      </c>
      <c r="H47" s="2">
        <f>IF(DuToan!E47&gt;0, ROUND(DuToan!N47/DuToan!E47, 0), 0)</f>
        <v/>
      </c>
      <c r="I47" s="2">
        <f>E47+F47+G47+H47</f>
        <v/>
      </c>
      <c r="J47" s="2" t="inlineStr">
        <is>
          <t>Bao gồm lấy mẫu hiện trường và phân tích phòng thí nghiệm</t>
        </is>
      </c>
    </row>
    <row r="48">
      <c r="A48" s="3" t="n">
        <v>44</v>
      </c>
      <c r="B48" s="3" t="inlineStr">
        <is>
          <t>NT8</t>
        </is>
      </c>
      <c r="C48" s="3" t="inlineStr">
        <is>
          <t>Tổng dầu mỡ khoáng</t>
        </is>
      </c>
      <c r="D48" s="3" t="inlineStr">
        <is>
          <t>mg/l</t>
        </is>
      </c>
      <c r="E48" s="3">
        <f>IF(DuToan!E48&gt;0, ROUND(DuToan!K48/DuToan!E48, 0), 0)</f>
        <v/>
      </c>
      <c r="F48" s="3">
        <f>IF(DuToan!E48&gt;0, ROUND(DuToan!L48/DuToan!E48, 0), 0)</f>
        <v/>
      </c>
      <c r="G48" s="3">
        <f>IF(DuToan!E48&gt;0, ROUND(DuToan!M48/DuToan!E48, 0), 0)</f>
        <v/>
      </c>
      <c r="H48" s="3">
        <f>IF(DuToan!E48&gt;0, ROUND(DuToan!N48/DuToan!E48, 0), 0)</f>
        <v/>
      </c>
      <c r="I48" s="3">
        <f>E48+F48+G48+H48</f>
        <v/>
      </c>
      <c r="J48" s="3" t="inlineStr">
        <is>
          <t>Bao gồm lấy mẫu hiện trường và phân tích phòng thí nghiệm</t>
        </is>
      </c>
    </row>
    <row r="49">
      <c r="A49" s="2" t="n">
        <v>45</v>
      </c>
      <c r="B49" s="2" t="inlineStr">
        <is>
          <t>NT10d</t>
        </is>
      </c>
      <c r="C49" s="2" t="inlineStr">
        <is>
          <t>Sunfua</t>
        </is>
      </c>
      <c r="D49" s="2" t="inlineStr">
        <is>
          <t>mg/l</t>
        </is>
      </c>
      <c r="E49" s="2">
        <f>IF(DuToan!E49&gt;0, ROUND(DuToan!K49/DuToan!E49, 0), 0)</f>
        <v/>
      </c>
      <c r="F49" s="2">
        <f>IF(DuToan!E49&gt;0, ROUND(DuToan!L49/DuToan!E49, 0), 0)</f>
        <v/>
      </c>
      <c r="G49" s="2">
        <f>IF(DuToan!E49&gt;0, ROUND(DuToan!M49/DuToan!E49, 0), 0)</f>
        <v/>
      </c>
      <c r="H49" s="2">
        <f>IF(DuToan!E49&gt;0, ROUND(DuToan!N49/DuToan!E49, 0), 0)</f>
        <v/>
      </c>
      <c r="I49" s="2">
        <f>E49+F49+G49+H49</f>
        <v/>
      </c>
      <c r="J49" s="2" t="inlineStr">
        <is>
          <t>Bao gồm lấy mẫu hiện trường và phân tích phòng thí nghiệm</t>
        </is>
      </c>
    </row>
    <row r="50">
      <c r="A50" s="3" t="n">
        <v>46</v>
      </c>
      <c r="B50" s="3" t="inlineStr">
        <is>
          <t>NT10b</t>
        </is>
      </c>
      <c r="C50" s="3" t="inlineStr">
        <is>
          <t>Tổng Nitơ</t>
        </is>
      </c>
      <c r="D50" s="3" t="inlineStr">
        <is>
          <t>mg/l</t>
        </is>
      </c>
      <c r="E50" s="3">
        <f>IF(DuToan!E50&gt;0, ROUND(DuToan!K50/DuToan!E50, 0), 0)</f>
        <v/>
      </c>
      <c r="F50" s="3">
        <f>IF(DuToan!E50&gt;0, ROUND(DuToan!L50/DuToan!E50, 0), 0)</f>
        <v/>
      </c>
      <c r="G50" s="3">
        <f>IF(DuToan!E50&gt;0, ROUND(DuToan!M50/DuToan!E50, 0), 0)</f>
        <v/>
      </c>
      <c r="H50" s="3">
        <f>IF(DuToan!E50&gt;0, ROUND(DuToan!N50/DuToan!E50, 0), 0)</f>
        <v/>
      </c>
      <c r="I50" s="3">
        <f>E50+F50+G50+H50</f>
        <v/>
      </c>
      <c r="J50" s="3" t="inlineStr">
        <is>
          <t>Bao gồm lấy mẫu hiện trường và phân tích phòng thí nghiệm</t>
        </is>
      </c>
    </row>
    <row r="51">
      <c r="A51" s="2" t="n">
        <v>47</v>
      </c>
      <c r="B51" s="2" t="inlineStr">
        <is>
          <t>NT2</t>
        </is>
      </c>
      <c r="C51" s="2" t="inlineStr">
        <is>
          <t>Tổng photpho (tính theo P)</t>
        </is>
      </c>
      <c r="D51" s="2" t="inlineStr">
        <is>
          <t>mg/l</t>
        </is>
      </c>
      <c r="E51" s="2">
        <f>IF(DuToan!E51&gt;0, ROUND(DuToan!K51/DuToan!E51, 0), 0)</f>
        <v/>
      </c>
      <c r="F51" s="2">
        <f>IF(DuToan!E51&gt;0, ROUND(DuToan!L51/DuToan!E51, 0), 0)</f>
        <v/>
      </c>
      <c r="G51" s="2">
        <f>IF(DuToan!E51&gt;0, ROUND(DuToan!M51/DuToan!E51, 0), 0)</f>
        <v/>
      </c>
      <c r="H51" s="2">
        <f>IF(DuToan!E51&gt;0, ROUND(DuToan!N51/DuToan!E51, 0), 0)</f>
        <v/>
      </c>
      <c r="I51" s="2">
        <f>E51+F51+G51+H51</f>
        <v/>
      </c>
      <c r="J51" s="2" t="inlineStr">
        <is>
          <t>Bao gồm lấy mẫu hiện trường và phân tích phòng thí nghiệm</t>
        </is>
      </c>
    </row>
    <row r="52">
      <c r="A52" s="3" t="n">
        <v>48</v>
      </c>
      <c r="B52" s="3" t="inlineStr">
        <is>
          <t>NT10j</t>
        </is>
      </c>
      <c r="C52" s="3" t="inlineStr">
        <is>
          <t>Clo dư</t>
        </is>
      </c>
      <c r="D52" s="3" t="inlineStr">
        <is>
          <t>mg/l</t>
        </is>
      </c>
      <c r="E52" s="3">
        <f>IF(DuToan!E52&gt;0, ROUND(DuToan!K52/DuToan!E52, 0), 0)</f>
        <v/>
      </c>
      <c r="F52" s="3">
        <f>IF(DuToan!E52&gt;0, ROUND(DuToan!L52/DuToan!E52, 0), 0)</f>
        <v/>
      </c>
      <c r="G52" s="3">
        <f>IF(DuToan!E52&gt;0, ROUND(DuToan!M52/DuToan!E52, 0), 0)</f>
        <v/>
      </c>
      <c r="H52" s="3">
        <f>IF(DuToan!E52&gt;0, ROUND(DuToan!N52/DuToan!E52, 0), 0)</f>
        <v/>
      </c>
      <c r="I52" s="3">
        <f>E52+F52+G52+H52</f>
        <v/>
      </c>
      <c r="J52" s="3" t="inlineStr">
        <is>
          <t>Bao gồm lấy mẫu hiện trường và phân tích phòng thí nghiệm</t>
        </is>
      </c>
    </row>
    <row r="53">
      <c r="A53" s="2" t="n">
        <v>49</v>
      </c>
      <c r="B53" s="2" t="inlineStr">
        <is>
          <t>NT7a</t>
        </is>
      </c>
      <c r="C53" s="2" t="inlineStr">
        <is>
          <t>Coliform</t>
        </is>
      </c>
      <c r="D53" s="2" t="inlineStr">
        <is>
          <t>MPN/100ml</t>
        </is>
      </c>
      <c r="E53" s="2">
        <f>IF(DuToan!E53&gt;0, ROUND(DuToan!K53/DuToan!E53, 0), 0)</f>
        <v/>
      </c>
      <c r="F53" s="2">
        <f>IF(DuToan!E53&gt;0, ROUND(DuToan!L53/DuToan!E53, 0), 0)</f>
        <v/>
      </c>
      <c r="G53" s="2">
        <f>IF(DuToan!E53&gt;0, ROUND(DuToan!M53/DuToan!E53, 0), 0)</f>
        <v/>
      </c>
      <c r="H53" s="2">
        <f>IF(DuToan!E53&gt;0, ROUND(DuToan!N53/DuToan!E53, 0), 0)</f>
        <v/>
      </c>
      <c r="I53" s="2">
        <f>E53+F53+G53+H53</f>
        <v/>
      </c>
      <c r="J53" s="2" t="inlineStr">
        <is>
          <t>Bao gồm lấy mẫu hiện trường và phân tích phòng thí nghiệm</t>
        </is>
      </c>
    </row>
    <row r="54">
      <c r="A54" s="3" t="n">
        <v>50</v>
      </c>
      <c r="B54" s="3" t="inlineStr">
        <is>
          <t>NB16a</t>
        </is>
      </c>
      <c r="C54" s="3" t="inlineStr">
        <is>
          <t>COD</t>
        </is>
      </c>
      <c r="D54" s="3" t="inlineStr">
        <is>
          <t>mg/l</t>
        </is>
      </c>
      <c r="E54" s="3">
        <f>IF(DuToan!E54&gt;0, ROUND(DuToan!K54/DuToan!E54, 0), 0)</f>
        <v/>
      </c>
      <c r="F54" s="3">
        <f>IF(DuToan!E54&gt;0, ROUND(DuToan!L54/DuToan!E54, 0), 0)</f>
        <v/>
      </c>
      <c r="G54" s="3">
        <f>IF(DuToan!E54&gt;0, ROUND(DuToan!M54/DuToan!E54, 0), 0)</f>
        <v/>
      </c>
      <c r="H54" s="3">
        <f>IF(DuToan!E54&gt;0, ROUND(DuToan!N54/DuToan!E54, 0), 0)</f>
        <v/>
      </c>
      <c r="I54" s="3">
        <f>E54+F54+G54+H54</f>
        <v/>
      </c>
      <c r="J54" s="3" t="inlineStr">
        <is>
          <t>Bao gồm lấy mẫu hiện trường và phân tích phòng thí nghiệm</t>
        </is>
      </c>
    </row>
    <row r="55">
      <c r="A55" s="2" t="n">
        <v>51</v>
      </c>
      <c r="B55" s="2" t="inlineStr">
        <is>
          <t>NB17a</t>
        </is>
      </c>
      <c r="C55" s="2" t="inlineStr">
        <is>
          <t>TSS</t>
        </is>
      </c>
      <c r="D55" s="2" t="inlineStr">
        <is>
          <t>mg/l</t>
        </is>
      </c>
      <c r="E55" s="2">
        <f>IF(DuToan!E55&gt;0, ROUND(DuToan!K55/DuToan!E55, 0), 0)</f>
        <v/>
      </c>
      <c r="F55" s="2">
        <f>IF(DuToan!E55&gt;0, ROUND(DuToan!L55/DuToan!E55, 0), 0)</f>
        <v/>
      </c>
      <c r="G55" s="2">
        <f>IF(DuToan!E55&gt;0, ROUND(DuToan!M55/DuToan!E55, 0), 0)</f>
        <v/>
      </c>
      <c r="H55" s="2">
        <f>IF(DuToan!E55&gt;0, ROUND(DuToan!N55/DuToan!E55, 0), 0)</f>
        <v/>
      </c>
      <c r="I55" s="2">
        <f>E55+F55+G55+H55</f>
        <v/>
      </c>
      <c r="J55" s="2" t="inlineStr">
        <is>
          <t>Bao gồm lấy mẫu hiện trường và phân tích phòng thí nghiệm</t>
        </is>
      </c>
    </row>
    <row r="56">
      <c r="A56" s="3" t="n">
        <v>52</v>
      </c>
      <c r="B56" s="3" t="inlineStr">
        <is>
          <t>NB10</t>
        </is>
      </c>
      <c r="C56" s="3" t="inlineStr">
        <is>
          <t>Phosphat</t>
        </is>
      </c>
      <c r="D56" s="3" t="inlineStr">
        <is>
          <t>mg/l</t>
        </is>
      </c>
      <c r="E56" s="3">
        <f>IF(DuToan!E56&gt;0, ROUND(DuToan!K56/DuToan!E56, 0), 0)</f>
        <v/>
      </c>
      <c r="F56" s="3">
        <f>IF(DuToan!E56&gt;0, ROUND(DuToan!L56/DuToan!E56, 0), 0)</f>
        <v/>
      </c>
      <c r="G56" s="3">
        <f>IF(DuToan!E56&gt;0, ROUND(DuToan!M56/DuToan!E56, 0), 0)</f>
        <v/>
      </c>
      <c r="H56" s="3">
        <f>IF(DuToan!E56&gt;0, ROUND(DuToan!N56/DuToan!E56, 0), 0)</f>
        <v/>
      </c>
      <c r="I56" s="3">
        <f>E56+F56+G56+H56</f>
        <v/>
      </c>
      <c r="J56" s="3" t="inlineStr">
        <is>
          <t>Bao gồm lấy mẫu hiện trường và phân tích phòng thí nghiệm</t>
        </is>
      </c>
    </row>
    <row r="57">
      <c r="A57" s="2" t="n">
        <v>53</v>
      </c>
      <c r="B57" s="2" t="inlineStr">
        <is>
          <t>NB15</t>
        </is>
      </c>
      <c r="C57" s="2" t="inlineStr">
        <is>
          <t>Florua</t>
        </is>
      </c>
      <c r="D57" s="2" t="inlineStr">
        <is>
          <t>mg/l</t>
        </is>
      </c>
      <c r="E57" s="2">
        <f>IF(DuToan!E57&gt;0, ROUND(DuToan!K57/DuToan!E57, 0), 0)</f>
        <v/>
      </c>
      <c r="F57" s="2">
        <f>IF(DuToan!E57&gt;0, ROUND(DuToan!L57/DuToan!E57, 0), 0)</f>
        <v/>
      </c>
      <c r="G57" s="2">
        <f>IF(DuToan!E57&gt;0, ROUND(DuToan!M57/DuToan!E57, 0), 0)</f>
        <v/>
      </c>
      <c r="H57" s="2">
        <f>IF(DuToan!E57&gt;0, ROUND(DuToan!N57/DuToan!E57, 0), 0)</f>
        <v/>
      </c>
      <c r="I57" s="2">
        <f>E57+F57+G57+H57</f>
        <v/>
      </c>
      <c r="J57" s="2" t="inlineStr">
        <is>
          <t>Bao gồm lấy mẫu hiện trường và phân tích phòng thí nghiệm</t>
        </is>
      </c>
    </row>
    <row r="58">
      <c r="A58" s="3" t="n">
        <v>54</v>
      </c>
      <c r="B58" s="3" t="inlineStr">
        <is>
          <t>NB20</t>
        </is>
      </c>
      <c r="C58" s="3" t="inlineStr">
        <is>
          <t>Xyanua</t>
        </is>
      </c>
      <c r="D58" s="3" t="inlineStr">
        <is>
          <t>mg/l</t>
        </is>
      </c>
      <c r="E58" s="3">
        <f>IF(DuToan!E58&gt;0, ROUND(DuToan!K58/DuToan!E58, 0), 0)</f>
        <v/>
      </c>
      <c r="F58" s="3">
        <f>IF(DuToan!E58&gt;0, ROUND(DuToan!L58/DuToan!E58, 0), 0)</f>
        <v/>
      </c>
      <c r="G58" s="3">
        <f>IF(DuToan!E58&gt;0, ROUND(DuToan!M58/DuToan!E58, 0), 0)</f>
        <v/>
      </c>
      <c r="H58" s="3">
        <f>IF(DuToan!E58&gt;0, ROUND(DuToan!N58/DuToan!E58, 0), 0)</f>
        <v/>
      </c>
      <c r="I58" s="3">
        <f>E58+F58+G58+H58</f>
        <v/>
      </c>
      <c r="J58" s="3" t="inlineStr">
        <is>
          <t>Bao gồm lấy mẫu hiện trường và phân tích phòng thí nghiệm</t>
        </is>
      </c>
    </row>
    <row r="59">
      <c r="A59" s="2" t="n">
        <v>55</v>
      </c>
      <c r="B59" s="2" t="inlineStr">
        <is>
          <t>NB21</t>
        </is>
      </c>
      <c r="C59" s="2" t="inlineStr">
        <is>
          <t>Asen</t>
        </is>
      </c>
      <c r="D59" s="2" t="inlineStr">
        <is>
          <t>mg/l</t>
        </is>
      </c>
      <c r="E59" s="2">
        <f>IF(DuToan!E59&gt;0, ROUND(DuToan!K59/DuToan!E59, 0), 0)</f>
        <v/>
      </c>
      <c r="F59" s="2">
        <f>IF(DuToan!E59&gt;0, ROUND(DuToan!L59/DuToan!E59, 0), 0)</f>
        <v/>
      </c>
      <c r="G59" s="2">
        <f>IF(DuToan!E59&gt;0, ROUND(DuToan!M59/DuToan!E59, 0), 0)</f>
        <v/>
      </c>
      <c r="H59" s="2">
        <f>IF(DuToan!E59&gt;0, ROUND(DuToan!N59/DuToan!E59, 0), 0)</f>
        <v/>
      </c>
      <c r="I59" s="2">
        <f>E59+F59+G59+H59</f>
        <v/>
      </c>
      <c r="J59" s="2" t="inlineStr">
        <is>
          <t>Bao gồm lấy mẫu hiện trường và phân tích phòng thí nghiệm</t>
        </is>
      </c>
    </row>
    <row r="60">
      <c r="A60" s="3" t="n">
        <v>56</v>
      </c>
      <c r="B60" s="3" t="inlineStr">
        <is>
          <t>NB21</t>
        </is>
      </c>
      <c r="C60" s="3" t="inlineStr">
        <is>
          <t>Cadimi</t>
        </is>
      </c>
      <c r="D60" s="3" t="inlineStr">
        <is>
          <t>mg/l</t>
        </is>
      </c>
      <c r="E60" s="3">
        <f>IF(DuToan!E60&gt;0, ROUND(DuToan!K60/DuToan!E60, 0), 0)</f>
        <v/>
      </c>
      <c r="F60" s="3">
        <f>IF(DuToan!E60&gt;0, ROUND(DuToan!L60/DuToan!E60, 0), 0)</f>
        <v/>
      </c>
      <c r="G60" s="3">
        <f>IF(DuToan!E60&gt;0, ROUND(DuToan!M60/DuToan!E60, 0), 0)</f>
        <v/>
      </c>
      <c r="H60" s="3">
        <f>IF(DuToan!E60&gt;0, ROUND(DuToan!N60/DuToan!E60, 0), 0)</f>
        <v/>
      </c>
      <c r="I60" s="3">
        <f>E60+F60+G60+H60</f>
        <v/>
      </c>
      <c r="J60" s="3" t="inlineStr">
        <is>
          <t>Bao gồm lấy mẫu hiện trường và phân tích phòng thí nghiệm</t>
        </is>
      </c>
    </row>
    <row r="61">
      <c r="A61" s="2" t="n">
        <v>57</v>
      </c>
      <c r="B61" s="2" t="inlineStr">
        <is>
          <t>NB21</t>
        </is>
      </c>
      <c r="C61" s="2" t="inlineStr">
        <is>
          <t>Chì</t>
        </is>
      </c>
      <c r="D61" s="2" t="inlineStr">
        <is>
          <t>mg/l</t>
        </is>
      </c>
      <c r="E61" s="2">
        <f>IF(DuToan!E61&gt;0, ROUND(DuToan!K61/DuToan!E61, 0), 0)</f>
        <v/>
      </c>
      <c r="F61" s="2">
        <f>IF(DuToan!E61&gt;0, ROUND(DuToan!L61/DuToan!E61, 0), 0)</f>
        <v/>
      </c>
      <c r="G61" s="2">
        <f>IF(DuToan!E61&gt;0, ROUND(DuToan!M61/DuToan!E61, 0), 0)</f>
        <v/>
      </c>
      <c r="H61" s="2">
        <f>IF(DuToan!E61&gt;0, ROUND(DuToan!N61/DuToan!E61, 0), 0)</f>
        <v/>
      </c>
      <c r="I61" s="2">
        <f>E61+F61+G61+H61</f>
        <v/>
      </c>
      <c r="J61" s="2" t="inlineStr">
        <is>
          <t>Bao gồm lấy mẫu hiện trường và phân tích phòng thí nghiệm</t>
        </is>
      </c>
    </row>
    <row r="62">
      <c r="A62" s="3" t="n">
        <v>58</v>
      </c>
      <c r="B62" s="3" t="inlineStr">
        <is>
          <t>NB15h</t>
        </is>
      </c>
      <c r="C62" s="3" t="inlineStr">
        <is>
          <t>Crom (VI)</t>
        </is>
      </c>
      <c r="D62" s="3" t="inlineStr">
        <is>
          <t>mg/l</t>
        </is>
      </c>
      <c r="E62" s="3">
        <f>IF(DuToan!E62&gt;0, ROUND(DuToan!K62/DuToan!E62, 0), 0)</f>
        <v/>
      </c>
      <c r="F62" s="3">
        <f>IF(DuToan!E62&gt;0, ROUND(DuToan!L62/DuToan!E62, 0), 0)</f>
        <v/>
      </c>
      <c r="G62" s="3">
        <f>IF(DuToan!E62&gt;0, ROUND(DuToan!M62/DuToan!E62, 0), 0)</f>
        <v/>
      </c>
      <c r="H62" s="3">
        <f>IF(DuToan!E62&gt;0, ROUND(DuToan!N62/DuToan!E62, 0), 0)</f>
        <v/>
      </c>
      <c r="I62" s="3">
        <f>E62+F62+G62+H62</f>
        <v/>
      </c>
      <c r="J62" s="3" t="inlineStr">
        <is>
          <t>Bao gồm lấy mẫu hiện trường và phân tích phòng thí nghiệm</t>
        </is>
      </c>
    </row>
    <row r="63">
      <c r="A63" s="2" t="n">
        <v>59</v>
      </c>
      <c r="B63" s="2" t="inlineStr">
        <is>
          <t>NB21</t>
        </is>
      </c>
      <c r="C63" s="2" t="inlineStr">
        <is>
          <t>Tổng Cr</t>
        </is>
      </c>
      <c r="D63" s="2" t="inlineStr">
        <is>
          <t>mg/l</t>
        </is>
      </c>
      <c r="E63" s="2">
        <f>IF(DuToan!E63&gt;0, ROUND(DuToan!K63/DuToan!E63, 0), 0)</f>
        <v/>
      </c>
      <c r="F63" s="2">
        <f>IF(DuToan!E63&gt;0, ROUND(DuToan!L63/DuToan!E63, 0), 0)</f>
        <v/>
      </c>
      <c r="G63" s="2">
        <f>IF(DuToan!E63&gt;0, ROUND(DuToan!M63/DuToan!E63, 0), 0)</f>
        <v/>
      </c>
      <c r="H63" s="2">
        <f>IF(DuToan!E63&gt;0, ROUND(DuToan!N63/DuToan!E63, 0), 0)</f>
        <v/>
      </c>
      <c r="I63" s="2">
        <f>E63+F63+G63+H63</f>
        <v/>
      </c>
      <c r="J63" s="2" t="inlineStr">
        <is>
          <t>Bao gồm lấy mẫu hiện trường và phân tích phòng thí nghiệm</t>
        </is>
      </c>
    </row>
    <row r="64">
      <c r="A64" s="3" t="n">
        <v>60</v>
      </c>
      <c r="B64" s="3" t="inlineStr">
        <is>
          <t>NB21</t>
        </is>
      </c>
      <c r="C64" s="3" t="inlineStr">
        <is>
          <t>Đồng</t>
        </is>
      </c>
      <c r="D64" s="3" t="inlineStr">
        <is>
          <t>mg/l</t>
        </is>
      </c>
      <c r="E64" s="3">
        <f>IF(DuToan!E64&gt;0, ROUND(DuToan!K64/DuToan!E64, 0), 0)</f>
        <v/>
      </c>
      <c r="F64" s="3">
        <f>IF(DuToan!E64&gt;0, ROUND(DuToan!L64/DuToan!E64, 0), 0)</f>
        <v/>
      </c>
      <c r="G64" s="3">
        <f>IF(DuToan!E64&gt;0, ROUND(DuToan!M64/DuToan!E64, 0), 0)</f>
        <v/>
      </c>
      <c r="H64" s="3">
        <f>IF(DuToan!E64&gt;0, ROUND(DuToan!N64/DuToan!E64, 0), 0)</f>
        <v/>
      </c>
      <c r="I64" s="3">
        <f>E64+F64+G64+H64</f>
        <v/>
      </c>
      <c r="J64" s="3" t="inlineStr">
        <is>
          <t>Bao gồm lấy mẫu hiện trường và phân tích phòng thí nghiệm</t>
        </is>
      </c>
    </row>
    <row r="65">
      <c r="A65" s="2" t="n">
        <v>61</v>
      </c>
      <c r="B65" s="2" t="inlineStr">
        <is>
          <t>NB21</t>
        </is>
      </c>
      <c r="C65" s="2" t="inlineStr">
        <is>
          <t>Kẽm</t>
        </is>
      </c>
      <c r="D65" s="2" t="inlineStr">
        <is>
          <t>mg/l</t>
        </is>
      </c>
      <c r="E65" s="2">
        <f>IF(DuToan!E65&gt;0, ROUND(DuToan!K65/DuToan!E65, 0), 0)</f>
        <v/>
      </c>
      <c r="F65" s="2">
        <f>IF(DuToan!E65&gt;0, ROUND(DuToan!L65/DuToan!E65, 0), 0)</f>
        <v/>
      </c>
      <c r="G65" s="2">
        <f>IF(DuToan!E65&gt;0, ROUND(DuToan!M65/DuToan!E65, 0), 0)</f>
        <v/>
      </c>
      <c r="H65" s="2">
        <f>IF(DuToan!E65&gt;0, ROUND(DuToan!N65/DuToan!E65, 0), 0)</f>
        <v/>
      </c>
      <c r="I65" s="2">
        <f>E65+F65+G65+H65</f>
        <v/>
      </c>
      <c r="J65" s="2" t="inlineStr">
        <is>
          <t>Bao gồm lấy mẫu hiện trường và phân tích phòng thí nghiệm</t>
        </is>
      </c>
    </row>
    <row r="66">
      <c r="A66" s="3" t="n">
        <v>62</v>
      </c>
      <c r="B66" s="3" t="inlineStr">
        <is>
          <t>NB21</t>
        </is>
      </c>
      <c r="C66" s="3" t="inlineStr">
        <is>
          <t>Mangan</t>
        </is>
      </c>
      <c r="D66" s="3" t="inlineStr">
        <is>
          <t>mg/l</t>
        </is>
      </c>
      <c r="E66" s="3">
        <f>IF(DuToan!E66&gt;0, ROUND(DuToan!K66/DuToan!E66, 0), 0)</f>
        <v/>
      </c>
      <c r="F66" s="3">
        <f>IF(DuToan!E66&gt;0, ROUND(DuToan!L66/DuToan!E66, 0), 0)</f>
        <v/>
      </c>
      <c r="G66" s="3">
        <f>IF(DuToan!E66&gt;0, ROUND(DuToan!M66/DuToan!E66, 0), 0)</f>
        <v/>
      </c>
      <c r="H66" s="3">
        <f>IF(DuToan!E66&gt;0, ROUND(DuToan!N66/DuToan!E66, 0), 0)</f>
        <v/>
      </c>
      <c r="I66" s="3">
        <f>E66+F66+G66+H66</f>
        <v/>
      </c>
      <c r="J66" s="3" t="inlineStr">
        <is>
          <t>Bao gồm lấy mẫu hiện trường và phân tích phòng thí nghiệm</t>
        </is>
      </c>
    </row>
    <row r="67">
      <c r="A67" s="2" t="n">
        <v>63</v>
      </c>
      <c r="B67" s="2" t="inlineStr">
        <is>
          <t>NB21</t>
        </is>
      </c>
      <c r="C67" s="2" t="inlineStr">
        <is>
          <t>Sắt</t>
        </is>
      </c>
      <c r="D67" s="2" t="inlineStr">
        <is>
          <t>mg/l</t>
        </is>
      </c>
      <c r="E67" s="2">
        <f>IF(DuToan!E67&gt;0, ROUND(DuToan!K67/DuToan!E67, 0), 0)</f>
        <v/>
      </c>
      <c r="F67" s="2">
        <f>IF(DuToan!E67&gt;0, ROUND(DuToan!L67/DuToan!E67, 0), 0)</f>
        <v/>
      </c>
      <c r="G67" s="2">
        <f>IF(DuToan!E67&gt;0, ROUND(DuToan!M67/DuToan!E67, 0), 0)</f>
        <v/>
      </c>
      <c r="H67" s="2">
        <f>IF(DuToan!E67&gt;0, ROUND(DuToan!N67/DuToan!E67, 0), 0)</f>
        <v/>
      </c>
      <c r="I67" s="2">
        <f>E67+F67+G67+H67</f>
        <v/>
      </c>
      <c r="J67" s="2" t="inlineStr">
        <is>
          <t>Bao gồm lấy mẫu hiện trường và phân tích phòng thí nghiệm</t>
        </is>
      </c>
    </row>
    <row r="68">
      <c r="A68" s="3" t="n">
        <v>64</v>
      </c>
      <c r="B68" s="3" t="inlineStr">
        <is>
          <t>NB21</t>
        </is>
      </c>
      <c r="C68" s="3" t="inlineStr">
        <is>
          <t>Thủy ngân</t>
        </is>
      </c>
      <c r="D68" s="3" t="inlineStr">
        <is>
          <t>mg/l</t>
        </is>
      </c>
      <c r="E68" s="3">
        <f>IF(DuToan!E68&gt;0, ROUND(DuToan!K68/DuToan!E68, 0), 0)</f>
        <v/>
      </c>
      <c r="F68" s="3">
        <f>IF(DuToan!E68&gt;0, ROUND(DuToan!L68/DuToan!E68, 0), 0)</f>
        <v/>
      </c>
      <c r="G68" s="3">
        <f>IF(DuToan!E68&gt;0, ROUND(DuToan!M68/DuToan!E68, 0), 0)</f>
        <v/>
      </c>
      <c r="H68" s="3">
        <f>IF(DuToan!E68&gt;0, ROUND(DuToan!N68/DuToan!E68, 0), 0)</f>
        <v/>
      </c>
      <c r="I68" s="3">
        <f>E68+F68+G68+H68</f>
        <v/>
      </c>
      <c r="J68" s="3" t="inlineStr">
        <is>
          <t>Bao gồm lấy mẫu hiện trường và phân tích phòng thí nghiệm</t>
        </is>
      </c>
    </row>
    <row r="69">
      <c r="A69" s="2" t="n">
        <v>65</v>
      </c>
      <c r="B69" s="2" t="inlineStr">
        <is>
          <t>NB10</t>
        </is>
      </c>
      <c r="C69" s="2" t="inlineStr">
        <is>
          <t>Tổng Phenol</t>
        </is>
      </c>
      <c r="D69" s="2" t="inlineStr">
        <is>
          <t>mg/l</t>
        </is>
      </c>
      <c r="E69" s="2">
        <f>IF(DuToan!E69&gt;0, ROUND(DuToan!K69/DuToan!E69, 0), 0)</f>
        <v/>
      </c>
      <c r="F69" s="2">
        <f>IF(DuToan!E69&gt;0, ROUND(DuToan!L69/DuToan!E69, 0), 0)</f>
        <v/>
      </c>
      <c r="G69" s="2">
        <f>IF(DuToan!E69&gt;0, ROUND(DuToan!M69/DuToan!E69, 0), 0)</f>
        <v/>
      </c>
      <c r="H69" s="2">
        <f>IF(DuToan!E69&gt;0, ROUND(DuToan!N69/DuToan!E69, 0), 0)</f>
        <v/>
      </c>
      <c r="I69" s="2">
        <f>E69+F69+G69+H69</f>
        <v/>
      </c>
      <c r="J69" s="2" t="inlineStr">
        <is>
          <t>Bao gồm lấy mẫu hiện trường và phân tích phòng thí nghiệm</t>
        </is>
      </c>
    </row>
    <row r="70">
      <c r="A70" s="3" t="n">
        <v>66</v>
      </c>
      <c r="B70" s="3" t="inlineStr">
        <is>
          <t>NB22</t>
        </is>
      </c>
      <c r="C70" s="3" t="inlineStr">
        <is>
          <t>Tổng dầu mỡ khoáng</t>
        </is>
      </c>
      <c r="D70" s="3" t="inlineStr">
        <is>
          <t>mg/l</t>
        </is>
      </c>
      <c r="E70" s="3">
        <f>IF(DuToan!E70&gt;0, ROUND(DuToan!K70/DuToan!E70, 0), 0)</f>
        <v/>
      </c>
      <c r="F70" s="3">
        <f>IF(DuToan!E70&gt;0, ROUND(DuToan!L70/DuToan!E70, 0), 0)</f>
        <v/>
      </c>
      <c r="G70" s="3">
        <f>IF(DuToan!E70&gt;0, ROUND(DuToan!M70/DuToan!E70, 0), 0)</f>
        <v/>
      </c>
      <c r="H70" s="3">
        <f>IF(DuToan!E70&gt;0, ROUND(DuToan!N70/DuToan!E70, 0), 0)</f>
        <v/>
      </c>
      <c r="I70" s="3">
        <f>E70+F70+G70+H70</f>
        <v/>
      </c>
      <c r="J70" s="3" t="inlineStr">
        <is>
          <t>Bao gồm lấy mẫu hiện trường và phân tích phòng thí nghiệm</t>
        </is>
      </c>
    </row>
    <row r="71">
      <c r="A71" s="2" t="n">
        <v>67</v>
      </c>
      <c r="B71" s="2" t="inlineStr">
        <is>
          <t>NB18</t>
        </is>
      </c>
      <c r="C71" s="2" t="inlineStr">
        <is>
          <t>Coliform</t>
        </is>
      </c>
      <c r="D71" s="2" t="inlineStr">
        <is>
          <t>MPN/100ml</t>
        </is>
      </c>
      <c r="E71" s="2">
        <f>IF(DuToan!E71&gt;0, ROUND(DuToan!K71/DuToan!E71, 0), 0)</f>
        <v/>
      </c>
      <c r="F71" s="2">
        <f>IF(DuToan!E71&gt;0, ROUND(DuToan!L71/DuToan!E71, 0), 0)</f>
        <v/>
      </c>
      <c r="G71" s="2">
        <f>IF(DuToan!E71&gt;0, ROUND(DuToan!M71/DuToan!E71, 0), 0)</f>
        <v/>
      </c>
      <c r="H71" s="2">
        <f>IF(DuToan!E71&gt;0, ROUND(DuToan!N71/DuToan!E71, 0), 0)</f>
        <v/>
      </c>
      <c r="I71" s="2">
        <f>E71+F71+G71+H71</f>
        <v/>
      </c>
      <c r="J71" s="2" t="inlineStr">
        <is>
          <t>Bao gồm lấy mẫu hiện trường và phân tích phòng thí nghiệm</t>
        </is>
      </c>
    </row>
    <row r="72">
      <c r="A72" s="3" t="n">
        <v>68</v>
      </c>
      <c r="B72" s="3" t="inlineStr">
        <is>
          <t>NB10</t>
        </is>
      </c>
      <c r="C72" s="3" t="inlineStr">
        <is>
          <t>pH</t>
        </is>
      </c>
      <c r="D72" s="3" t="inlineStr">
        <is>
          <t>-</t>
        </is>
      </c>
      <c r="E72" s="3">
        <f>IF(DuToan!E72&gt;0, ROUND(DuToan!K72/DuToan!E72, 0), 0)</f>
        <v/>
      </c>
      <c r="F72" s="3">
        <f>IF(DuToan!E72&gt;0, ROUND(DuToan!L72/DuToan!E72, 0), 0)</f>
        <v/>
      </c>
      <c r="G72" s="3">
        <f>IF(DuToan!E72&gt;0, ROUND(DuToan!M72/DuToan!E72, 0), 0)</f>
        <v/>
      </c>
      <c r="H72" s="3">
        <f>IF(DuToan!E72&gt;0, ROUND(DuToan!N72/DuToan!E72, 0), 0)</f>
        <v/>
      </c>
      <c r="I72" s="3">
        <f>E72+F72+G72+H72</f>
        <v/>
      </c>
      <c r="J72" s="3" t="inlineStr">
        <is>
          <t>Bao gồm lấy mẫu hiện trường và phân tích phòng thí nghiệm</t>
        </is>
      </c>
    </row>
    <row r="73">
      <c r="A73" s="2" t="n">
        <v>69</v>
      </c>
      <c r="B73" s="2" t="inlineStr">
        <is>
          <t>NB5</t>
        </is>
      </c>
      <c r="C73" s="2" t="inlineStr">
        <is>
          <t>Nhiệt độ</t>
        </is>
      </c>
      <c r="D73" s="2" t="inlineStr">
        <is>
          <t>0C</t>
        </is>
      </c>
      <c r="E73" s="2">
        <f>IF(DuToan!E73&gt;0, ROUND(DuToan!K73/DuToan!E73, 0), 0)</f>
        <v/>
      </c>
      <c r="F73" s="2">
        <f>IF(DuToan!E73&gt;0, ROUND(DuToan!L73/DuToan!E73, 0), 0)</f>
        <v/>
      </c>
      <c r="G73" s="2">
        <f>IF(DuToan!E73&gt;0, ROUND(DuToan!M73/DuToan!E73, 0), 0)</f>
        <v/>
      </c>
      <c r="H73" s="2">
        <f>IF(DuToan!E73&gt;0, ROUND(DuToan!N73/DuToan!E73, 0), 0)</f>
        <v/>
      </c>
      <c r="I73" s="2">
        <f>E73+F73+G73+H73</f>
        <v/>
      </c>
      <c r="J73" s="2" t="inlineStr">
        <is>
          <t>Bao gồm lấy mẫu hiện trường và phân tích phòng thí nghiệm</t>
        </is>
      </c>
    </row>
    <row r="74">
      <c r="A74" s="3" t="n">
        <v>70</v>
      </c>
      <c r="B74" s="3" t="inlineStr">
        <is>
          <t>NB11</t>
        </is>
      </c>
      <c r="C74" s="3" t="inlineStr">
        <is>
          <t>DO</t>
        </is>
      </c>
      <c r="D74" s="3" t="inlineStr">
        <is>
          <t>mg/l</t>
        </is>
      </c>
      <c r="E74" s="3">
        <f>IF(DuToan!E74&gt;0, ROUND(DuToan!K74/DuToan!E74, 0), 0)</f>
        <v/>
      </c>
      <c r="F74" s="3">
        <f>IF(DuToan!E74&gt;0, ROUND(DuToan!L74/DuToan!E74, 0), 0)</f>
        <v/>
      </c>
      <c r="G74" s="3">
        <f>IF(DuToan!E74&gt;0, ROUND(DuToan!M74/DuToan!E74, 0), 0)</f>
        <v/>
      </c>
      <c r="H74" s="3">
        <f>IF(DuToan!E74&gt;0, ROUND(DuToan!N74/DuToan!E74, 0), 0)</f>
        <v/>
      </c>
      <c r="I74" s="3">
        <f>E74+F74+G74+H74</f>
        <v/>
      </c>
      <c r="J74" s="3" t="inlineStr">
        <is>
          <t>Bao gồm lấy mẫu hiện trường và phân tích phòng thí nghiệm</t>
        </is>
      </c>
    </row>
    <row r="75">
      <c r="A75" s="2" t="n">
        <v>71</v>
      </c>
      <c r="B75" s="2" t="inlineStr">
        <is>
          <t>NB17a</t>
        </is>
      </c>
      <c r="C75" s="2" t="inlineStr">
        <is>
          <t>Tổng chất rắn lơ</t>
        </is>
      </c>
      <c r="D75" s="2" t="inlineStr">
        <is>
          <t>mg/l</t>
        </is>
      </c>
      <c r="E75" s="2">
        <f>IF(DuToan!E75&gt;0, ROUND(DuToan!K75/DuToan!E75, 0), 0)</f>
        <v/>
      </c>
      <c r="F75" s="2">
        <f>IF(DuToan!E75&gt;0, ROUND(DuToan!L75/DuToan!E75, 0), 0)</f>
        <v/>
      </c>
      <c r="G75" s="2">
        <f>IF(DuToan!E75&gt;0, ROUND(DuToan!M75/DuToan!E75, 0), 0)</f>
        <v/>
      </c>
      <c r="H75" s="2">
        <f>IF(DuToan!E75&gt;0, ROUND(DuToan!N75/DuToan!E75, 0), 0)</f>
        <v/>
      </c>
      <c r="I75" s="2">
        <f>E75+F75+G75+H75</f>
        <v/>
      </c>
      <c r="J75" s="2" t="inlineStr">
        <is>
          <t>Bao gồm lấy mẫu hiện trường và phân tích phòng thí nghiệm</t>
        </is>
      </c>
    </row>
    <row r="76">
      <c r="A76" s="3" t="n">
        <v>72</v>
      </c>
      <c r="B76" s="3" t="inlineStr">
        <is>
          <t>NB15</t>
        </is>
      </c>
      <c r="C76" s="3" t="inlineStr">
        <is>
          <t>Amoni (tính theo N)</t>
        </is>
      </c>
      <c r="D76" s="3" t="inlineStr">
        <is>
          <t>mg/l</t>
        </is>
      </c>
      <c r="E76" s="3">
        <f>IF(DuToan!E76&gt;0, ROUND(DuToan!K76/DuToan!E76, 0), 0)</f>
        <v/>
      </c>
      <c r="F76" s="3">
        <f>IF(DuToan!E76&gt;0, ROUND(DuToan!L76/DuToan!E76, 0), 0)</f>
        <v/>
      </c>
      <c r="G76" s="3">
        <f>IF(DuToan!E76&gt;0, ROUND(DuToan!M76/DuToan!E76, 0), 0)</f>
        <v/>
      </c>
      <c r="H76" s="3">
        <f>IF(DuToan!E76&gt;0, ROUND(DuToan!N76/DuToan!E76, 0), 0)</f>
        <v/>
      </c>
      <c r="I76" s="3">
        <f>E76+F76+G76+H76</f>
        <v/>
      </c>
      <c r="J76" s="3" t="inlineStr">
        <is>
          <t>Bao gồm lấy mẫu hiện trường và phân tích phòng thí nghiệm</t>
        </is>
      </c>
    </row>
    <row r="77">
      <c r="A77" s="2" t="n">
        <v>73</v>
      </c>
      <c r="B77" s="2" t="inlineStr">
        <is>
          <t>NB10</t>
        </is>
      </c>
      <c r="C77" s="2" t="inlineStr">
        <is>
          <t>Phosphat</t>
        </is>
      </c>
      <c r="D77" s="2" t="inlineStr">
        <is>
          <t>mg/l</t>
        </is>
      </c>
      <c r="E77" s="2">
        <f>IF(DuToan!E77&gt;0, ROUND(DuToan!K77/DuToan!E77, 0), 0)</f>
        <v/>
      </c>
      <c r="F77" s="2">
        <f>IF(DuToan!E77&gt;0, ROUND(DuToan!L77/DuToan!E77, 0), 0)</f>
        <v/>
      </c>
      <c r="G77" s="2">
        <f>IF(DuToan!E77&gt;0, ROUND(DuToan!M77/DuToan!E77, 0), 0)</f>
        <v/>
      </c>
      <c r="H77" s="2">
        <f>IF(DuToan!E77&gt;0, ROUND(DuToan!N77/DuToan!E77, 0), 0)</f>
        <v/>
      </c>
      <c r="I77" s="2">
        <f>E77+F77+G77+H77</f>
        <v/>
      </c>
      <c r="J77" s="2" t="inlineStr">
        <is>
          <t>Bao gồm lấy mẫu hiện trường và phân tích phòng thí nghiệm</t>
        </is>
      </c>
    </row>
    <row r="78">
      <c r="A78" s="3" t="n">
        <v>74</v>
      </c>
      <c r="B78" s="3" t="inlineStr">
        <is>
          <t>NB15</t>
        </is>
      </c>
      <c r="C78" s="3" t="inlineStr">
        <is>
          <t>Florua</t>
        </is>
      </c>
      <c r="D78" s="3" t="inlineStr">
        <is>
          <t>mg/l</t>
        </is>
      </c>
      <c r="E78" s="3">
        <f>IF(DuToan!E78&gt;0, ROUND(DuToan!K78/DuToan!E78, 0), 0)</f>
        <v/>
      </c>
      <c r="F78" s="3">
        <f>IF(DuToan!E78&gt;0, ROUND(DuToan!L78/DuToan!E78, 0), 0)</f>
        <v/>
      </c>
      <c r="G78" s="3">
        <f>IF(DuToan!E78&gt;0, ROUND(DuToan!M78/DuToan!E78, 0), 0)</f>
        <v/>
      </c>
      <c r="H78" s="3">
        <f>IF(DuToan!E78&gt;0, ROUND(DuToan!N78/DuToan!E78, 0), 0)</f>
        <v/>
      </c>
      <c r="I78" s="3">
        <f>E78+F78+G78+H78</f>
        <v/>
      </c>
      <c r="J78" s="3" t="inlineStr">
        <is>
          <t>Bao gồm lấy mẫu hiện trường và phân tích phòng thí nghiệm</t>
        </is>
      </c>
    </row>
    <row r="79">
      <c r="A79" s="2" t="n">
        <v>75</v>
      </c>
      <c r="B79" s="2" t="inlineStr">
        <is>
          <t>NB20</t>
        </is>
      </c>
      <c r="C79" s="2" t="inlineStr">
        <is>
          <t>Xyanua</t>
        </is>
      </c>
      <c r="D79" s="2" t="inlineStr">
        <is>
          <t>mg/l</t>
        </is>
      </c>
      <c r="E79" s="2">
        <f>IF(DuToan!E79&gt;0, ROUND(DuToan!K79/DuToan!E79, 0), 0)</f>
        <v/>
      </c>
      <c r="F79" s="2">
        <f>IF(DuToan!E79&gt;0, ROUND(DuToan!L79/DuToan!E79, 0), 0)</f>
        <v/>
      </c>
      <c r="G79" s="2">
        <f>IF(DuToan!E79&gt;0, ROUND(DuToan!M79/DuToan!E79, 0), 0)</f>
        <v/>
      </c>
      <c r="H79" s="2">
        <f>IF(DuToan!E79&gt;0, ROUND(DuToan!N79/DuToan!E79, 0), 0)</f>
        <v/>
      </c>
      <c r="I79" s="2">
        <f>E79+F79+G79+H79</f>
        <v/>
      </c>
      <c r="J79" s="2" t="inlineStr">
        <is>
          <t>Bao gồm lấy mẫu hiện trường và phân tích phòng thí nghiệm</t>
        </is>
      </c>
    </row>
    <row r="80">
      <c r="A80" s="3" t="n">
        <v>76</v>
      </c>
      <c r="B80" s="3" t="inlineStr">
        <is>
          <t>NB21</t>
        </is>
      </c>
      <c r="C80" s="3" t="inlineStr">
        <is>
          <t>Cd</t>
        </is>
      </c>
      <c r="D80" s="3" t="inlineStr">
        <is>
          <t>mg/l</t>
        </is>
      </c>
      <c r="E80" s="3">
        <f>IF(DuToan!E80&gt;0, ROUND(DuToan!K80/DuToan!E80, 0), 0)</f>
        <v/>
      </c>
      <c r="F80" s="3">
        <f>IF(DuToan!E80&gt;0, ROUND(DuToan!L80/DuToan!E80, 0), 0)</f>
        <v/>
      </c>
      <c r="G80" s="3">
        <f>IF(DuToan!E80&gt;0, ROUND(DuToan!M80/DuToan!E80, 0), 0)</f>
        <v/>
      </c>
      <c r="H80" s="3">
        <f>IF(DuToan!E80&gt;0, ROUND(DuToan!N80/DuToan!E80, 0), 0)</f>
        <v/>
      </c>
      <c r="I80" s="3">
        <f>E80+F80+G80+H80</f>
        <v/>
      </c>
      <c r="J80" s="3" t="inlineStr">
        <is>
          <t>Bao gồm lấy mẫu hiện trường và phân tích phòng thí nghiệm</t>
        </is>
      </c>
    </row>
    <row r="81">
      <c r="A81" s="2" t="n">
        <v>77</v>
      </c>
      <c r="B81" s="2" t="inlineStr">
        <is>
          <t>NB21</t>
        </is>
      </c>
      <c r="C81" s="2" t="inlineStr">
        <is>
          <t>As</t>
        </is>
      </c>
      <c r="D81" s="2" t="inlineStr">
        <is>
          <t>mg/l</t>
        </is>
      </c>
      <c r="E81" s="2">
        <f>IF(DuToan!E81&gt;0, ROUND(DuToan!K81/DuToan!E81, 0), 0)</f>
        <v/>
      </c>
      <c r="F81" s="2">
        <f>IF(DuToan!E81&gt;0, ROUND(DuToan!L81/DuToan!E81, 0), 0)</f>
        <v/>
      </c>
      <c r="G81" s="2">
        <f>IF(DuToan!E81&gt;0, ROUND(DuToan!M81/DuToan!E81, 0), 0)</f>
        <v/>
      </c>
      <c r="H81" s="2">
        <f>IF(DuToan!E81&gt;0, ROUND(DuToan!N81/DuToan!E81, 0), 0)</f>
        <v/>
      </c>
      <c r="I81" s="2">
        <f>E81+F81+G81+H81</f>
        <v/>
      </c>
      <c r="J81" s="2" t="inlineStr">
        <is>
          <t>Bao gồm lấy mẫu hiện trường và phân tích phòng thí nghiệm</t>
        </is>
      </c>
    </row>
    <row r="82">
      <c r="A82" s="3" t="n">
        <v>78</v>
      </c>
      <c r="B82" s="3" t="inlineStr">
        <is>
          <t>NB21</t>
        </is>
      </c>
      <c r="C82" s="3" t="inlineStr">
        <is>
          <t>Hg</t>
        </is>
      </c>
      <c r="D82" s="3" t="inlineStr">
        <is>
          <t>mg/l</t>
        </is>
      </c>
      <c r="E82" s="3">
        <f>IF(DuToan!E82&gt;0, ROUND(DuToan!K82/DuToan!E82, 0), 0)</f>
        <v/>
      </c>
      <c r="F82" s="3">
        <f>IF(DuToan!E82&gt;0, ROUND(DuToan!L82/DuToan!E82, 0), 0)</f>
        <v/>
      </c>
      <c r="G82" s="3">
        <f>IF(DuToan!E82&gt;0, ROUND(DuToan!M82/DuToan!E82, 0), 0)</f>
        <v/>
      </c>
      <c r="H82" s="3">
        <f>IF(DuToan!E82&gt;0, ROUND(DuToan!N82/DuToan!E82, 0), 0)</f>
        <v/>
      </c>
      <c r="I82" s="3">
        <f>E82+F82+G82+H82</f>
        <v/>
      </c>
      <c r="J82" s="3" t="inlineStr">
        <is>
          <t>Bao gồm lấy mẫu hiện trường và phân tích phòng thí nghiệm</t>
        </is>
      </c>
    </row>
    <row r="83">
      <c r="A83" s="2" t="n">
        <v>79</v>
      </c>
      <c r="B83" s="2" t="inlineStr">
        <is>
          <t>NB21</t>
        </is>
      </c>
      <c r="C83" s="2" t="inlineStr">
        <is>
          <t>Cu</t>
        </is>
      </c>
      <c r="D83" s="2" t="inlineStr">
        <is>
          <t>mg/l</t>
        </is>
      </c>
      <c r="E83" s="2">
        <f>IF(DuToan!E83&gt;0, ROUND(DuToan!K83/DuToan!E83, 0), 0)</f>
        <v/>
      </c>
      <c r="F83" s="2">
        <f>IF(DuToan!E83&gt;0, ROUND(DuToan!L83/DuToan!E83, 0), 0)</f>
        <v/>
      </c>
      <c r="G83" s="2">
        <f>IF(DuToan!E83&gt;0, ROUND(DuToan!M83/DuToan!E83, 0), 0)</f>
        <v/>
      </c>
      <c r="H83" s="2">
        <f>IF(DuToan!E83&gt;0, ROUND(DuToan!N83/DuToan!E83, 0), 0)</f>
        <v/>
      </c>
      <c r="I83" s="2">
        <f>E83+F83+G83+H83</f>
        <v/>
      </c>
      <c r="J83" s="2" t="inlineStr">
        <is>
          <t>Bao gồm lấy mẫu hiện trường và phân tích phòng thí nghiệm</t>
        </is>
      </c>
    </row>
    <row r="84">
      <c r="A84" s="3" t="n">
        <v>80</v>
      </c>
      <c r="B84" s="3" t="inlineStr">
        <is>
          <t>NB21</t>
        </is>
      </c>
      <c r="C84" s="3" t="inlineStr">
        <is>
          <t>Pb</t>
        </is>
      </c>
      <c r="D84" s="3" t="inlineStr">
        <is>
          <t>mg/l</t>
        </is>
      </c>
      <c r="E84" s="3">
        <f>IF(DuToan!E84&gt;0, ROUND(DuToan!K84/DuToan!E84, 0), 0)</f>
        <v/>
      </c>
      <c r="F84" s="3">
        <f>IF(DuToan!E84&gt;0, ROUND(DuToan!L84/DuToan!E84, 0), 0)</f>
        <v/>
      </c>
      <c r="G84" s="3">
        <f>IF(DuToan!E84&gt;0, ROUND(DuToan!M84/DuToan!E84, 0), 0)</f>
        <v/>
      </c>
      <c r="H84" s="3">
        <f>IF(DuToan!E84&gt;0, ROUND(DuToan!N84/DuToan!E84, 0), 0)</f>
        <v/>
      </c>
      <c r="I84" s="3">
        <f>E84+F84+G84+H84</f>
        <v/>
      </c>
      <c r="J84" s="3" t="inlineStr">
        <is>
          <t>Bao gồm lấy mẫu hiện trường và phân tích phòng thí nghiệm</t>
        </is>
      </c>
    </row>
    <row r="85">
      <c r="A85" s="2" t="n">
        <v>81</v>
      </c>
      <c r="B85" s="2" t="inlineStr">
        <is>
          <t>NB21</t>
        </is>
      </c>
      <c r="C85" s="2" t="inlineStr">
        <is>
          <t>Fe</t>
        </is>
      </c>
      <c r="D85" s="2" t="inlineStr">
        <is>
          <t>mg/l</t>
        </is>
      </c>
      <c r="E85" s="2">
        <f>IF(DuToan!E85&gt;0, ROUND(DuToan!K85/DuToan!E85, 0), 0)</f>
        <v/>
      </c>
      <c r="F85" s="2">
        <f>IF(DuToan!E85&gt;0, ROUND(DuToan!L85/DuToan!E85, 0), 0)</f>
        <v/>
      </c>
      <c r="G85" s="2">
        <f>IF(DuToan!E85&gt;0, ROUND(DuToan!M85/DuToan!E85, 0), 0)</f>
        <v/>
      </c>
      <c r="H85" s="2">
        <f>IF(DuToan!E85&gt;0, ROUND(DuToan!N85/DuToan!E85, 0), 0)</f>
        <v/>
      </c>
      <c r="I85" s="2">
        <f>E85+F85+G85+H85</f>
        <v/>
      </c>
      <c r="J85" s="2" t="inlineStr">
        <is>
          <t>Bao gồm lấy mẫu hiện trường và phân tích phòng thí nghiệm</t>
        </is>
      </c>
    </row>
    <row r="86">
      <c r="A86" s="3" t="n">
        <v>82</v>
      </c>
      <c r="B86" s="3" t="inlineStr">
        <is>
          <t>NB21</t>
        </is>
      </c>
      <c r="C86" s="3" t="inlineStr">
        <is>
          <t>Zn</t>
        </is>
      </c>
      <c r="D86" s="3" t="inlineStr">
        <is>
          <t>mg/l</t>
        </is>
      </c>
      <c r="E86" s="3">
        <f>IF(DuToan!E86&gt;0, ROUND(DuToan!K86/DuToan!E86, 0), 0)</f>
        <v/>
      </c>
      <c r="F86" s="3">
        <f>IF(DuToan!E86&gt;0, ROUND(DuToan!L86/DuToan!E86, 0), 0)</f>
        <v/>
      </c>
      <c r="G86" s="3">
        <f>IF(DuToan!E86&gt;0, ROUND(DuToan!M86/DuToan!E86, 0), 0)</f>
        <v/>
      </c>
      <c r="H86" s="3">
        <f>IF(DuToan!E86&gt;0, ROUND(DuToan!N86/DuToan!E86, 0), 0)</f>
        <v/>
      </c>
      <c r="I86" s="3">
        <f>E86+F86+G86+H86</f>
        <v/>
      </c>
      <c r="J86" s="3" t="inlineStr">
        <is>
          <t>Bao gồm lấy mẫu hiện trường và phân tích phòng thí nghiệm</t>
        </is>
      </c>
    </row>
    <row r="87">
      <c r="A87" s="2" t="n">
        <v>83</v>
      </c>
      <c r="B87" s="2" t="inlineStr">
        <is>
          <t>NB21</t>
        </is>
      </c>
      <c r="C87" s="2" t="inlineStr">
        <is>
          <t>Tổng Cr</t>
        </is>
      </c>
      <c r="D87" s="2" t="inlineStr">
        <is>
          <t>mg/l</t>
        </is>
      </c>
      <c r="E87" s="2">
        <f>IF(DuToan!E87&gt;0, ROUND(DuToan!K87/DuToan!E87, 0), 0)</f>
        <v/>
      </c>
      <c r="F87" s="2">
        <f>IF(DuToan!E87&gt;0, ROUND(DuToan!L87/DuToan!E87, 0), 0)</f>
        <v/>
      </c>
      <c r="G87" s="2">
        <f>IF(DuToan!E87&gt;0, ROUND(DuToan!M87/DuToan!E87, 0), 0)</f>
        <v/>
      </c>
      <c r="H87" s="2">
        <f>IF(DuToan!E87&gt;0, ROUND(DuToan!N87/DuToan!E87, 0), 0)</f>
        <v/>
      </c>
      <c r="I87" s="2">
        <f>E87+F87+G87+H87</f>
        <v/>
      </c>
      <c r="J87" s="2" t="inlineStr">
        <is>
          <t>Bao gồm lấy mẫu hiện trường và phân tích phòng thí nghiệm</t>
        </is>
      </c>
    </row>
    <row r="88">
      <c r="A88" s="3" t="n">
        <v>84</v>
      </c>
      <c r="B88" s="3" t="inlineStr">
        <is>
          <t>NB21</t>
        </is>
      </c>
      <c r="C88" s="3" t="inlineStr">
        <is>
          <t>Mn</t>
        </is>
      </c>
      <c r="D88" s="3" t="inlineStr">
        <is>
          <t>mg/l</t>
        </is>
      </c>
      <c r="E88" s="3">
        <f>IF(DuToan!E88&gt;0, ROUND(DuToan!K88/DuToan!E88, 0), 0)</f>
        <v/>
      </c>
      <c r="F88" s="3">
        <f>IF(DuToan!E88&gt;0, ROUND(DuToan!L88/DuToan!E88, 0), 0)</f>
        <v/>
      </c>
      <c r="G88" s="3">
        <f>IF(DuToan!E88&gt;0, ROUND(DuToan!M88/DuToan!E88, 0), 0)</f>
        <v/>
      </c>
      <c r="H88" s="3">
        <f>IF(DuToan!E88&gt;0, ROUND(DuToan!N88/DuToan!E88, 0), 0)</f>
        <v/>
      </c>
      <c r="I88" s="3">
        <f>E88+F88+G88+H88</f>
        <v/>
      </c>
      <c r="J88" s="3" t="inlineStr">
        <is>
          <t>Bao gồm lấy mẫu hiện trường và phân tích phòng thí nghiệm</t>
        </is>
      </c>
    </row>
    <row r="89">
      <c r="A89" s="2" t="n">
        <v>85</v>
      </c>
      <c r="B89" s="2" t="inlineStr">
        <is>
          <t>NB21</t>
        </is>
      </c>
      <c r="C89" s="2" t="inlineStr">
        <is>
          <t>Cr VI</t>
        </is>
      </c>
      <c r="D89" s="2" t="inlineStr">
        <is>
          <t>mg/l</t>
        </is>
      </c>
      <c r="E89" s="2">
        <f>IF(DuToan!E89&gt;0, ROUND(DuToan!K89/DuToan!E89, 0), 0)</f>
        <v/>
      </c>
      <c r="F89" s="2">
        <f>IF(DuToan!E89&gt;0, ROUND(DuToan!L89/DuToan!E89, 0), 0)</f>
        <v/>
      </c>
      <c r="G89" s="2">
        <f>IF(DuToan!E89&gt;0, ROUND(DuToan!M89/DuToan!E89, 0), 0)</f>
        <v/>
      </c>
      <c r="H89" s="2">
        <f>IF(DuToan!E89&gt;0, ROUND(DuToan!N89/DuToan!E89, 0), 0)</f>
        <v/>
      </c>
      <c r="I89" s="2">
        <f>E89+F89+G89+H89</f>
        <v/>
      </c>
      <c r="J89" s="2" t="inlineStr">
        <is>
          <t>Bao gồm lấy mẫu hiện trường và phân tích phòng thí nghiệm</t>
        </is>
      </c>
    </row>
    <row r="90">
      <c r="A90" s="3" t="n">
        <v>86</v>
      </c>
      <c r="B90" s="3" t="inlineStr">
        <is>
          <t>NB10</t>
        </is>
      </c>
      <c r="C90" s="3" t="inlineStr">
        <is>
          <t>Tổng Phenol</t>
        </is>
      </c>
      <c r="D90" s="3" t="inlineStr">
        <is>
          <t>mg/l</t>
        </is>
      </c>
      <c r="E90" s="3">
        <f>IF(DuToan!E90&gt;0, ROUND(DuToan!K90/DuToan!E90, 0), 0)</f>
        <v/>
      </c>
      <c r="F90" s="3">
        <f>IF(DuToan!E90&gt;0, ROUND(DuToan!L90/DuToan!E90, 0), 0)</f>
        <v/>
      </c>
      <c r="G90" s="3">
        <f>IF(DuToan!E90&gt;0, ROUND(DuToan!M90/DuToan!E90, 0), 0)</f>
        <v/>
      </c>
      <c r="H90" s="3">
        <f>IF(DuToan!E90&gt;0, ROUND(DuToan!N90/DuToan!E90, 0), 0)</f>
        <v/>
      </c>
      <c r="I90" s="3">
        <f>E90+F90+G90+H90</f>
        <v/>
      </c>
      <c r="J90" s="3" t="inlineStr">
        <is>
          <t>Bao gồm lấy mẫu hiện trường và phân tích phòng thí nghiệm</t>
        </is>
      </c>
    </row>
    <row r="91">
      <c r="A91" s="2" t="n">
        <v>87</v>
      </c>
      <c r="B91" s="2" t="inlineStr">
        <is>
          <t>NB22</t>
        </is>
      </c>
      <c r="C91" s="2" t="inlineStr">
        <is>
          <t>Tổng dầu mỡ khoáng</t>
        </is>
      </c>
      <c r="D91" s="2" t="inlineStr">
        <is>
          <t>mg/l</t>
        </is>
      </c>
      <c r="E91" s="2">
        <f>IF(DuToan!E91&gt;0, ROUND(DuToan!K91/DuToan!E91, 0), 0)</f>
        <v/>
      </c>
      <c r="F91" s="2">
        <f>IF(DuToan!E91&gt;0, ROUND(DuToan!L91/DuToan!E91, 0), 0)</f>
        <v/>
      </c>
      <c r="G91" s="2">
        <f>IF(DuToan!E91&gt;0, ROUND(DuToan!M91/DuToan!E91, 0), 0)</f>
        <v/>
      </c>
      <c r="H91" s="2">
        <f>IF(DuToan!E91&gt;0, ROUND(DuToan!N91/DuToan!E91, 0), 0)</f>
        <v/>
      </c>
      <c r="I91" s="2">
        <f>E91+F91+G91+H91</f>
        <v/>
      </c>
      <c r="J91" s="2" t="inlineStr">
        <is>
          <t>Bao gồm lấy mẫu hiện trường và phân tích phòng thí nghiệm</t>
        </is>
      </c>
    </row>
    <row r="92">
      <c r="A92" s="3" t="n">
        <v>88</v>
      </c>
      <c r="B92" s="3" t="inlineStr">
        <is>
          <t>NB18</t>
        </is>
      </c>
      <c r="C92" s="3" t="inlineStr">
        <is>
          <t>Coliform</t>
        </is>
      </c>
      <c r="D92" s="3" t="inlineStr">
        <is>
          <t>MPN/100ml</t>
        </is>
      </c>
      <c r="E92" s="3">
        <f>IF(DuToan!E92&gt;0, ROUND(DuToan!K92/DuToan!E92, 0), 0)</f>
        <v/>
      </c>
      <c r="F92" s="3">
        <f>IF(DuToan!E92&gt;0, ROUND(DuToan!L92/DuToan!E92, 0), 0)</f>
        <v/>
      </c>
      <c r="G92" s="3">
        <f>IF(DuToan!E92&gt;0, ROUND(DuToan!M92/DuToan!E92, 0), 0)</f>
        <v/>
      </c>
      <c r="H92" s="3">
        <f>IF(DuToan!E92&gt;0, ROUND(DuToan!N92/DuToan!E92, 0), 0)</f>
        <v/>
      </c>
      <c r="I92" s="3">
        <f>E92+F92+G92+H92</f>
        <v/>
      </c>
      <c r="J92" s="3" t="inlineStr">
        <is>
          <t>Bao gồm lấy mẫu hiện trường và phân tích phòng thí nghiệm</t>
        </is>
      </c>
    </row>
    <row r="93">
      <c r="A93" s="2" t="n">
        <v>89</v>
      </c>
      <c r="B93" s="2" t="inlineStr">
        <is>
          <t>NB10</t>
        </is>
      </c>
      <c r="C93" s="2" t="inlineStr">
        <is>
          <t>Phiêu sinh thực vật</t>
        </is>
      </c>
      <c r="D93" s="2" t="inlineStr"/>
      <c r="E93" s="2">
        <f>IF(DuToan!E93&gt;0, ROUND(DuToan!K93/DuToan!E93, 0), 0)</f>
        <v/>
      </c>
      <c r="F93" s="2">
        <f>IF(DuToan!E93&gt;0, ROUND(DuToan!L93/DuToan!E93, 0), 0)</f>
        <v/>
      </c>
      <c r="G93" s="2">
        <f>IF(DuToan!E93&gt;0, ROUND(DuToan!M93/DuToan!E93, 0), 0)</f>
        <v/>
      </c>
      <c r="H93" s="2">
        <f>IF(DuToan!E93&gt;0, ROUND(DuToan!N93/DuToan!E93, 0), 0)</f>
        <v/>
      </c>
      <c r="I93" s="2">
        <f>E93+F93+G93+H93</f>
        <v/>
      </c>
      <c r="J93" s="2" t="inlineStr">
        <is>
          <t>Bao gồm lấy mẫu hiện trường và phân tích phòng thí nghiệm</t>
        </is>
      </c>
    </row>
    <row r="94">
      <c r="A94" s="3" t="n">
        <v>90</v>
      </c>
      <c r="B94" s="3" t="inlineStr">
        <is>
          <t>NB10</t>
        </is>
      </c>
      <c r="C94" s="3" t="inlineStr">
        <is>
          <t>Phiêu sinh động vật</t>
        </is>
      </c>
      <c r="D94" s="3" t="inlineStr"/>
      <c r="E94" s="3">
        <f>IF(DuToan!E94&gt;0, ROUND(DuToan!K94/DuToan!E94, 0), 0)</f>
        <v/>
      </c>
      <c r="F94" s="3">
        <f>IF(DuToan!E94&gt;0, ROUND(DuToan!L94/DuToan!E94, 0), 0)</f>
        <v/>
      </c>
      <c r="G94" s="3">
        <f>IF(DuToan!E94&gt;0, ROUND(DuToan!M94/DuToan!E94, 0), 0)</f>
        <v/>
      </c>
      <c r="H94" s="3">
        <f>IF(DuToan!E94&gt;0, ROUND(DuToan!N94/DuToan!E94, 0), 0)</f>
        <v/>
      </c>
      <c r="I94" s="3">
        <f>E94+F94+G94+H94</f>
        <v/>
      </c>
      <c r="J94" s="3" t="inlineStr">
        <is>
          <t>Bao gồm lấy mẫu hiện trường và phân tích phòng thí nghiệm</t>
        </is>
      </c>
    </row>
    <row r="95">
      <c r="A95" s="2" t="n">
        <v>91</v>
      </c>
      <c r="B95" s="2" t="inlineStr">
        <is>
          <t>NB19c</t>
        </is>
      </c>
      <c r="C95" s="2" t="inlineStr">
        <is>
          <t>Động vật đáy</t>
        </is>
      </c>
      <c r="D95" s="2" t="inlineStr"/>
      <c r="E95" s="2">
        <f>IF(DuToan!E95&gt;0, ROUND(DuToan!K95/DuToan!E95, 0), 0)</f>
        <v/>
      </c>
      <c r="F95" s="2">
        <f>IF(DuToan!E95&gt;0, ROUND(DuToan!L95/DuToan!E95, 0), 0)</f>
        <v/>
      </c>
      <c r="G95" s="2">
        <f>IF(DuToan!E95&gt;0, ROUND(DuToan!M95/DuToan!E95, 0), 0)</f>
        <v/>
      </c>
      <c r="H95" s="2">
        <f>IF(DuToan!E95&gt;0, ROUND(DuToan!N95/DuToan!E95, 0), 0)</f>
        <v/>
      </c>
      <c r="I95" s="2">
        <f>E95+F95+G95+H95</f>
        <v/>
      </c>
      <c r="J95" s="2" t="inlineStr">
        <is>
          <t>Bao gồm lấy mẫu hiện trường và phân tích phòng thí nghiệm</t>
        </is>
      </c>
    </row>
    <row r="96">
      <c r="A96" s="3" t="n">
        <v>92</v>
      </c>
      <c r="B96" s="3" t="inlineStr">
        <is>
          <t>NT4b</t>
        </is>
      </c>
      <c r="C96" s="3" t="inlineStr">
        <is>
          <t>Màu</t>
        </is>
      </c>
      <c r="D96" s="3" t="inlineStr">
        <is>
          <t>mg/l</t>
        </is>
      </c>
      <c r="E96" s="3">
        <f>IF(DuToan!E96&gt;0, ROUND(DuToan!K96/DuToan!E96, 0), 0)</f>
        <v/>
      </c>
      <c r="F96" s="3">
        <f>IF(DuToan!E96&gt;0, ROUND(DuToan!L96/DuToan!E96, 0), 0)</f>
        <v/>
      </c>
      <c r="G96" s="3">
        <f>IF(DuToan!E96&gt;0, ROUND(DuToan!M96/DuToan!E96, 0), 0)</f>
        <v/>
      </c>
      <c r="H96" s="3">
        <f>IF(DuToan!E96&gt;0, ROUND(DuToan!N96/DuToan!E96, 0), 0)</f>
        <v/>
      </c>
      <c r="I96" s="3">
        <f>E96+F96+G96+H96</f>
        <v/>
      </c>
      <c r="J96" s="3" t="inlineStr">
        <is>
          <t>Bao gồm lấy mẫu hiện trường và phân tích phòng thí nghiệm</t>
        </is>
      </c>
    </row>
    <row r="97">
      <c r="A97" s="2" t="n">
        <v>93</v>
      </c>
      <c r="B97" s="2" t="inlineStr">
        <is>
          <t>NT5a</t>
        </is>
      </c>
      <c r="C97" s="2" t="inlineStr">
        <is>
          <t>BOD5</t>
        </is>
      </c>
      <c r="D97" s="2" t="inlineStr">
        <is>
          <t>mg/l</t>
        </is>
      </c>
      <c r="E97" s="2">
        <f>IF(DuToan!E97&gt;0, ROUND(DuToan!K97/DuToan!E97, 0), 0)</f>
        <v/>
      </c>
      <c r="F97" s="2">
        <f>IF(DuToan!E97&gt;0, ROUND(DuToan!L97/DuToan!E97, 0), 0)</f>
        <v/>
      </c>
      <c r="G97" s="2">
        <f>IF(DuToan!E97&gt;0, ROUND(DuToan!M97/DuToan!E97, 0), 0)</f>
        <v/>
      </c>
      <c r="H97" s="2">
        <f>IF(DuToan!E97&gt;0, ROUND(DuToan!N97/DuToan!E97, 0), 0)</f>
        <v/>
      </c>
      <c r="I97" s="2">
        <f>E97+F97+G97+H97</f>
        <v/>
      </c>
      <c r="J97" s="2" t="inlineStr">
        <is>
          <t>Bao gồm lấy mẫu hiện trường và phân tích phòng thí nghiệm</t>
        </is>
      </c>
    </row>
    <row r="98">
      <c r="A98" s="3" t="n">
        <v>94</v>
      </c>
      <c r="B98" s="3" t="inlineStr">
        <is>
          <t>NT10l1</t>
        </is>
      </c>
      <c r="C98" s="3" t="inlineStr">
        <is>
          <t>Asen</t>
        </is>
      </c>
      <c r="D98" s="3" t="inlineStr">
        <is>
          <t>mg/l</t>
        </is>
      </c>
      <c r="E98" s="3">
        <f>IF(DuToan!E98&gt;0, ROUND(DuToan!K98/DuToan!E98, 0), 0)</f>
        <v/>
      </c>
      <c r="F98" s="3">
        <f>IF(DuToan!E98&gt;0, ROUND(DuToan!L98/DuToan!E98, 0), 0)</f>
        <v/>
      </c>
      <c r="G98" s="3">
        <f>IF(DuToan!E98&gt;0, ROUND(DuToan!M98/DuToan!E98, 0), 0)</f>
        <v/>
      </c>
      <c r="H98" s="3">
        <f>IF(DuToan!E98&gt;0, ROUND(DuToan!N98/DuToan!E98, 0), 0)</f>
        <v/>
      </c>
      <c r="I98" s="3">
        <f>E98+F98+G98+H98</f>
        <v/>
      </c>
      <c r="J98" s="3" t="inlineStr">
        <is>
          <t>Bao gồm lấy mẫu hiện trường và phân tích phòng thí nghiệm</t>
        </is>
      </c>
    </row>
    <row r="99">
      <c r="A99" s="2" t="n">
        <v>95</v>
      </c>
      <c r="B99" s="2" t="inlineStr">
        <is>
          <t>NT10l2</t>
        </is>
      </c>
      <c r="C99" s="2" t="inlineStr">
        <is>
          <t>Thủy ngân</t>
        </is>
      </c>
      <c r="D99" s="2" t="inlineStr">
        <is>
          <t>mg/l</t>
        </is>
      </c>
      <c r="E99" s="2">
        <f>IF(DuToan!E99&gt;0, ROUND(DuToan!K99/DuToan!E99, 0), 0)</f>
        <v/>
      </c>
      <c r="F99" s="2">
        <f>IF(DuToan!E99&gt;0, ROUND(DuToan!L99/DuToan!E99, 0), 0)</f>
        <v/>
      </c>
      <c r="G99" s="2">
        <f>IF(DuToan!E99&gt;0, ROUND(DuToan!M99/DuToan!E99, 0), 0)</f>
        <v/>
      </c>
      <c r="H99" s="2">
        <f>IF(DuToan!E99&gt;0, ROUND(DuToan!N99/DuToan!E99, 0), 0)</f>
        <v/>
      </c>
      <c r="I99" s="2">
        <f>E99+F99+G99+H99</f>
        <v/>
      </c>
      <c r="J99" s="2" t="inlineStr">
        <is>
          <t>Bao gồm lấy mẫu hiện trường và phân tích phòng thí nghiệm</t>
        </is>
      </c>
    </row>
    <row r="100">
      <c r="A100" s="3" t="n">
        <v>96</v>
      </c>
      <c r="B100" s="3" t="inlineStr">
        <is>
          <t>NT10k1</t>
        </is>
      </c>
      <c r="C100" s="3" t="inlineStr">
        <is>
          <t>Chì</t>
        </is>
      </c>
      <c r="D100" s="3" t="inlineStr">
        <is>
          <t>mg/l</t>
        </is>
      </c>
      <c r="E100" s="3">
        <f>IF(DuToan!E100&gt;0, ROUND(DuToan!K100/DuToan!E100, 0), 0)</f>
        <v/>
      </c>
      <c r="F100" s="3">
        <f>IF(DuToan!E100&gt;0, ROUND(DuToan!L100/DuToan!E100, 0), 0)</f>
        <v/>
      </c>
      <c r="G100" s="3">
        <f>IF(DuToan!E100&gt;0, ROUND(DuToan!M100/DuToan!E100, 0), 0)</f>
        <v/>
      </c>
      <c r="H100" s="3">
        <f>IF(DuToan!E100&gt;0, ROUND(DuToan!N100/DuToan!E100, 0), 0)</f>
        <v/>
      </c>
      <c r="I100" s="3">
        <f>E100+F100+G100+H100</f>
        <v/>
      </c>
      <c r="J100" s="3" t="inlineStr">
        <is>
          <t>Bao gồm lấy mẫu hiện trường và phân tích phòng thí nghiệm</t>
        </is>
      </c>
    </row>
    <row r="101">
      <c r="A101" s="2" t="n">
        <v>97</v>
      </c>
      <c r="B101" s="2" t="inlineStr">
        <is>
          <t>NT10k2</t>
        </is>
      </c>
      <c r="C101" s="2" t="inlineStr">
        <is>
          <t>Cadimi</t>
        </is>
      </c>
      <c r="D101" s="2" t="inlineStr">
        <is>
          <t>mg/l</t>
        </is>
      </c>
      <c r="E101" s="2">
        <f>IF(DuToan!E101&gt;0, ROUND(DuToan!K101/DuToan!E101, 0), 0)</f>
        <v/>
      </c>
      <c r="F101" s="2">
        <f>IF(DuToan!E101&gt;0, ROUND(DuToan!L101/DuToan!E101, 0), 0)</f>
        <v/>
      </c>
      <c r="G101" s="2">
        <f>IF(DuToan!E101&gt;0, ROUND(DuToan!M101/DuToan!E101, 0), 0)</f>
        <v/>
      </c>
      <c r="H101" s="2">
        <f>IF(DuToan!E101&gt;0, ROUND(DuToan!N101/DuToan!E101, 0), 0)</f>
        <v/>
      </c>
      <c r="I101" s="2">
        <f>E101+F101+G101+H101</f>
        <v/>
      </c>
      <c r="J101" s="2" t="inlineStr">
        <is>
          <t>Bao gồm lấy mẫu hiện trường và phân tích phòng thí nghiệm</t>
        </is>
      </c>
    </row>
    <row r="102">
      <c r="A102" s="3" t="n">
        <v>98</v>
      </c>
      <c r="B102" s="3" t="inlineStr">
        <is>
          <t>NT10m5</t>
        </is>
      </c>
      <c r="C102" s="3" t="inlineStr">
        <is>
          <t>Crom (III)</t>
        </is>
      </c>
      <c r="D102" s="3" t="inlineStr">
        <is>
          <t>mg/l</t>
        </is>
      </c>
      <c r="E102" s="3">
        <f>IF(DuToan!E102&gt;0, ROUND(DuToan!K102/DuToan!E102, 0), 0)</f>
        <v/>
      </c>
      <c r="F102" s="3">
        <f>IF(DuToan!E102&gt;0, ROUND(DuToan!L102/DuToan!E102, 0), 0)</f>
        <v/>
      </c>
      <c r="G102" s="3">
        <f>IF(DuToan!E102&gt;0, ROUND(DuToan!M102/DuToan!E102, 0), 0)</f>
        <v/>
      </c>
      <c r="H102" s="3">
        <f>IF(DuToan!E102&gt;0, ROUND(DuToan!N102/DuToan!E102, 0), 0)</f>
        <v/>
      </c>
      <c r="I102" s="3">
        <f>E102+F102+G102+H102</f>
        <v/>
      </c>
      <c r="J102" s="3" t="inlineStr">
        <is>
          <t>Bao gồm lấy mẫu hiện trường và phân tích phòng thí nghiệm</t>
        </is>
      </c>
    </row>
    <row r="103">
      <c r="A103" s="2" t="n">
        <v>99</v>
      </c>
      <c r="B103" s="2" t="inlineStr">
        <is>
          <t>NT10đ</t>
        </is>
      </c>
      <c r="C103" s="2" t="inlineStr">
        <is>
          <t>Crom (VI)</t>
        </is>
      </c>
      <c r="D103" s="2" t="inlineStr">
        <is>
          <t>mg/l</t>
        </is>
      </c>
      <c r="E103" s="2">
        <f>IF(DuToan!E103&gt;0, ROUND(DuToan!K103/DuToan!E103, 0), 0)</f>
        <v/>
      </c>
      <c r="F103" s="2">
        <f>IF(DuToan!E103&gt;0, ROUND(DuToan!L103/DuToan!E103, 0), 0)</f>
        <v/>
      </c>
      <c r="G103" s="2">
        <f>IF(DuToan!E103&gt;0, ROUND(DuToan!M103/DuToan!E103, 0), 0)</f>
        <v/>
      </c>
      <c r="H103" s="2">
        <f>IF(DuToan!E103&gt;0, ROUND(DuToan!N103/DuToan!E103, 0), 0)</f>
        <v/>
      </c>
      <c r="I103" s="2">
        <f>E103+F103+G103+H103</f>
        <v/>
      </c>
      <c r="J103" s="2" t="inlineStr">
        <is>
          <t>Bao gồm lấy mẫu hiện trường và phân tích phòng thí nghiệm</t>
        </is>
      </c>
    </row>
    <row r="104">
      <c r="A104" s="3" t="n">
        <v>100</v>
      </c>
      <c r="B104" s="3" t="inlineStr">
        <is>
          <t>NT10m1</t>
        </is>
      </c>
      <c r="C104" s="3" t="inlineStr">
        <is>
          <t>Đồng</t>
        </is>
      </c>
      <c r="D104" s="3" t="inlineStr">
        <is>
          <t>mg/l</t>
        </is>
      </c>
      <c r="E104" s="3">
        <f>IF(DuToan!E104&gt;0, ROUND(DuToan!K104/DuToan!E104, 0), 0)</f>
        <v/>
      </c>
      <c r="F104" s="3">
        <f>IF(DuToan!E104&gt;0, ROUND(DuToan!L104/DuToan!E104, 0), 0)</f>
        <v/>
      </c>
      <c r="G104" s="3">
        <f>IF(DuToan!E104&gt;0, ROUND(DuToan!M104/DuToan!E104, 0), 0)</f>
        <v/>
      </c>
      <c r="H104" s="3">
        <f>IF(DuToan!E104&gt;0, ROUND(DuToan!N104/DuToan!E104, 0), 0)</f>
        <v/>
      </c>
      <c r="I104" s="3">
        <f>E104+F104+G104+H104</f>
        <v/>
      </c>
      <c r="J104" s="3" t="inlineStr">
        <is>
          <t>Bao gồm lấy mẫu hiện trường và phân tích phòng thí nghiệm</t>
        </is>
      </c>
    </row>
    <row r="105">
      <c r="A105" s="2" t="n">
        <v>101</v>
      </c>
      <c r="B105" s="2" t="inlineStr">
        <is>
          <t>NT10m2</t>
        </is>
      </c>
      <c r="C105" s="2" t="inlineStr">
        <is>
          <t>Kẽm</t>
        </is>
      </c>
      <c r="D105" s="2" t="inlineStr">
        <is>
          <t>mg/l</t>
        </is>
      </c>
      <c r="E105" s="2">
        <f>IF(DuToan!E105&gt;0, ROUND(DuToan!K105/DuToan!E105, 0), 0)</f>
        <v/>
      </c>
      <c r="F105" s="2">
        <f>IF(DuToan!E105&gt;0, ROUND(DuToan!L105/DuToan!E105, 0), 0)</f>
        <v/>
      </c>
      <c r="G105" s="2">
        <f>IF(DuToan!E105&gt;0, ROUND(DuToan!M105/DuToan!E105, 0), 0)</f>
        <v/>
      </c>
      <c r="H105" s="2">
        <f>IF(DuToan!E105&gt;0, ROUND(DuToan!N105/DuToan!E105, 0), 0)</f>
        <v/>
      </c>
      <c r="I105" s="2">
        <f>E105+F105+G105+H105</f>
        <v/>
      </c>
      <c r="J105" s="2" t="inlineStr">
        <is>
          <t>Bao gồm lấy mẫu hiện trường và phân tích phòng thí nghiệm</t>
        </is>
      </c>
    </row>
    <row r="106">
      <c r="A106" s="3" t="n">
        <v>102</v>
      </c>
      <c r="B106" s="3" t="inlineStr">
        <is>
          <t>NT10m6</t>
        </is>
      </c>
      <c r="C106" s="3" t="inlineStr">
        <is>
          <t>Niken</t>
        </is>
      </c>
      <c r="D106" s="3" t="inlineStr">
        <is>
          <t>mg/l</t>
        </is>
      </c>
      <c r="E106" s="3">
        <f>IF(DuToan!E106&gt;0, ROUND(DuToan!K106/DuToan!E106, 0), 0)</f>
        <v/>
      </c>
      <c r="F106" s="3">
        <f>IF(DuToan!E106&gt;0, ROUND(DuToan!L106/DuToan!E106, 0), 0)</f>
        <v/>
      </c>
      <c r="G106" s="3">
        <f>IF(DuToan!E106&gt;0, ROUND(DuToan!M106/DuToan!E106, 0), 0)</f>
        <v/>
      </c>
      <c r="H106" s="3">
        <f>IF(DuToan!E106&gt;0, ROUND(DuToan!N106/DuToan!E106, 0), 0)</f>
        <v/>
      </c>
      <c r="I106" s="3">
        <f>E106+F106+G106+H106</f>
        <v/>
      </c>
      <c r="J106" s="3" t="inlineStr">
        <is>
          <t>Bao gồm lấy mẫu hiện trường và phân tích phòng thí nghiệm</t>
        </is>
      </c>
    </row>
    <row r="107">
      <c r="A107" s="2" t="n">
        <v>103</v>
      </c>
      <c r="B107" s="2" t="inlineStr">
        <is>
          <t>NT10m3</t>
        </is>
      </c>
      <c r="C107" s="2" t="inlineStr">
        <is>
          <t>Mangan</t>
        </is>
      </c>
      <c r="D107" s="2" t="inlineStr">
        <is>
          <t>mg/l</t>
        </is>
      </c>
      <c r="E107" s="2">
        <f>IF(DuToan!E107&gt;0, ROUND(DuToan!K107/DuToan!E107, 0), 0)</f>
        <v/>
      </c>
      <c r="F107" s="2">
        <f>IF(DuToan!E107&gt;0, ROUND(DuToan!L107/DuToan!E107, 0), 0)</f>
        <v/>
      </c>
      <c r="G107" s="2">
        <f>IF(DuToan!E107&gt;0, ROUND(DuToan!M107/DuToan!E107, 0), 0)</f>
        <v/>
      </c>
      <c r="H107" s="2">
        <f>IF(DuToan!E107&gt;0, ROUND(DuToan!N107/DuToan!E107, 0), 0)</f>
        <v/>
      </c>
      <c r="I107" s="2">
        <f>E107+F107+G107+H107</f>
        <v/>
      </c>
      <c r="J107" s="2" t="inlineStr">
        <is>
          <t>Bao gồm lấy mẫu hiện trường và phân tích phòng thí nghiệm</t>
        </is>
      </c>
    </row>
    <row r="108">
      <c r="A108" s="3" t="n">
        <v>104</v>
      </c>
      <c r="B108" s="3" t="inlineStr">
        <is>
          <t>NT10m4</t>
        </is>
      </c>
      <c r="C108" s="3" t="inlineStr">
        <is>
          <t>Sắt</t>
        </is>
      </c>
      <c r="D108" s="3" t="inlineStr">
        <is>
          <t>mg/l</t>
        </is>
      </c>
      <c r="E108" s="3">
        <f>IF(DuToan!E108&gt;0, ROUND(DuToan!K108/DuToan!E108, 0), 0)</f>
        <v/>
      </c>
      <c r="F108" s="3">
        <f>IF(DuToan!E108&gt;0, ROUND(DuToan!L108/DuToan!E108, 0), 0)</f>
        <v/>
      </c>
      <c r="G108" s="3">
        <f>IF(DuToan!E108&gt;0, ROUND(DuToan!M108/DuToan!E108, 0), 0)</f>
        <v/>
      </c>
      <c r="H108" s="3">
        <f>IF(DuToan!E108&gt;0, ROUND(DuToan!N108/DuToan!E108, 0), 0)</f>
        <v/>
      </c>
      <c r="I108" s="3">
        <f>E108+F108+G108+H108</f>
        <v/>
      </c>
      <c r="J108" s="3" t="inlineStr">
        <is>
          <t>Bao gồm lấy mẫu hiện trường và phân tích phòng thí nghiệm</t>
        </is>
      </c>
    </row>
    <row r="109">
      <c r="A109" s="2" t="n">
        <v>105</v>
      </c>
      <c r="B109" s="2" t="inlineStr">
        <is>
          <t>NT9</t>
        </is>
      </c>
      <c r="C109" s="2" t="inlineStr">
        <is>
          <t>Tổng Xyanua</t>
        </is>
      </c>
      <c r="D109" s="2" t="inlineStr">
        <is>
          <t>mg/l</t>
        </is>
      </c>
      <c r="E109" s="2">
        <f>IF(DuToan!E109&gt;0, ROUND(DuToan!K109/DuToan!E109, 0), 0)</f>
        <v/>
      </c>
      <c r="F109" s="2">
        <f>IF(DuToan!E109&gt;0, ROUND(DuToan!L109/DuToan!E109, 0), 0)</f>
        <v/>
      </c>
      <c r="G109" s="2">
        <f>IF(DuToan!E109&gt;0, ROUND(DuToan!M109/DuToan!E109, 0), 0)</f>
        <v/>
      </c>
      <c r="H109" s="2">
        <f>IF(DuToan!E109&gt;0, ROUND(DuToan!N109/DuToan!E109, 0), 0)</f>
        <v/>
      </c>
      <c r="I109" s="2">
        <f>E109+F109+G109+H109</f>
        <v/>
      </c>
      <c r="J109" s="2" t="inlineStr">
        <is>
          <t>Bao gồm lấy mẫu hiện trường và phân tích phòng thí nghiệm</t>
        </is>
      </c>
    </row>
    <row r="110">
      <c r="A110" s="3" t="n">
        <v>106</v>
      </c>
      <c r="B110" s="3" t="inlineStr">
        <is>
          <t>NT8</t>
        </is>
      </c>
      <c r="C110" s="3" t="inlineStr">
        <is>
          <t>Tổng dầu mỡ khoáng</t>
        </is>
      </c>
      <c r="D110" s="3" t="inlineStr">
        <is>
          <t>mg/l</t>
        </is>
      </c>
      <c r="E110" s="3">
        <f>IF(DuToan!E110&gt;0, ROUND(DuToan!K110/DuToan!E110, 0), 0)</f>
        <v/>
      </c>
      <c r="F110" s="3">
        <f>IF(DuToan!E110&gt;0, ROUND(DuToan!L110/DuToan!E110, 0), 0)</f>
        <v/>
      </c>
      <c r="G110" s="3">
        <f>IF(DuToan!E110&gt;0, ROUND(DuToan!M110/DuToan!E110, 0), 0)</f>
        <v/>
      </c>
      <c r="H110" s="3">
        <f>IF(DuToan!E110&gt;0, ROUND(DuToan!N110/DuToan!E110, 0), 0)</f>
        <v/>
      </c>
      <c r="I110" s="3">
        <f>E110+F110+G110+H110</f>
        <v/>
      </c>
      <c r="J110" s="3" t="inlineStr">
        <is>
          <t>Bao gồm lấy mẫu hiện trường và phân tích phòng thí nghiệm</t>
        </is>
      </c>
    </row>
    <row r="111">
      <c r="A111" s="2" t="n">
        <v>107</v>
      </c>
      <c r="B111" s="2" t="inlineStr">
        <is>
          <t>NT10d</t>
        </is>
      </c>
      <c r="C111" s="2" t="inlineStr">
        <is>
          <t>Sunfua</t>
        </is>
      </c>
      <c r="D111" s="2" t="inlineStr">
        <is>
          <t>mg/l</t>
        </is>
      </c>
      <c r="E111" s="2">
        <f>IF(DuToan!E111&gt;0, ROUND(DuToan!K111/DuToan!E111, 0), 0)</f>
        <v/>
      </c>
      <c r="F111" s="2">
        <f>IF(DuToan!E111&gt;0, ROUND(DuToan!L111/DuToan!E111, 0), 0)</f>
        <v/>
      </c>
      <c r="G111" s="2">
        <f>IF(DuToan!E111&gt;0, ROUND(DuToan!M111/DuToan!E111, 0), 0)</f>
        <v/>
      </c>
      <c r="H111" s="2">
        <f>IF(DuToan!E111&gt;0, ROUND(DuToan!N111/DuToan!E111, 0), 0)</f>
        <v/>
      </c>
      <c r="I111" s="2">
        <f>E111+F111+G111+H111</f>
        <v/>
      </c>
      <c r="J111" s="2" t="inlineStr">
        <is>
          <t>Bao gồm lấy mẫu hiện trường và phân tích phòng thí nghiệm</t>
        </is>
      </c>
    </row>
    <row r="112">
      <c r="A112" s="3" t="n">
        <v>108</v>
      </c>
      <c r="B112" s="3" t="inlineStr">
        <is>
          <t>NT10b</t>
        </is>
      </c>
      <c r="C112" s="3" t="inlineStr">
        <is>
          <t>Tổng N</t>
        </is>
      </c>
      <c r="D112" s="3" t="inlineStr">
        <is>
          <t>mg/l</t>
        </is>
      </c>
      <c r="E112" s="3">
        <f>IF(DuToan!E112&gt;0, ROUND(DuToan!K112/DuToan!E112, 0), 0)</f>
        <v/>
      </c>
      <c r="F112" s="3">
        <f>IF(DuToan!E112&gt;0, ROUND(DuToan!L112/DuToan!E112, 0), 0)</f>
        <v/>
      </c>
      <c r="G112" s="3">
        <f>IF(DuToan!E112&gt;0, ROUND(DuToan!M112/DuToan!E112, 0), 0)</f>
        <v/>
      </c>
      <c r="H112" s="3">
        <f>IF(DuToan!E112&gt;0, ROUND(DuToan!N112/DuToan!E112, 0), 0)</f>
        <v/>
      </c>
      <c r="I112" s="3">
        <f>E112+F112+G112+H112</f>
        <v/>
      </c>
      <c r="J112" s="3" t="inlineStr">
        <is>
          <t>Bao gồm lấy mẫu hiện trường và phân tích phòng thí nghiệm</t>
        </is>
      </c>
    </row>
    <row r="113">
      <c r="A113" s="2" t="n">
        <v>109</v>
      </c>
      <c r="B113" s="2" t="inlineStr">
        <is>
          <t>NT10a</t>
        </is>
      </c>
      <c r="C113" s="2" t="inlineStr">
        <is>
          <t>Tổng P</t>
        </is>
      </c>
      <c r="D113" s="2" t="inlineStr">
        <is>
          <t>mg/l</t>
        </is>
      </c>
      <c r="E113" s="2">
        <f>IF(DuToan!E113&gt;0, ROUND(DuToan!K113/DuToan!E113, 0), 0)</f>
        <v/>
      </c>
      <c r="F113" s="2">
        <f>IF(DuToan!E113&gt;0, ROUND(DuToan!L113/DuToan!E113, 0), 0)</f>
        <v/>
      </c>
      <c r="G113" s="2">
        <f>IF(DuToan!E113&gt;0, ROUND(DuToan!M113/DuToan!E113, 0), 0)</f>
        <v/>
      </c>
      <c r="H113" s="2">
        <f>IF(DuToan!E113&gt;0, ROUND(DuToan!N113/DuToan!E113, 0), 0)</f>
        <v/>
      </c>
      <c r="I113" s="2">
        <f>E113+F113+G113+H113</f>
        <v/>
      </c>
      <c r="J113" s="2" t="inlineStr">
        <is>
          <t>Bao gồm lấy mẫu hiện trường và phân tích phòng thí nghiệm</t>
        </is>
      </c>
    </row>
    <row r="114">
      <c r="A114" s="3" t="n">
        <v>110</v>
      </c>
      <c r="B114" s="3" t="inlineStr">
        <is>
          <t>NT10j</t>
        </is>
      </c>
      <c r="C114" s="3" t="inlineStr">
        <is>
          <t>Clo dư</t>
        </is>
      </c>
      <c r="D114" s="3" t="inlineStr">
        <is>
          <t>mg/l</t>
        </is>
      </c>
      <c r="E114" s="3">
        <f>IF(DuToan!E114&gt;0, ROUND(DuToan!K114/DuToan!E114, 0), 0)</f>
        <v/>
      </c>
      <c r="F114" s="3">
        <f>IF(DuToan!E114&gt;0, ROUND(DuToan!L114/DuToan!E114, 0), 0)</f>
        <v/>
      </c>
      <c r="G114" s="3">
        <f>IF(DuToan!E114&gt;0, ROUND(DuToan!M114/DuToan!E114, 0), 0)</f>
        <v/>
      </c>
      <c r="H114" s="3">
        <f>IF(DuToan!E114&gt;0, ROUND(DuToan!N114/DuToan!E114, 0), 0)</f>
        <v/>
      </c>
      <c r="I114" s="3">
        <f>E114+F114+G114+H114</f>
        <v/>
      </c>
      <c r="J114" s="3" t="inlineStr">
        <is>
          <t>Bao gồm lấy mẫu hiện trường và phân tích phòng thí nghiệm</t>
        </is>
      </c>
    </row>
    <row r="115">
      <c r="A115" s="2" t="n">
        <v>111</v>
      </c>
      <c r="B115" s="2" t="inlineStr">
        <is>
          <t>NT7a</t>
        </is>
      </c>
      <c r="C115" s="2" t="inlineStr">
        <is>
          <t>Coliform</t>
        </is>
      </c>
      <c r="D115" s="2" t="inlineStr">
        <is>
          <t>MPN/ 100ml</t>
        </is>
      </c>
      <c r="E115" s="2">
        <f>IF(DuToan!E115&gt;0, ROUND(DuToan!K115/DuToan!E115, 0), 0)</f>
        <v/>
      </c>
      <c r="F115" s="2">
        <f>IF(DuToan!E115&gt;0, ROUND(DuToan!L115/DuToan!E115, 0), 0)</f>
        <v/>
      </c>
      <c r="G115" s="2">
        <f>IF(DuToan!E115&gt;0, ROUND(DuToan!M115/DuToan!E115, 0), 0)</f>
        <v/>
      </c>
      <c r="H115" s="2">
        <f>IF(DuToan!E115&gt;0, ROUND(DuToan!N115/DuToan!E115, 0), 0)</f>
        <v/>
      </c>
      <c r="I115" s="2">
        <f>E115+F115+G115+H115</f>
        <v/>
      </c>
      <c r="J115" s="2" t="inlineStr">
        <is>
          <t>Bao gồm lấy mẫu hiện trường và phân tích phòng thí nghiệm</t>
        </is>
      </c>
    </row>
    <row r="116">
      <c r="A116" s="3" t="n">
        <v>112</v>
      </c>
      <c r="B116" s="3" t="inlineStr">
        <is>
          <t>KT9c</t>
        </is>
      </c>
      <c r="C116" s="3" t="inlineStr">
        <is>
          <t>Amoniac</t>
        </is>
      </c>
      <c r="D116" s="3" t="inlineStr">
        <is>
          <t>mg/Nm3</t>
        </is>
      </c>
      <c r="E116" s="3">
        <f>IF(DuToan!E116&gt;0, ROUND(DuToan!K116/DuToan!E116, 0), 0)</f>
        <v/>
      </c>
      <c r="F116" s="3">
        <f>IF(DuToan!E116&gt;0, ROUND(DuToan!L116/DuToan!E116, 0), 0)</f>
        <v/>
      </c>
      <c r="G116" s="3">
        <f>IF(DuToan!E116&gt;0, ROUND(DuToan!M116/DuToan!E116, 0), 0)</f>
        <v/>
      </c>
      <c r="H116" s="3">
        <f>IF(DuToan!E116&gt;0, ROUND(DuToan!N116/DuToan!E116, 0), 0)</f>
        <v/>
      </c>
      <c r="I116" s="3">
        <f>E116+F116+G116+H116</f>
        <v/>
      </c>
      <c r="J116" s="3" t="inlineStr">
        <is>
          <t>Bao gồm lấy mẫu hiện trường và phân tích phòng thí nghiệm</t>
        </is>
      </c>
    </row>
    <row r="117">
      <c r="A117" s="2" t="n">
        <v>113</v>
      </c>
      <c r="B117" s="2" t="inlineStr">
        <is>
          <t>KK1a</t>
        </is>
      </c>
      <c r="C117" s="2" t="inlineStr">
        <is>
          <t>Nhiệt độ</t>
        </is>
      </c>
      <c r="D117" s="2" t="inlineStr">
        <is>
          <t>0C</t>
        </is>
      </c>
      <c r="E117" s="2">
        <f>IF(DuToan!E117&gt;0, ROUND(DuToan!K117/DuToan!E117, 0), 0)</f>
        <v/>
      </c>
      <c r="F117" s="2">
        <f>IF(DuToan!E117&gt;0, ROUND(DuToan!L117/DuToan!E117, 0), 0)</f>
        <v/>
      </c>
      <c r="G117" s="2">
        <f>IF(DuToan!E117&gt;0, ROUND(DuToan!M117/DuToan!E117, 0), 0)</f>
        <v/>
      </c>
      <c r="H117" s="2">
        <f>IF(DuToan!E117&gt;0, ROUND(DuToan!N117/DuToan!E117, 0), 0)</f>
        <v/>
      </c>
      <c r="I117" s="2">
        <f>E117+F117+G117+H117</f>
        <v/>
      </c>
      <c r="J117" s="2" t="inlineStr">
        <is>
          <t>Bao gồm lấy mẫu hiện trường và phân tích phòng thí nghiệm</t>
        </is>
      </c>
    </row>
    <row r="118">
      <c r="A118" s="3" t="n">
        <v>114</v>
      </c>
      <c r="B118" s="3" t="inlineStr">
        <is>
          <t>KK1b</t>
        </is>
      </c>
      <c r="C118" s="3" t="inlineStr">
        <is>
          <t>Độ ẩm</t>
        </is>
      </c>
      <c r="D118" s="3" t="inlineStr">
        <is>
          <t>%</t>
        </is>
      </c>
      <c r="E118" s="3">
        <f>IF(DuToan!E118&gt;0, ROUND(DuToan!K118/DuToan!E118, 0), 0)</f>
        <v/>
      </c>
      <c r="F118" s="3">
        <f>IF(DuToan!E118&gt;0, ROUND(DuToan!L118/DuToan!E118, 0), 0)</f>
        <v/>
      </c>
      <c r="G118" s="3">
        <f>IF(DuToan!E118&gt;0, ROUND(DuToan!M118/DuToan!E118, 0), 0)</f>
        <v/>
      </c>
      <c r="H118" s="3">
        <f>IF(DuToan!E118&gt;0, ROUND(DuToan!N118/DuToan!E118, 0), 0)</f>
        <v/>
      </c>
      <c r="I118" s="3">
        <f>E118+F118+G118+H118</f>
        <v/>
      </c>
      <c r="J118" s="3" t="inlineStr">
        <is>
          <t>Bao gồm lấy mẫu hiện trường và phân tích phòng thí nghiệm</t>
        </is>
      </c>
    </row>
    <row r="119">
      <c r="A119" s="2" t="n">
        <v>115</v>
      </c>
      <c r="B119" s="2" t="inlineStr">
        <is>
          <t>KK2b</t>
        </is>
      </c>
      <c r="C119" s="2" t="inlineStr">
        <is>
          <t>Hướng gió</t>
        </is>
      </c>
      <c r="D119" s="2" t="inlineStr">
        <is>
          <t>-</t>
        </is>
      </c>
      <c r="E119" s="2">
        <f>IF(DuToan!E119&gt;0, ROUND(DuToan!K119/DuToan!E119, 0), 0)</f>
        <v/>
      </c>
      <c r="F119" s="2">
        <f>IF(DuToan!E119&gt;0, ROUND(DuToan!L119/DuToan!E119, 0), 0)</f>
        <v/>
      </c>
      <c r="G119" s="2">
        <f>IF(DuToan!E119&gt;0, ROUND(DuToan!M119/DuToan!E119, 0), 0)</f>
        <v/>
      </c>
      <c r="H119" s="2">
        <f>IF(DuToan!E119&gt;0, ROUND(DuToan!N119/DuToan!E119, 0), 0)</f>
        <v/>
      </c>
      <c r="I119" s="2">
        <f>E119+F119+G119+H119</f>
        <v/>
      </c>
      <c r="J119" s="2" t="inlineStr">
        <is>
          <t>Bao gồm lấy mẫu hiện trường và phân tích phòng thí nghiệm</t>
        </is>
      </c>
    </row>
    <row r="120">
      <c r="A120" s="3" t="n">
        <v>116</v>
      </c>
      <c r="B120" s="3" t="inlineStr">
        <is>
          <t>KK2a</t>
        </is>
      </c>
      <c r="C120" s="3" t="inlineStr">
        <is>
          <t>Tốc độ gió</t>
        </is>
      </c>
      <c r="D120" s="3" t="inlineStr">
        <is>
          <t>m/s</t>
        </is>
      </c>
      <c r="E120" s="3">
        <f>IF(DuToan!E120&gt;0, ROUND(DuToan!K120/DuToan!E120, 0), 0)</f>
        <v/>
      </c>
      <c r="F120" s="3">
        <f>IF(DuToan!E120&gt;0, ROUND(DuToan!L120/DuToan!E120, 0), 0)</f>
        <v/>
      </c>
      <c r="G120" s="3">
        <f>IF(DuToan!E120&gt;0, ROUND(DuToan!M120/DuToan!E120, 0), 0)</f>
        <v/>
      </c>
      <c r="H120" s="3">
        <f>IF(DuToan!E120&gt;0, ROUND(DuToan!N120/DuToan!E120, 0), 0)</f>
        <v/>
      </c>
      <c r="I120" s="3">
        <f>E120+F120+G120+H120</f>
        <v/>
      </c>
      <c r="J120" s="3" t="inlineStr">
        <is>
          <t>Bao gồm lấy mẫu hiện trường và phân tích phòng thí nghiệm</t>
        </is>
      </c>
    </row>
    <row r="121">
      <c r="A121" s="2" t="n">
        <v>117</v>
      </c>
      <c r="B121" s="2" t="inlineStr">
        <is>
          <t>TO1a</t>
        </is>
      </c>
      <c r="C121" s="2" t="inlineStr">
        <is>
          <t>Tiếng ồn</t>
        </is>
      </c>
      <c r="D121" s="2" t="inlineStr">
        <is>
          <t>dBA</t>
        </is>
      </c>
      <c r="E121" s="2">
        <f>IF(DuToan!E121&gt;0, ROUND(DuToan!K121/DuToan!E121, 0), 0)</f>
        <v/>
      </c>
      <c r="F121" s="2">
        <f>IF(DuToan!E121&gt;0, ROUND(DuToan!L121/DuToan!E121, 0), 0)</f>
        <v/>
      </c>
      <c r="G121" s="2">
        <f>IF(DuToan!E121&gt;0, ROUND(DuToan!M121/DuToan!E121, 0), 0)</f>
        <v/>
      </c>
      <c r="H121" s="2">
        <f>IF(DuToan!E121&gt;0, ROUND(DuToan!N121/DuToan!E121, 0), 0)</f>
        <v/>
      </c>
      <c r="I121" s="2">
        <f>E121+F121+G121+H121</f>
        <v/>
      </c>
      <c r="J121" s="2" t="inlineStr">
        <is>
          <t>Bao gồm lấy mẫu hiện trường và phân tích phòng thí nghiệm</t>
        </is>
      </c>
    </row>
    <row r="122">
      <c r="A122" s="3" t="n">
        <v>118</v>
      </c>
      <c r="B122" s="3" t="inlineStr">
        <is>
          <t>ĐR01</t>
        </is>
      </c>
      <c r="C122" s="3" t="inlineStr">
        <is>
          <t>Độ rung</t>
        </is>
      </c>
      <c r="D122" s="3" t="inlineStr">
        <is>
          <t>dB</t>
        </is>
      </c>
      <c r="E122" s="3">
        <f>IF(DuToan!E122&gt;0, ROUND(DuToan!K122/DuToan!E122, 0), 0)</f>
        <v/>
      </c>
      <c r="F122" s="3">
        <f>IF(DuToan!E122&gt;0, ROUND(DuToan!L122/DuToan!E122, 0), 0)</f>
        <v/>
      </c>
      <c r="G122" s="3">
        <f>IF(DuToan!E122&gt;0, ROUND(DuToan!M122/DuToan!E122, 0), 0)</f>
        <v/>
      </c>
      <c r="H122" s="3">
        <f>IF(DuToan!E122&gt;0, ROUND(DuToan!N122/DuToan!E122, 0), 0)</f>
        <v/>
      </c>
      <c r="I122" s="3">
        <f>E122+F122+G122+H122</f>
        <v/>
      </c>
      <c r="J122" s="3" t="inlineStr">
        <is>
          <t>Bao gồm lấy mẫu hiện trường và phân tích phòng thí nghiệm</t>
        </is>
      </c>
    </row>
    <row r="123">
      <c r="A123" s="2" t="n">
        <v>119</v>
      </c>
      <c r="B123" s="2" t="inlineStr">
        <is>
          <t>KK4a</t>
        </is>
      </c>
      <c r="C123" s="2" t="inlineStr">
        <is>
          <t>Tổng bụi lơ lửng</t>
        </is>
      </c>
      <c r="D123" s="2" t="inlineStr">
        <is>
          <t>µg/Nm3</t>
        </is>
      </c>
      <c r="E123" s="2">
        <f>IF(DuToan!E123&gt;0, ROUND(DuToan!K123/DuToan!E123, 0), 0)</f>
        <v/>
      </c>
      <c r="F123" s="2">
        <f>IF(DuToan!E123&gt;0, ROUND(DuToan!L123/DuToan!E123, 0), 0)</f>
        <v/>
      </c>
      <c r="G123" s="2">
        <f>IF(DuToan!E123&gt;0, ROUND(DuToan!M123/DuToan!E123, 0), 0)</f>
        <v/>
      </c>
      <c r="H123" s="2">
        <f>IF(DuToan!E123&gt;0, ROUND(DuToan!N123/DuToan!E123, 0), 0)</f>
        <v/>
      </c>
      <c r="I123" s="2">
        <f>E123+F123+G123+H123</f>
        <v/>
      </c>
      <c r="J123" s="2" t="inlineStr">
        <is>
          <t>Bao gồm lấy mẫu hiện trường và phân tích phòng thí nghiệm</t>
        </is>
      </c>
    </row>
    <row r="124">
      <c r="A124" s="3" t="n">
        <v>120</v>
      </c>
      <c r="B124" s="3" t="inlineStr">
        <is>
          <t>KK4c</t>
        </is>
      </c>
      <c r="C124" s="3" t="inlineStr">
        <is>
          <t>Bụi PM10</t>
        </is>
      </c>
      <c r="D124" s="3" t="inlineStr">
        <is>
          <t>µg/Nm3</t>
        </is>
      </c>
      <c r="E124" s="3">
        <f>IF(DuToan!E124&gt;0, ROUND(DuToan!K124/DuToan!E124, 0), 0)</f>
        <v/>
      </c>
      <c r="F124" s="3">
        <f>IF(DuToan!E124&gt;0, ROUND(DuToan!L124/DuToan!E124, 0), 0)</f>
        <v/>
      </c>
      <c r="G124" s="3">
        <f>IF(DuToan!E124&gt;0, ROUND(DuToan!M124/DuToan!E124, 0), 0)</f>
        <v/>
      </c>
      <c r="H124" s="3">
        <f>IF(DuToan!E124&gt;0, ROUND(DuToan!N124/DuToan!E124, 0), 0)</f>
        <v/>
      </c>
      <c r="I124" s="3">
        <f>E124+F124+G124+H124</f>
        <v/>
      </c>
      <c r="J124" s="3" t="inlineStr">
        <is>
          <t>Bao gồm lấy mẫu hiện trường và phân tích phòng thí nghiệm</t>
        </is>
      </c>
    </row>
    <row r="125">
      <c r="A125" s="2" t="n">
        <v>121</v>
      </c>
      <c r="B125" s="2" t="inlineStr">
        <is>
          <t>KK7</t>
        </is>
      </c>
      <c r="C125" s="2" t="inlineStr">
        <is>
          <t>SO 2</t>
        </is>
      </c>
      <c r="D125" s="2" t="inlineStr">
        <is>
          <t>µg/Nm3</t>
        </is>
      </c>
      <c r="E125" s="2">
        <f>IF(DuToan!E125&gt;0, ROUND(DuToan!K125/DuToan!E125, 0), 0)</f>
        <v/>
      </c>
      <c r="F125" s="2">
        <f>IF(DuToan!E125&gt;0, ROUND(DuToan!L125/DuToan!E125, 0), 0)</f>
        <v/>
      </c>
      <c r="G125" s="2">
        <f>IF(DuToan!E125&gt;0, ROUND(DuToan!M125/DuToan!E125, 0), 0)</f>
        <v/>
      </c>
      <c r="H125" s="2">
        <f>IF(DuToan!E125&gt;0, ROUND(DuToan!N125/DuToan!E125, 0), 0)</f>
        <v/>
      </c>
      <c r="I125" s="2">
        <f>E125+F125+G125+H125</f>
        <v/>
      </c>
      <c r="J125" s="2" t="inlineStr">
        <is>
          <t>Bao gồm lấy mẫu hiện trường và phân tích phòng thí nghiệm</t>
        </is>
      </c>
    </row>
    <row r="126">
      <c r="A126" s="3" t="n">
        <v>122</v>
      </c>
      <c r="B126" s="3" t="inlineStr">
        <is>
          <t>KK6</t>
        </is>
      </c>
      <c r="C126" s="3" t="inlineStr">
        <is>
          <t>NO 2</t>
        </is>
      </c>
      <c r="D126" s="3" t="inlineStr">
        <is>
          <t>µg/Nm3</t>
        </is>
      </c>
      <c r="E126" s="3">
        <f>IF(DuToan!E126&gt;0, ROUND(DuToan!K126/DuToan!E126, 0), 0)</f>
        <v/>
      </c>
      <c r="F126" s="3">
        <f>IF(DuToan!E126&gt;0, ROUND(DuToan!L126/DuToan!E126, 0), 0)</f>
        <v/>
      </c>
      <c r="G126" s="3">
        <f>IF(DuToan!E126&gt;0, ROUND(DuToan!M126/DuToan!E126, 0), 0)</f>
        <v/>
      </c>
      <c r="H126" s="3">
        <f>IF(DuToan!E126&gt;0, ROUND(DuToan!N126/DuToan!E126, 0), 0)</f>
        <v/>
      </c>
      <c r="I126" s="3">
        <f>E126+F126+G126+H126</f>
        <v/>
      </c>
      <c r="J126" s="3" t="inlineStr">
        <is>
          <t>Bao gồm lấy mẫu hiện trường và phân tích phòng thí nghiệm</t>
        </is>
      </c>
    </row>
    <row r="127">
      <c r="A127" s="2" t="n">
        <v>123</v>
      </c>
      <c r="B127" s="2" t="inlineStr">
        <is>
          <t>KK5a</t>
        </is>
      </c>
      <c r="C127" s="2" t="inlineStr">
        <is>
          <t>CO</t>
        </is>
      </c>
      <c r="D127" s="2" t="inlineStr">
        <is>
          <t>µg/Nm3</t>
        </is>
      </c>
      <c r="E127" s="2">
        <f>IF(DuToan!E127&gt;0, ROUND(DuToan!K127/DuToan!E127, 0), 0)</f>
        <v/>
      </c>
      <c r="F127" s="2">
        <f>IF(DuToan!E127&gt;0, ROUND(DuToan!L127/DuToan!E127, 0), 0)</f>
        <v/>
      </c>
      <c r="G127" s="2">
        <f>IF(DuToan!E127&gt;0, ROUND(DuToan!M127/DuToan!E127, 0), 0)</f>
        <v/>
      </c>
      <c r="H127" s="2">
        <f>IF(DuToan!E127&gt;0, ROUND(DuToan!N127/DuToan!E127, 0), 0)</f>
        <v/>
      </c>
      <c r="I127" s="2">
        <f>E127+F127+G127+H127</f>
        <v/>
      </c>
      <c r="J127" s="2" t="inlineStr">
        <is>
          <t>Bao gồm lấy mẫu hiện trường và phân tích phòng thí nghiệm</t>
        </is>
      </c>
    </row>
    <row r="128">
      <c r="A128" s="3" t="n">
        <v>124</v>
      </c>
      <c r="B128" s="3" t="inlineStr">
        <is>
          <t>KT16</t>
        </is>
      </c>
      <c r="C128" s="3" t="inlineStr">
        <is>
          <t>Lưu lượng</t>
        </is>
      </c>
      <c r="D128" s="3" t="inlineStr">
        <is>
          <t>m3/h</t>
        </is>
      </c>
      <c r="E128" s="3">
        <f>IF(DuToan!E128&gt;0, ROUND(DuToan!K128/DuToan!E128, 0), 0)</f>
        <v/>
      </c>
      <c r="F128" s="3">
        <f>IF(DuToan!E128&gt;0, ROUND(DuToan!L128/DuToan!E128, 0), 0)</f>
        <v/>
      </c>
      <c r="G128" s="3">
        <f>IF(DuToan!E128&gt;0, ROUND(DuToan!M128/DuToan!E128, 0), 0)</f>
        <v/>
      </c>
      <c r="H128" s="3">
        <f>IF(DuToan!E128&gt;0, ROUND(DuToan!N128/DuToan!E128, 0), 0)</f>
        <v/>
      </c>
      <c r="I128" s="3">
        <f>E128+F128+G128+H128</f>
        <v/>
      </c>
      <c r="J128" s="3" t="inlineStr">
        <is>
          <t>Bao gồm lấy mẫu hiện trường và phân tích phòng thí nghiệm</t>
        </is>
      </c>
    </row>
    <row r="129">
      <c r="A129" s="2" t="n">
        <v>125</v>
      </c>
      <c r="B129" s="2" t="inlineStr">
        <is>
          <t>KT4</t>
        </is>
      </c>
      <c r="C129" s="2" t="inlineStr">
        <is>
          <t>Nhiệt độ</t>
        </is>
      </c>
      <c r="D129" s="2" t="inlineStr">
        <is>
          <t>0C</t>
        </is>
      </c>
      <c r="E129" s="2">
        <f>IF(DuToan!E129&gt;0, ROUND(DuToan!K129/DuToan!E129, 0), 0)</f>
        <v/>
      </c>
      <c r="F129" s="2">
        <f>IF(DuToan!E129&gt;0, ROUND(DuToan!L129/DuToan!E129, 0), 0)</f>
        <v/>
      </c>
      <c r="G129" s="2">
        <f>IF(DuToan!E129&gt;0, ROUND(DuToan!M129/DuToan!E129, 0), 0)</f>
        <v/>
      </c>
      <c r="H129" s="2">
        <f>IF(DuToan!E129&gt;0, ROUND(DuToan!N129/DuToan!E129, 0), 0)</f>
        <v/>
      </c>
      <c r="I129" s="2">
        <f>E129+F129+G129+H129</f>
        <v/>
      </c>
      <c r="J129" s="2" t="inlineStr">
        <is>
          <t>Bao gồm lấy mẫu hiện trường và phân tích phòng thí nghiệm</t>
        </is>
      </c>
    </row>
    <row r="130">
      <c r="A130" s="3" t="n">
        <v>126</v>
      </c>
      <c r="B130" s="3" t="inlineStr">
        <is>
          <t>KT10a</t>
        </is>
      </c>
      <c r="C130" s="3" t="inlineStr">
        <is>
          <t>Bụi tổng</t>
        </is>
      </c>
      <c r="D130" s="3" t="inlineStr">
        <is>
          <t>mg/Nm3</t>
        </is>
      </c>
      <c r="E130" s="3">
        <f>IF(DuToan!E130&gt;0, ROUND(DuToan!K130/DuToan!E130, 0), 0)</f>
        <v/>
      </c>
      <c r="F130" s="3">
        <f>IF(DuToan!E130&gt;0, ROUND(DuToan!L130/DuToan!E130, 0), 0)</f>
        <v/>
      </c>
      <c r="G130" s="3">
        <f>IF(DuToan!E130&gt;0, ROUND(DuToan!M130/DuToan!E130, 0), 0)</f>
        <v/>
      </c>
      <c r="H130" s="3">
        <f>IF(DuToan!E130&gt;0, ROUND(DuToan!N130/DuToan!E130, 0), 0)</f>
        <v/>
      </c>
      <c r="I130" s="3">
        <f>E130+F130+G130+H130</f>
        <v/>
      </c>
      <c r="J130" s="3" t="inlineStr">
        <is>
          <t>Bao gồm lấy mẫu hiện trường và phân tích phòng thí nghiệm</t>
        </is>
      </c>
    </row>
    <row r="131">
      <c r="A131" s="2" t="n">
        <v>127</v>
      </c>
      <c r="B131" s="2" t="inlineStr">
        <is>
          <t>KT9b</t>
        </is>
      </c>
      <c r="C131" s="2" t="inlineStr">
        <is>
          <t>CO</t>
        </is>
      </c>
      <c r="D131" s="2" t="inlineStr">
        <is>
          <t>mg/Nm3</t>
        </is>
      </c>
      <c r="E131" s="2">
        <f>IF(DuToan!E131&gt;0, ROUND(DuToan!K131/DuToan!E131, 0), 0)</f>
        <v/>
      </c>
      <c r="F131" s="2">
        <f>IF(DuToan!E131&gt;0, ROUND(DuToan!L131/DuToan!E131, 0), 0)</f>
        <v/>
      </c>
      <c r="G131" s="2">
        <f>IF(DuToan!E131&gt;0, ROUND(DuToan!M131/DuToan!E131, 0), 0)</f>
        <v/>
      </c>
      <c r="H131" s="2">
        <f>IF(DuToan!E131&gt;0, ROUND(DuToan!N131/DuToan!E131, 0), 0)</f>
        <v/>
      </c>
      <c r="I131" s="2">
        <f>E131+F131+G131+H131</f>
        <v/>
      </c>
      <c r="J131" s="2" t="inlineStr">
        <is>
          <t>Bao gồm lấy mẫu hiện trường và phân tích phòng thí nghiệm</t>
        </is>
      </c>
    </row>
    <row r="132">
      <c r="A132" s="3" t="n">
        <v>128</v>
      </c>
      <c r="B132" s="3" t="inlineStr">
        <is>
          <t>KT9e</t>
        </is>
      </c>
      <c r="C132" s="3" t="inlineStr">
        <is>
          <t>NOx (tính theo NO2)</t>
        </is>
      </c>
      <c r="D132" s="3" t="inlineStr">
        <is>
          <t>mg/Nm3</t>
        </is>
      </c>
      <c r="E132" s="3">
        <f>IF(DuToan!E132&gt;0, ROUND(DuToan!K132/DuToan!E132, 0), 0)</f>
        <v/>
      </c>
      <c r="F132" s="3">
        <f>IF(DuToan!E132&gt;0, ROUND(DuToan!L132/DuToan!E132, 0), 0)</f>
        <v/>
      </c>
      <c r="G132" s="3">
        <f>IF(DuToan!E132&gt;0, ROUND(DuToan!M132/DuToan!E132, 0), 0)</f>
        <v/>
      </c>
      <c r="H132" s="3">
        <f>IF(DuToan!E132&gt;0, ROUND(DuToan!N132/DuToan!E132, 0), 0)</f>
        <v/>
      </c>
      <c r="I132" s="3">
        <f>E132+F132+G132+H132</f>
        <v/>
      </c>
      <c r="J132" s="3" t="inlineStr">
        <is>
          <t>Bao gồm lấy mẫu hiện trường và phân tích phòng thí nghiệm</t>
        </is>
      </c>
    </row>
    <row r="133">
      <c r="A133" s="2" t="n">
        <v>129</v>
      </c>
      <c r="B133" s="2" t="inlineStr">
        <is>
          <t>KT9đ</t>
        </is>
      </c>
      <c r="C133" s="2" t="inlineStr">
        <is>
          <t>SO 2</t>
        </is>
      </c>
      <c r="D133" s="2" t="inlineStr">
        <is>
          <t>mg/Nm3</t>
        </is>
      </c>
      <c r="E133" s="2">
        <f>IF(DuToan!E133&gt;0, ROUND(DuToan!K133/DuToan!E133, 0), 0)</f>
        <v/>
      </c>
      <c r="F133" s="2">
        <f>IF(DuToan!E133&gt;0, ROUND(DuToan!L133/DuToan!E133, 0), 0)</f>
        <v/>
      </c>
      <c r="G133" s="2">
        <f>IF(DuToan!E133&gt;0, ROUND(DuToan!M133/DuToan!E133, 0), 0)</f>
        <v/>
      </c>
      <c r="H133" s="2">
        <f>IF(DuToan!E133&gt;0, ROUND(DuToan!N133/DuToan!E133, 0), 0)</f>
        <v/>
      </c>
      <c r="I133" s="2">
        <f>E133+F133+G133+H133</f>
        <v/>
      </c>
      <c r="J133" s="2" t="inlineStr">
        <is>
          <t>Bao gồm lấy mẫu hiện trường và phân tích phòng thí nghiệm</t>
        </is>
      </c>
    </row>
    <row r="134">
      <c r="A134" s="3" t="n">
        <v>130</v>
      </c>
      <c r="B134" s="3" t="inlineStr">
        <is>
          <t>KT9a</t>
        </is>
      </c>
      <c r="C134" s="3" t="inlineStr">
        <is>
          <t>O2</t>
        </is>
      </c>
      <c r="D134" s="3" t="inlineStr">
        <is>
          <t>%</t>
        </is>
      </c>
      <c r="E134" s="3">
        <f>IF(DuToan!E134&gt;0, ROUND(DuToan!K134/DuToan!E134, 0), 0)</f>
        <v/>
      </c>
      <c r="F134" s="3">
        <f>IF(DuToan!E134&gt;0, ROUND(DuToan!L134/DuToan!E134, 0), 0)</f>
        <v/>
      </c>
      <c r="G134" s="3">
        <f>IF(DuToan!E134&gt;0, ROUND(DuToan!M134/DuToan!E134, 0), 0)</f>
        <v/>
      </c>
      <c r="H134" s="3">
        <f>IF(DuToan!E134&gt;0, ROUND(DuToan!N134/DuToan!E134, 0), 0)</f>
        <v/>
      </c>
      <c r="I134" s="3">
        <f>E134+F134+G134+H134</f>
        <v/>
      </c>
      <c r="J134" s="3" t="inlineStr">
        <is>
          <t>Bao gồm lấy mẫu hiện trường và phân tích phòng thí nghiệm</t>
        </is>
      </c>
    </row>
    <row r="135">
      <c r="A135" s="2" t="n">
        <v>131</v>
      </c>
      <c r="B135" s="2" t="inlineStr">
        <is>
          <t>NT1</t>
        </is>
      </c>
      <c r="C135" s="2" t="inlineStr">
        <is>
          <t>Nhiệt độ</t>
        </is>
      </c>
      <c r="D135" s="2" t="inlineStr">
        <is>
          <t>0C</t>
        </is>
      </c>
      <c r="E135" s="2">
        <f>IF(DuToan!E135&gt;0, ROUND(DuToan!K135/DuToan!E135, 0), 0)</f>
        <v/>
      </c>
      <c r="F135" s="2">
        <f>IF(DuToan!E135&gt;0, ROUND(DuToan!L135/DuToan!E135, 0), 0)</f>
        <v/>
      </c>
      <c r="G135" s="2">
        <f>IF(DuToan!E135&gt;0, ROUND(DuToan!M135/DuToan!E135, 0), 0)</f>
        <v/>
      </c>
      <c r="H135" s="2">
        <f>IF(DuToan!E135&gt;0, ROUND(DuToan!N135/DuToan!E135, 0), 0)</f>
        <v/>
      </c>
      <c r="I135" s="2">
        <f>E135+F135+G135+H135</f>
        <v/>
      </c>
      <c r="J135" s="2" t="inlineStr">
        <is>
          <t>Bao gồm lấy mẫu hiện trường và phân tích phòng thí nghiệm</t>
        </is>
      </c>
    </row>
    <row r="136">
      <c r="A136" s="3" t="n">
        <v>132</v>
      </c>
      <c r="B136" s="3" t="inlineStr">
        <is>
          <t>NT2</t>
        </is>
      </c>
      <c r="C136" s="3" t="inlineStr">
        <is>
          <t>pH</t>
        </is>
      </c>
      <c r="D136" s="3" t="inlineStr">
        <is>
          <t>-</t>
        </is>
      </c>
      <c r="E136" s="3">
        <f>IF(DuToan!E136&gt;0, ROUND(DuToan!K136/DuToan!E136, 0), 0)</f>
        <v/>
      </c>
      <c r="F136" s="3">
        <f>IF(DuToan!E136&gt;0, ROUND(DuToan!L136/DuToan!E136, 0), 0)</f>
        <v/>
      </c>
      <c r="G136" s="3">
        <f>IF(DuToan!E136&gt;0, ROUND(DuToan!M136/DuToan!E136, 0), 0)</f>
        <v/>
      </c>
      <c r="H136" s="3">
        <f>IF(DuToan!E136&gt;0, ROUND(DuToan!N136/DuToan!E136, 0), 0)</f>
        <v/>
      </c>
      <c r="I136" s="3">
        <f>E136+F136+G136+H136</f>
        <v/>
      </c>
      <c r="J136" s="3" t="inlineStr">
        <is>
          <t>Bao gồm lấy mẫu hiện trường và phân tích phòng thí nghiệm</t>
        </is>
      </c>
    </row>
    <row r="137">
      <c r="A137" s="2" t="n">
        <v>133</v>
      </c>
      <c r="B137" s="2" t="inlineStr">
        <is>
          <t>NT10j</t>
        </is>
      </c>
      <c r="C137" s="2" t="inlineStr">
        <is>
          <t>Clo dư</t>
        </is>
      </c>
      <c r="D137" s="2" t="inlineStr">
        <is>
          <t>mg/l</t>
        </is>
      </c>
      <c r="E137" s="2">
        <f>IF(DuToan!E137&gt;0, ROUND(DuToan!K137/DuToan!E137, 0), 0)</f>
        <v/>
      </c>
      <c r="F137" s="2">
        <f>IF(DuToan!E137&gt;0, ROUND(DuToan!L137/DuToan!E137, 0), 0)</f>
        <v/>
      </c>
      <c r="G137" s="2">
        <f>IF(DuToan!E137&gt;0, ROUND(DuToan!M137/DuToan!E137, 0), 0)</f>
        <v/>
      </c>
      <c r="H137" s="2">
        <f>IF(DuToan!E137&gt;0, ROUND(DuToan!N137/DuToan!E137, 0), 0)</f>
        <v/>
      </c>
      <c r="I137" s="2">
        <f>E137+F137+G137+H137</f>
        <v/>
      </c>
      <c r="J137" s="2" t="inlineStr">
        <is>
          <t>Bao gồm lấy mẫu hiện trường và phân tích phòng thí nghiệm</t>
        </is>
      </c>
    </row>
    <row r="138">
      <c r="A138" s="3" t="n">
        <v>134</v>
      </c>
      <c r="B138" s="3" t="inlineStr">
        <is>
          <t>NT5b</t>
        </is>
      </c>
      <c r="C138" s="3" t="inlineStr">
        <is>
          <t>COD</t>
        </is>
      </c>
      <c r="D138" s="3" t="inlineStr">
        <is>
          <t>mg/l</t>
        </is>
      </c>
      <c r="E138" s="3">
        <f>IF(DuToan!E138&gt;0, ROUND(DuToan!K138/DuToan!E138, 0), 0)</f>
        <v/>
      </c>
      <c r="F138" s="3">
        <f>IF(DuToan!E138&gt;0, ROUND(DuToan!L138/DuToan!E138, 0), 0)</f>
        <v/>
      </c>
      <c r="G138" s="3">
        <f>IF(DuToan!E138&gt;0, ROUND(DuToan!M138/DuToan!E138, 0), 0)</f>
        <v/>
      </c>
      <c r="H138" s="3">
        <f>IF(DuToan!E138&gt;0, ROUND(DuToan!N138/DuToan!E138, 0), 0)</f>
        <v/>
      </c>
      <c r="I138" s="3">
        <f>E138+F138+G138+H138</f>
        <v/>
      </c>
      <c r="J138" s="3" t="inlineStr">
        <is>
          <t>Bao gồm lấy mẫu hiện trường và phân tích phòng thí nghiệm</t>
        </is>
      </c>
    </row>
    <row r="139">
      <c r="A139" s="2" t="n">
        <v>135</v>
      </c>
      <c r="B139" s="2" t="inlineStr">
        <is>
          <t>NT6</t>
        </is>
      </c>
      <c r="C139" s="2" t="inlineStr">
        <is>
          <t>TSS</t>
        </is>
      </c>
      <c r="D139" s="2" t="inlineStr">
        <is>
          <t>mg/l</t>
        </is>
      </c>
      <c r="E139" s="2">
        <f>IF(DuToan!E139&gt;0, ROUND(DuToan!K139/DuToan!E139, 0), 0)</f>
        <v/>
      </c>
      <c r="F139" s="2">
        <f>IF(DuToan!E139&gt;0, ROUND(DuToan!L139/DuToan!E139, 0), 0)</f>
        <v/>
      </c>
      <c r="G139" s="2">
        <f>IF(DuToan!E139&gt;0, ROUND(DuToan!M139/DuToan!E139, 0), 0)</f>
        <v/>
      </c>
      <c r="H139" s="2">
        <f>IF(DuToan!E139&gt;0, ROUND(DuToan!N139/DuToan!E139, 0), 0)</f>
        <v/>
      </c>
      <c r="I139" s="2">
        <f>E139+F139+G139+H139</f>
        <v/>
      </c>
      <c r="J139" s="2" t="inlineStr">
        <is>
          <t>Bao gồm lấy mẫu hiện trường và phân tích phòng thí nghiệm</t>
        </is>
      </c>
    </row>
    <row r="140">
      <c r="A140" s="3" t="n">
        <v>136</v>
      </c>
      <c r="B140" s="3" t="inlineStr">
        <is>
          <t>MỤC 2</t>
        </is>
      </c>
      <c r="C140" s="3" t="inlineStr">
        <is>
          <t>Tiêu đề: Nước thải sau xử lý của HTXLNT tập trung</t>
        </is>
      </c>
      <c r="D140" s="3" t="inlineStr">
        <is>
          <t>Header</t>
        </is>
      </c>
      <c r="E140" s="3">
        <f>IF(DuToan!E140&gt;0, ROUND(DuToan!K140/DuToan!E140, 0), 0)</f>
        <v/>
      </c>
      <c r="F140" s="3">
        <f>IF(DuToan!E140&gt;0, ROUND(DuToan!L140/DuToan!E140, 0), 0)</f>
        <v/>
      </c>
      <c r="G140" s="3">
        <f>IF(DuToan!E140&gt;0, ROUND(DuToan!M140/DuToan!E140, 0), 0)</f>
        <v/>
      </c>
      <c r="H140" s="3">
        <f>IF(DuToan!E140&gt;0, ROUND(DuToan!N140/DuToan!E140, 0), 0)</f>
        <v/>
      </c>
      <c r="I140" s="3">
        <f>E140+F140+G140+H140</f>
        <v/>
      </c>
      <c r="J140" s="3" t="inlineStr">
        <is>
          <t>Bao gồm lấy mẫu hiện trường và phân tích phòng thí nghiệm</t>
        </is>
      </c>
    </row>
    <row r="141">
      <c r="A141" s="2" t="n">
        <v>137</v>
      </c>
      <c r="B141" s="2" t="inlineStr">
        <is>
          <t>NT1</t>
        </is>
      </c>
      <c r="C141" s="2" t="inlineStr">
        <is>
          <t>Nhiệt độ</t>
        </is>
      </c>
      <c r="D141" s="2" t="inlineStr">
        <is>
          <t>0C</t>
        </is>
      </c>
      <c r="E141" s="2">
        <f>IF(DuToan!E141&gt;0, ROUND(DuToan!K141/DuToan!E141, 0), 0)</f>
        <v/>
      </c>
      <c r="F141" s="2">
        <f>IF(DuToan!E141&gt;0, ROUND(DuToan!L141/DuToan!E141, 0), 0)</f>
        <v/>
      </c>
      <c r="G141" s="2">
        <f>IF(DuToan!E141&gt;0, ROUND(DuToan!M141/DuToan!E141, 0), 0)</f>
        <v/>
      </c>
      <c r="H141" s="2">
        <f>IF(DuToan!E141&gt;0, ROUND(DuToan!N141/DuToan!E141, 0), 0)</f>
        <v/>
      </c>
      <c r="I141" s="2">
        <f>E141+F141+G141+H141</f>
        <v/>
      </c>
      <c r="J141" s="2" t="inlineStr">
        <is>
          <t>Bao gồm lấy mẫu hiện trường và phân tích phòng thí nghiệm</t>
        </is>
      </c>
    </row>
    <row r="142">
      <c r="A142" s="3" t="n">
        <v>138</v>
      </c>
      <c r="B142" s="3" t="inlineStr">
        <is>
          <t>NT2</t>
        </is>
      </c>
      <c r="C142" s="3" t="inlineStr">
        <is>
          <t>pH</t>
        </is>
      </c>
      <c r="D142" s="3" t="inlineStr">
        <is>
          <t>-</t>
        </is>
      </c>
      <c r="E142" s="3">
        <f>IF(DuToan!E142&gt;0, ROUND(DuToan!K142/DuToan!E142, 0), 0)</f>
        <v/>
      </c>
      <c r="F142" s="3">
        <f>IF(DuToan!E142&gt;0, ROUND(DuToan!L142/DuToan!E142, 0), 0)</f>
        <v/>
      </c>
      <c r="G142" s="3">
        <f>IF(DuToan!E142&gt;0, ROUND(DuToan!M142/DuToan!E142, 0), 0)</f>
        <v/>
      </c>
      <c r="H142" s="3">
        <f>IF(DuToan!E142&gt;0, ROUND(DuToan!N142/DuToan!E142, 0), 0)</f>
        <v/>
      </c>
      <c r="I142" s="3">
        <f>E142+F142+G142+H142</f>
        <v/>
      </c>
      <c r="J142" s="3" t="inlineStr">
        <is>
          <t>Bao gồm lấy mẫu hiện trường và phân tích phòng thí nghiệm</t>
        </is>
      </c>
    </row>
    <row r="143">
      <c r="A143" s="2" t="n">
        <v>139</v>
      </c>
      <c r="B143" s="2" t="inlineStr">
        <is>
          <t>NT4b</t>
        </is>
      </c>
      <c r="C143" s="2" t="inlineStr">
        <is>
          <t>Độ màu</t>
        </is>
      </c>
      <c r="D143" s="2" t="inlineStr">
        <is>
          <t>Pt/Co</t>
        </is>
      </c>
      <c r="E143" s="2">
        <f>IF(DuToan!E143&gt;0, ROUND(DuToan!K143/DuToan!E143, 0), 0)</f>
        <v/>
      </c>
      <c r="F143" s="2">
        <f>IF(DuToan!E143&gt;0, ROUND(DuToan!L143/DuToan!E143, 0), 0)</f>
        <v/>
      </c>
      <c r="G143" s="2">
        <f>IF(DuToan!E143&gt;0, ROUND(DuToan!M143/DuToan!E143, 0), 0)</f>
        <v/>
      </c>
      <c r="H143" s="2">
        <f>IF(DuToan!E143&gt;0, ROUND(DuToan!N143/DuToan!E143, 0), 0)</f>
        <v/>
      </c>
      <c r="I143" s="2">
        <f>E143+F143+G143+H143</f>
        <v/>
      </c>
      <c r="J143" s="2" t="inlineStr">
        <is>
          <t>Bao gồm lấy mẫu hiện trường và phân tích phòng thí nghiệm</t>
        </is>
      </c>
    </row>
    <row r="144">
      <c r="A144" s="3" t="n">
        <v>140</v>
      </c>
      <c r="B144" s="3" t="inlineStr">
        <is>
          <t>NT5a</t>
        </is>
      </c>
      <c r="C144" s="3" t="inlineStr">
        <is>
          <t>BOD5</t>
        </is>
      </c>
      <c r="D144" s="3" t="inlineStr">
        <is>
          <t>mg/l</t>
        </is>
      </c>
      <c r="E144" s="3">
        <f>IF(DuToan!E144&gt;0, ROUND(DuToan!K144/DuToan!E144, 0), 0)</f>
        <v/>
      </c>
      <c r="F144" s="3">
        <f>IF(DuToan!E144&gt;0, ROUND(DuToan!L144/DuToan!E144, 0), 0)</f>
        <v/>
      </c>
      <c r="G144" s="3">
        <f>IF(DuToan!E144&gt;0, ROUND(DuToan!M144/DuToan!E144, 0), 0)</f>
        <v/>
      </c>
      <c r="H144" s="3">
        <f>IF(DuToan!E144&gt;0, ROUND(DuToan!N144/DuToan!E144, 0), 0)</f>
        <v/>
      </c>
      <c r="I144" s="3">
        <f>E144+F144+G144+H144</f>
        <v/>
      </c>
      <c r="J144" s="3" t="inlineStr">
        <is>
          <t>Bao gồm lấy mẫu hiện trường và phân tích phòng thí nghiệm</t>
        </is>
      </c>
    </row>
    <row r="145">
      <c r="A145" s="2" t="n">
        <v>141</v>
      </c>
      <c r="B145" s="2" t="inlineStr">
        <is>
          <t>NT5b</t>
        </is>
      </c>
      <c r="C145" s="2" t="inlineStr">
        <is>
          <t>COD</t>
        </is>
      </c>
      <c r="D145" s="2" t="inlineStr">
        <is>
          <t>mg/l</t>
        </is>
      </c>
      <c r="E145" s="2">
        <f>IF(DuToan!E145&gt;0, ROUND(DuToan!K145/DuToan!E145, 0), 0)</f>
        <v/>
      </c>
      <c r="F145" s="2">
        <f>IF(DuToan!E145&gt;0, ROUND(DuToan!L145/DuToan!E145, 0), 0)</f>
        <v/>
      </c>
      <c r="G145" s="2">
        <f>IF(DuToan!E145&gt;0, ROUND(DuToan!M145/DuToan!E145, 0), 0)</f>
        <v/>
      </c>
      <c r="H145" s="2">
        <f>IF(DuToan!E145&gt;0, ROUND(DuToan!N145/DuToan!E145, 0), 0)</f>
        <v/>
      </c>
      <c r="I145" s="2">
        <f>E145+F145+G145+H145</f>
        <v/>
      </c>
      <c r="J145" s="2" t="inlineStr">
        <is>
          <t>Bao gồm lấy mẫu hiện trường và phân tích phòng thí nghiệm</t>
        </is>
      </c>
    </row>
    <row r="146">
      <c r="A146" s="3" t="n">
        <v>142</v>
      </c>
      <c r="B146" s="3" t="inlineStr">
        <is>
          <t>NT6</t>
        </is>
      </c>
      <c r="C146" s="3" t="inlineStr">
        <is>
          <t>TSS</t>
        </is>
      </c>
      <c r="D146" s="3" t="inlineStr">
        <is>
          <t>mg/l</t>
        </is>
      </c>
      <c r="E146" s="3">
        <f>IF(DuToan!E146&gt;0, ROUND(DuToan!K146/DuToan!E146, 0), 0)</f>
        <v/>
      </c>
      <c r="F146" s="3">
        <f>IF(DuToan!E146&gt;0, ROUND(DuToan!L146/DuToan!E146, 0), 0)</f>
        <v/>
      </c>
      <c r="G146" s="3">
        <f>IF(DuToan!E146&gt;0, ROUND(DuToan!M146/DuToan!E146, 0), 0)</f>
        <v/>
      </c>
      <c r="H146" s="3">
        <f>IF(DuToan!E146&gt;0, ROUND(DuToan!N146/DuToan!E146, 0), 0)</f>
        <v/>
      </c>
      <c r="I146" s="3">
        <f>E146+F146+G146+H146</f>
        <v/>
      </c>
      <c r="J146" s="3" t="inlineStr">
        <is>
          <t>Bao gồm lấy mẫu hiện trường và phân tích phòng thí nghiệm</t>
        </is>
      </c>
    </row>
    <row r="147">
      <c r="A147" s="2" t="n">
        <v>143</v>
      </c>
      <c r="B147" s="2" t="inlineStr">
        <is>
          <t>NT10c</t>
        </is>
      </c>
      <c r="C147" s="2" t="inlineStr">
        <is>
          <t>Amoni (tính theo N)</t>
        </is>
      </c>
      <c r="D147" s="2" t="inlineStr">
        <is>
          <t>mg/l</t>
        </is>
      </c>
      <c r="E147" s="2">
        <f>IF(DuToan!E147&gt;0, ROUND(DuToan!K147/DuToan!E147, 0), 0)</f>
        <v/>
      </c>
      <c r="F147" s="2">
        <f>IF(DuToan!E147&gt;0, ROUND(DuToan!L147/DuToan!E147, 0), 0)</f>
        <v/>
      </c>
      <c r="G147" s="2">
        <f>IF(DuToan!E147&gt;0, ROUND(DuToan!M147/DuToan!E147, 0), 0)</f>
        <v/>
      </c>
      <c r="H147" s="2">
        <f>IF(DuToan!E147&gt;0, ROUND(DuToan!N147/DuToan!E147, 0), 0)</f>
        <v/>
      </c>
      <c r="I147" s="2">
        <f>E147+F147+G147+H147</f>
        <v/>
      </c>
      <c r="J147" s="2" t="inlineStr">
        <is>
          <t>Bao gồm lấy mẫu hiện trường và phân tích phòng thí nghiệm</t>
        </is>
      </c>
    </row>
    <row r="148">
      <c r="A148" s="3" t="n">
        <v>144</v>
      </c>
      <c r="B148" s="3" t="inlineStr">
        <is>
          <t>NT10l1</t>
        </is>
      </c>
      <c r="C148" s="3" t="inlineStr">
        <is>
          <t>Asen</t>
        </is>
      </c>
      <c r="D148" s="3" t="inlineStr">
        <is>
          <t>mg/l</t>
        </is>
      </c>
      <c r="E148" s="3">
        <f>IF(DuToan!E148&gt;0, ROUND(DuToan!K148/DuToan!E148, 0), 0)</f>
        <v/>
      </c>
      <c r="F148" s="3">
        <f>IF(DuToan!E148&gt;0, ROUND(DuToan!L148/DuToan!E148, 0), 0)</f>
        <v/>
      </c>
      <c r="G148" s="3">
        <f>IF(DuToan!E148&gt;0, ROUND(DuToan!M148/DuToan!E148, 0), 0)</f>
        <v/>
      </c>
      <c r="H148" s="3">
        <f>IF(DuToan!E148&gt;0, ROUND(DuToan!N148/DuToan!E148, 0), 0)</f>
        <v/>
      </c>
      <c r="I148" s="3">
        <f>E148+F148+G148+H148</f>
        <v/>
      </c>
      <c r="J148" s="3" t="inlineStr">
        <is>
          <t>Bao gồm lấy mẫu hiện trường và phân tích phòng thí nghiệm</t>
        </is>
      </c>
    </row>
    <row r="149">
      <c r="A149" s="2" t="n">
        <v>145</v>
      </c>
      <c r="B149" s="2" t="inlineStr">
        <is>
          <t>NT10l2</t>
        </is>
      </c>
      <c r="C149" s="2" t="inlineStr">
        <is>
          <t>Thủy ngân</t>
        </is>
      </c>
      <c r="D149" s="2" t="inlineStr">
        <is>
          <t>mg/l</t>
        </is>
      </c>
      <c r="E149" s="2">
        <f>IF(DuToan!E149&gt;0, ROUND(DuToan!K149/DuToan!E149, 0), 0)</f>
        <v/>
      </c>
      <c r="F149" s="2">
        <f>IF(DuToan!E149&gt;0, ROUND(DuToan!L149/DuToan!E149, 0), 0)</f>
        <v/>
      </c>
      <c r="G149" s="2">
        <f>IF(DuToan!E149&gt;0, ROUND(DuToan!M149/DuToan!E149, 0), 0)</f>
        <v/>
      </c>
      <c r="H149" s="2">
        <f>IF(DuToan!E149&gt;0, ROUND(DuToan!N149/DuToan!E149, 0), 0)</f>
        <v/>
      </c>
      <c r="I149" s="2">
        <f>E149+F149+G149+H149</f>
        <v/>
      </c>
      <c r="J149" s="2" t="inlineStr">
        <is>
          <t>Bao gồm lấy mẫu hiện trường và phân tích phòng thí nghiệm</t>
        </is>
      </c>
    </row>
    <row r="150">
      <c r="A150" s="3" t="n">
        <v>146</v>
      </c>
      <c r="B150" s="3" t="inlineStr">
        <is>
          <t>NT10đ</t>
        </is>
      </c>
      <c r="C150" s="3" t="inlineStr">
        <is>
          <t>Crom (VI)</t>
        </is>
      </c>
      <c r="D150" s="3" t="inlineStr">
        <is>
          <t>mg/l</t>
        </is>
      </c>
      <c r="E150" s="3">
        <f>IF(DuToan!E150&gt;0, ROUND(DuToan!K150/DuToan!E150, 0), 0)</f>
        <v/>
      </c>
      <c r="F150" s="3">
        <f>IF(DuToan!E150&gt;0, ROUND(DuToan!L150/DuToan!E150, 0), 0)</f>
        <v/>
      </c>
      <c r="G150" s="3">
        <f>IF(DuToan!E150&gt;0, ROUND(DuToan!M150/DuToan!E150, 0), 0)</f>
        <v/>
      </c>
      <c r="H150" s="3">
        <f>IF(DuToan!E150&gt;0, ROUND(DuToan!N150/DuToan!E150, 0), 0)</f>
        <v/>
      </c>
      <c r="I150" s="3">
        <f>E150+F150+G150+H150</f>
        <v/>
      </c>
      <c r="J150" s="3" t="inlineStr">
        <is>
          <t>Bao gồm lấy mẫu hiện trường và phân tích phòng thí nghiệm</t>
        </is>
      </c>
    </row>
    <row r="151">
      <c r="A151" s="2" t="n">
        <v>147</v>
      </c>
      <c r="B151" s="2" t="inlineStr">
        <is>
          <t>NT10m5</t>
        </is>
      </c>
      <c r="C151" s="2" t="inlineStr">
        <is>
          <t>Crom (III)</t>
        </is>
      </c>
      <c r="D151" s="2" t="inlineStr">
        <is>
          <t>mg/l</t>
        </is>
      </c>
      <c r="E151" s="2">
        <f>IF(DuToan!E151&gt;0, ROUND(DuToan!K151/DuToan!E151, 0), 0)</f>
        <v/>
      </c>
      <c r="F151" s="2">
        <f>IF(DuToan!E151&gt;0, ROUND(DuToan!L151/DuToan!E151, 0), 0)</f>
        <v/>
      </c>
      <c r="G151" s="2">
        <f>IF(DuToan!E151&gt;0, ROUND(DuToan!M151/DuToan!E151, 0), 0)</f>
        <v/>
      </c>
      <c r="H151" s="2">
        <f>IF(DuToan!E151&gt;0, ROUND(DuToan!N151/DuToan!E151, 0), 0)</f>
        <v/>
      </c>
      <c r="I151" s="2">
        <f>E151+F151+G151+H151</f>
        <v/>
      </c>
      <c r="J151" s="2" t="inlineStr">
        <is>
          <t>Bao gồm lấy mẫu hiện trường và phân tích phòng thí nghiệm</t>
        </is>
      </c>
    </row>
    <row r="152">
      <c r="A152" s="3" t="n">
        <v>148</v>
      </c>
      <c r="B152" s="3" t="inlineStr">
        <is>
          <t>NT10k1</t>
        </is>
      </c>
      <c r="C152" s="3" t="inlineStr">
        <is>
          <t>Chì</t>
        </is>
      </c>
      <c r="D152" s="3" t="inlineStr">
        <is>
          <t>mg/l</t>
        </is>
      </c>
      <c r="E152" s="3">
        <f>IF(DuToan!E152&gt;0, ROUND(DuToan!K152/DuToan!E152, 0), 0)</f>
        <v/>
      </c>
      <c r="F152" s="3">
        <f>IF(DuToan!E152&gt;0, ROUND(DuToan!L152/DuToan!E152, 0), 0)</f>
        <v/>
      </c>
      <c r="G152" s="3">
        <f>IF(DuToan!E152&gt;0, ROUND(DuToan!M152/DuToan!E152, 0), 0)</f>
        <v/>
      </c>
      <c r="H152" s="3">
        <f>IF(DuToan!E152&gt;0, ROUND(DuToan!N152/DuToan!E152, 0), 0)</f>
        <v/>
      </c>
      <c r="I152" s="3">
        <f>E152+F152+G152+H152</f>
        <v/>
      </c>
      <c r="J152" s="3" t="inlineStr">
        <is>
          <t>Bao gồm lấy mẫu hiện trường và phân tích phòng thí nghiệm</t>
        </is>
      </c>
    </row>
    <row r="153">
      <c r="A153" s="2" t="n">
        <v>149</v>
      </c>
      <c r="B153" s="2" t="inlineStr">
        <is>
          <t>NT10k2</t>
        </is>
      </c>
      <c r="C153" s="2" t="inlineStr">
        <is>
          <t>Cadimi</t>
        </is>
      </c>
      <c r="D153" s="2" t="inlineStr">
        <is>
          <t>mg/l</t>
        </is>
      </c>
      <c r="E153" s="2">
        <f>IF(DuToan!E153&gt;0, ROUND(DuToan!K153/DuToan!E153, 0), 0)</f>
        <v/>
      </c>
      <c r="F153" s="2">
        <f>IF(DuToan!E153&gt;0, ROUND(DuToan!L153/DuToan!E153, 0), 0)</f>
        <v/>
      </c>
      <c r="G153" s="2">
        <f>IF(DuToan!E153&gt;0, ROUND(DuToan!M153/DuToan!E153, 0), 0)</f>
        <v/>
      </c>
      <c r="H153" s="2">
        <f>IF(DuToan!E153&gt;0, ROUND(DuToan!N153/DuToan!E153, 0), 0)</f>
        <v/>
      </c>
      <c r="I153" s="2">
        <f>E153+F153+G153+H153</f>
        <v/>
      </c>
      <c r="J153" s="2" t="inlineStr">
        <is>
          <t>Bao gồm lấy mẫu hiện trường và phân tích phòng thí nghiệm</t>
        </is>
      </c>
    </row>
    <row r="154">
      <c r="A154" s="3" t="n">
        <v>150</v>
      </c>
      <c r="B154" s="3" t="inlineStr">
        <is>
          <t>NT10m1</t>
        </is>
      </c>
      <c r="C154" s="3" t="inlineStr">
        <is>
          <t>Đồng</t>
        </is>
      </c>
      <c r="D154" s="3" t="inlineStr">
        <is>
          <t>mg/l</t>
        </is>
      </c>
      <c r="E154" s="3">
        <f>IF(DuToan!E154&gt;0, ROUND(DuToan!K154/DuToan!E154, 0), 0)</f>
        <v/>
      </c>
      <c r="F154" s="3">
        <f>IF(DuToan!E154&gt;0, ROUND(DuToan!L154/DuToan!E154, 0), 0)</f>
        <v/>
      </c>
      <c r="G154" s="3">
        <f>IF(DuToan!E154&gt;0, ROUND(DuToan!M154/DuToan!E154, 0), 0)</f>
        <v/>
      </c>
      <c r="H154" s="3">
        <f>IF(DuToan!E154&gt;0, ROUND(DuToan!N154/DuToan!E154, 0), 0)</f>
        <v/>
      </c>
      <c r="I154" s="3">
        <f>E154+F154+G154+H154</f>
        <v/>
      </c>
      <c r="J154" s="3" t="inlineStr">
        <is>
          <t>Bao gồm lấy mẫu hiện trường và phân tích phòng thí nghiệm</t>
        </is>
      </c>
    </row>
    <row r="155">
      <c r="A155" s="2" t="n">
        <v>151</v>
      </c>
      <c r="B155" s="2" t="inlineStr">
        <is>
          <t>NT10m2</t>
        </is>
      </c>
      <c r="C155" s="2" t="inlineStr">
        <is>
          <t>Kẽm</t>
        </is>
      </c>
      <c r="D155" s="2" t="inlineStr">
        <is>
          <t>mg/l</t>
        </is>
      </c>
      <c r="E155" s="2">
        <f>IF(DuToan!E155&gt;0, ROUND(DuToan!K155/DuToan!E155, 0), 0)</f>
        <v/>
      </c>
      <c r="F155" s="2">
        <f>IF(DuToan!E155&gt;0, ROUND(DuToan!L155/DuToan!E155, 0), 0)</f>
        <v/>
      </c>
      <c r="G155" s="2">
        <f>IF(DuToan!E155&gt;0, ROUND(DuToan!M155/DuToan!E155, 0), 0)</f>
        <v/>
      </c>
      <c r="H155" s="2">
        <f>IF(DuToan!E155&gt;0, ROUND(DuToan!N155/DuToan!E155, 0), 0)</f>
        <v/>
      </c>
      <c r="I155" s="2">
        <f>E155+F155+G155+H155</f>
        <v/>
      </c>
      <c r="J155" s="2" t="inlineStr">
        <is>
          <t>Bao gồm lấy mẫu hiện trường và phân tích phòng thí nghiệm</t>
        </is>
      </c>
    </row>
    <row r="156">
      <c r="A156" s="3" t="n">
        <v>152</v>
      </c>
      <c r="B156" s="3" t="inlineStr">
        <is>
          <t>NT10m6</t>
        </is>
      </c>
      <c r="C156" s="3" t="inlineStr">
        <is>
          <t>Niken</t>
        </is>
      </c>
      <c r="D156" s="3" t="inlineStr">
        <is>
          <t>mg/l</t>
        </is>
      </c>
      <c r="E156" s="3">
        <f>IF(DuToan!E156&gt;0, ROUND(DuToan!K156/DuToan!E156, 0), 0)</f>
        <v/>
      </c>
      <c r="F156" s="3">
        <f>IF(DuToan!E156&gt;0, ROUND(DuToan!L156/DuToan!E156, 0), 0)</f>
        <v/>
      </c>
      <c r="G156" s="3">
        <f>IF(DuToan!E156&gt;0, ROUND(DuToan!M156/DuToan!E156, 0), 0)</f>
        <v/>
      </c>
      <c r="H156" s="3">
        <f>IF(DuToan!E156&gt;0, ROUND(DuToan!N156/DuToan!E156, 0), 0)</f>
        <v/>
      </c>
      <c r="I156" s="3">
        <f>E156+F156+G156+H156</f>
        <v/>
      </c>
      <c r="J156" s="3" t="inlineStr">
        <is>
          <t>Bao gồm lấy mẫu hiện trường và phân tích phòng thí nghiệm</t>
        </is>
      </c>
    </row>
    <row r="157">
      <c r="A157" s="2" t="n">
        <v>153</v>
      </c>
      <c r="B157" s="2" t="inlineStr">
        <is>
          <t>NT10m3</t>
        </is>
      </c>
      <c r="C157" s="2" t="inlineStr">
        <is>
          <t>Mangan</t>
        </is>
      </c>
      <c r="D157" s="2" t="inlineStr">
        <is>
          <t>mg/l</t>
        </is>
      </c>
      <c r="E157" s="2">
        <f>IF(DuToan!E157&gt;0, ROUND(DuToan!K157/DuToan!E157, 0), 0)</f>
        <v/>
      </c>
      <c r="F157" s="2">
        <f>IF(DuToan!E157&gt;0, ROUND(DuToan!L157/DuToan!E157, 0), 0)</f>
        <v/>
      </c>
      <c r="G157" s="2">
        <f>IF(DuToan!E157&gt;0, ROUND(DuToan!M157/DuToan!E157, 0), 0)</f>
        <v/>
      </c>
      <c r="H157" s="2">
        <f>IF(DuToan!E157&gt;0, ROUND(DuToan!N157/DuToan!E157, 0), 0)</f>
        <v/>
      </c>
      <c r="I157" s="2">
        <f>E157+F157+G157+H157</f>
        <v/>
      </c>
      <c r="J157" s="2" t="inlineStr">
        <is>
          <t>Bao gồm lấy mẫu hiện trường và phân tích phòng thí nghiệm</t>
        </is>
      </c>
    </row>
    <row r="158">
      <c r="A158" s="3" t="n">
        <v>154</v>
      </c>
      <c r="B158" s="3" t="inlineStr">
        <is>
          <t>NT10m4</t>
        </is>
      </c>
      <c r="C158" s="3" t="inlineStr">
        <is>
          <t>Sắt</t>
        </is>
      </c>
      <c r="D158" s="3" t="inlineStr">
        <is>
          <t>mg/l</t>
        </is>
      </c>
      <c r="E158" s="3">
        <f>IF(DuToan!E158&gt;0, ROUND(DuToan!K158/DuToan!E158, 0), 0)</f>
        <v/>
      </c>
      <c r="F158" s="3">
        <f>IF(DuToan!E158&gt;0, ROUND(DuToan!L158/DuToan!E158, 0), 0)</f>
        <v/>
      </c>
      <c r="G158" s="3">
        <f>IF(DuToan!E158&gt;0, ROUND(DuToan!M158/DuToan!E158, 0), 0)</f>
        <v/>
      </c>
      <c r="H158" s="3">
        <f>IF(DuToan!E158&gt;0, ROUND(DuToan!N158/DuToan!E158, 0), 0)</f>
        <v/>
      </c>
      <c r="I158" s="3">
        <f>E158+F158+G158+H158</f>
        <v/>
      </c>
      <c r="J158" s="3" t="inlineStr">
        <is>
          <t>Bao gồm lấy mẫu hiện trường và phân tích phòng thí nghiệm</t>
        </is>
      </c>
    </row>
    <row r="159">
      <c r="A159" s="2" t="n">
        <v>155</v>
      </c>
      <c r="B159" s="2" t="inlineStr">
        <is>
          <t>NT9</t>
        </is>
      </c>
      <c r="C159" s="2" t="inlineStr">
        <is>
          <t>Tổng xianua</t>
        </is>
      </c>
      <c r="D159" s="2" t="inlineStr">
        <is>
          <t>mg/l</t>
        </is>
      </c>
      <c r="E159" s="2">
        <f>IF(DuToan!E159&gt;0, ROUND(DuToan!K159/DuToan!E159, 0), 0)</f>
        <v/>
      </c>
      <c r="F159" s="2">
        <f>IF(DuToan!E159&gt;0, ROUND(DuToan!L159/DuToan!E159, 0), 0)</f>
        <v/>
      </c>
      <c r="G159" s="2">
        <f>IF(DuToan!E159&gt;0, ROUND(DuToan!M159/DuToan!E159, 0), 0)</f>
        <v/>
      </c>
      <c r="H159" s="2">
        <f>IF(DuToan!E159&gt;0, ROUND(DuToan!N159/DuToan!E159, 0), 0)</f>
        <v/>
      </c>
      <c r="I159" s="2">
        <f>E159+F159+G159+H159</f>
        <v/>
      </c>
      <c r="J159" s="2" t="inlineStr">
        <is>
          <t>Bao gồm lấy mẫu hiện trường và phân tích phòng thí nghiệm</t>
        </is>
      </c>
    </row>
    <row r="160">
      <c r="A160" s="3" t="n">
        <v>156</v>
      </c>
      <c r="B160" s="3" t="inlineStr">
        <is>
          <t>NT2</t>
        </is>
      </c>
      <c r="C160" s="3" t="inlineStr">
        <is>
          <t>Tổng Phenol</t>
        </is>
      </c>
      <c r="D160" s="3" t="inlineStr">
        <is>
          <t>mg/l</t>
        </is>
      </c>
      <c r="E160" s="3">
        <f>IF(DuToan!E160&gt;0, ROUND(DuToan!K160/DuToan!E160, 0), 0)</f>
        <v/>
      </c>
      <c r="F160" s="3">
        <f>IF(DuToan!E160&gt;0, ROUND(DuToan!L160/DuToan!E160, 0), 0)</f>
        <v/>
      </c>
      <c r="G160" s="3">
        <f>IF(DuToan!E160&gt;0, ROUND(DuToan!M160/DuToan!E160, 0), 0)</f>
        <v/>
      </c>
      <c r="H160" s="3">
        <f>IF(DuToan!E160&gt;0, ROUND(DuToan!N160/DuToan!E160, 0), 0)</f>
        <v/>
      </c>
      <c r="I160" s="3">
        <f>E160+F160+G160+H160</f>
        <v/>
      </c>
      <c r="J160" s="3" t="inlineStr">
        <is>
          <t>Bao gồm lấy mẫu hiện trường và phân tích phòng thí nghiệm</t>
        </is>
      </c>
    </row>
    <row r="161">
      <c r="A161" s="2" t="n">
        <v>157</v>
      </c>
      <c r="B161" s="2" t="inlineStr">
        <is>
          <t>NT8</t>
        </is>
      </c>
      <c r="C161" s="2" t="inlineStr">
        <is>
          <t>Tổng dầu mỡ khoáng</t>
        </is>
      </c>
      <c r="D161" s="2" t="inlineStr">
        <is>
          <t>mg/l</t>
        </is>
      </c>
      <c r="E161" s="2">
        <f>IF(DuToan!E161&gt;0, ROUND(DuToan!K161/DuToan!E161, 0), 0)</f>
        <v/>
      </c>
      <c r="F161" s="2">
        <f>IF(DuToan!E161&gt;0, ROUND(DuToan!L161/DuToan!E161, 0), 0)</f>
        <v/>
      </c>
      <c r="G161" s="2">
        <f>IF(DuToan!E161&gt;0, ROUND(DuToan!M161/DuToan!E161, 0), 0)</f>
        <v/>
      </c>
      <c r="H161" s="2">
        <f>IF(DuToan!E161&gt;0, ROUND(DuToan!N161/DuToan!E161, 0), 0)</f>
        <v/>
      </c>
      <c r="I161" s="2">
        <f>E161+F161+G161+H161</f>
        <v/>
      </c>
      <c r="J161" s="2" t="inlineStr">
        <is>
          <t>Bao gồm lấy mẫu hiện trường và phân tích phòng thí nghiệm</t>
        </is>
      </c>
    </row>
    <row r="162">
      <c r="A162" s="3" t="n">
        <v>158</v>
      </c>
      <c r="B162" s="3" t="inlineStr">
        <is>
          <t>NT10d</t>
        </is>
      </c>
      <c r="C162" s="3" t="inlineStr">
        <is>
          <t>Sunfua</t>
        </is>
      </c>
      <c r="D162" s="3" t="inlineStr">
        <is>
          <t>mg/l</t>
        </is>
      </c>
      <c r="E162" s="3">
        <f>IF(DuToan!E162&gt;0, ROUND(DuToan!K162/DuToan!E162, 0), 0)</f>
        <v/>
      </c>
      <c r="F162" s="3">
        <f>IF(DuToan!E162&gt;0, ROUND(DuToan!L162/DuToan!E162, 0), 0)</f>
        <v/>
      </c>
      <c r="G162" s="3">
        <f>IF(DuToan!E162&gt;0, ROUND(DuToan!M162/DuToan!E162, 0), 0)</f>
        <v/>
      </c>
      <c r="H162" s="3">
        <f>IF(DuToan!E162&gt;0, ROUND(DuToan!N162/DuToan!E162, 0), 0)</f>
        <v/>
      </c>
      <c r="I162" s="3">
        <f>E162+F162+G162+H162</f>
        <v/>
      </c>
      <c r="J162" s="3" t="inlineStr">
        <is>
          <t>Bao gồm lấy mẫu hiện trường và phân tích phòng thí nghiệm</t>
        </is>
      </c>
    </row>
    <row r="163">
      <c r="A163" s="2" t="n">
        <v>159</v>
      </c>
      <c r="B163" s="2" t="inlineStr">
        <is>
          <t>NT10h</t>
        </is>
      </c>
      <c r="C163" s="2" t="inlineStr">
        <is>
          <t>Florua</t>
        </is>
      </c>
      <c r="D163" s="2" t="inlineStr">
        <is>
          <t>mg/l</t>
        </is>
      </c>
      <c r="E163" s="2">
        <f>IF(DuToan!E163&gt;0, ROUND(DuToan!K163/DuToan!E163, 0), 0)</f>
        <v/>
      </c>
      <c r="F163" s="2">
        <f>IF(DuToan!E163&gt;0, ROUND(DuToan!L163/DuToan!E163, 0), 0)</f>
        <v/>
      </c>
      <c r="G163" s="2">
        <f>IF(DuToan!E163&gt;0, ROUND(DuToan!M163/DuToan!E163, 0), 0)</f>
        <v/>
      </c>
      <c r="H163" s="2">
        <f>IF(DuToan!E163&gt;0, ROUND(DuToan!N163/DuToan!E163, 0), 0)</f>
        <v/>
      </c>
      <c r="I163" s="2">
        <f>E163+F163+G163+H163</f>
        <v/>
      </c>
      <c r="J163" s="2" t="inlineStr">
        <is>
          <t>Bao gồm lấy mẫu hiện trường và phân tích phòng thí nghiệm</t>
        </is>
      </c>
    </row>
    <row r="164">
      <c r="A164" s="3" t="n">
        <v>160</v>
      </c>
      <c r="B164" s="3" t="inlineStr">
        <is>
          <t>NT10b</t>
        </is>
      </c>
      <c r="C164" s="3" t="inlineStr">
        <is>
          <t>Tổng Nitơ</t>
        </is>
      </c>
      <c r="D164" s="3" t="inlineStr">
        <is>
          <t>mg/l</t>
        </is>
      </c>
      <c r="E164" s="3">
        <f>IF(DuToan!E164&gt;0, ROUND(DuToan!K164/DuToan!E164, 0), 0)</f>
        <v/>
      </c>
      <c r="F164" s="3">
        <f>IF(DuToan!E164&gt;0, ROUND(DuToan!L164/DuToan!E164, 0), 0)</f>
        <v/>
      </c>
      <c r="G164" s="3">
        <f>IF(DuToan!E164&gt;0, ROUND(DuToan!M164/DuToan!E164, 0), 0)</f>
        <v/>
      </c>
      <c r="H164" s="3">
        <f>IF(DuToan!E164&gt;0, ROUND(DuToan!N164/DuToan!E164, 0), 0)</f>
        <v/>
      </c>
      <c r="I164" s="3">
        <f>E164+F164+G164+H164</f>
        <v/>
      </c>
      <c r="J164" s="3" t="inlineStr">
        <is>
          <t>Bao gồm lấy mẫu hiện trường và phân tích phòng thí nghiệm</t>
        </is>
      </c>
    </row>
    <row r="165">
      <c r="A165" s="2" t="n">
        <v>161</v>
      </c>
      <c r="B165" s="2" t="inlineStr">
        <is>
          <t>NT2</t>
        </is>
      </c>
      <c r="C165" s="2" t="inlineStr">
        <is>
          <t>Tổng photpho (tính theo P)</t>
        </is>
      </c>
      <c r="D165" s="2" t="inlineStr">
        <is>
          <t>mg/l</t>
        </is>
      </c>
      <c r="E165" s="2">
        <f>IF(DuToan!E165&gt;0, ROUND(DuToan!K165/DuToan!E165, 0), 0)</f>
        <v/>
      </c>
      <c r="F165" s="2">
        <f>IF(DuToan!E165&gt;0, ROUND(DuToan!L165/DuToan!E165, 0), 0)</f>
        <v/>
      </c>
      <c r="G165" s="2">
        <f>IF(DuToan!E165&gt;0, ROUND(DuToan!M165/DuToan!E165, 0), 0)</f>
        <v/>
      </c>
      <c r="H165" s="2">
        <f>IF(DuToan!E165&gt;0, ROUND(DuToan!N165/DuToan!E165, 0), 0)</f>
        <v/>
      </c>
      <c r="I165" s="2">
        <f>E165+F165+G165+H165</f>
        <v/>
      </c>
      <c r="J165" s="2" t="inlineStr">
        <is>
          <t>Bao gồm lấy mẫu hiện trường và phân tích phòng thí nghiệm</t>
        </is>
      </c>
    </row>
    <row r="166">
      <c r="A166" s="3" t="n">
        <v>162</v>
      </c>
      <c r="B166" s="3" t="inlineStr">
        <is>
          <t>NT10i</t>
        </is>
      </c>
      <c r="C166" s="3" t="inlineStr">
        <is>
          <t>Clorua</t>
        </is>
      </c>
      <c r="D166" s="3" t="inlineStr">
        <is>
          <t>mg/l</t>
        </is>
      </c>
      <c r="E166" s="3">
        <f>IF(DuToan!E166&gt;0, ROUND(DuToan!K166/DuToan!E166, 0), 0)</f>
        <v/>
      </c>
      <c r="F166" s="3">
        <f>IF(DuToan!E166&gt;0, ROUND(DuToan!L166/DuToan!E166, 0), 0)</f>
        <v/>
      </c>
      <c r="G166" s="3">
        <f>IF(DuToan!E166&gt;0, ROUND(DuToan!M166/DuToan!E166, 0), 0)</f>
        <v/>
      </c>
      <c r="H166" s="3">
        <f>IF(DuToan!E166&gt;0, ROUND(DuToan!N166/DuToan!E166, 0), 0)</f>
        <v/>
      </c>
      <c r="I166" s="3">
        <f>E166+F166+G166+H166</f>
        <v/>
      </c>
      <c r="J166" s="3" t="inlineStr">
        <is>
          <t>Bao gồm lấy mẫu hiện trường và phân tích phòng thí nghiệm</t>
        </is>
      </c>
    </row>
    <row r="167">
      <c r="A167" s="2" t="n">
        <v>163</v>
      </c>
      <c r="B167" s="2" t="inlineStr">
        <is>
          <t>NT10j</t>
        </is>
      </c>
      <c r="C167" s="2" t="inlineStr">
        <is>
          <t>Clo dư</t>
        </is>
      </c>
      <c r="D167" s="2" t="inlineStr">
        <is>
          <t>mg/l</t>
        </is>
      </c>
      <c r="E167" s="2">
        <f>IF(DuToan!E167&gt;0, ROUND(DuToan!K167/DuToan!E167, 0), 0)</f>
        <v/>
      </c>
      <c r="F167" s="2">
        <f>IF(DuToan!E167&gt;0, ROUND(DuToan!L167/DuToan!E167, 0), 0)</f>
        <v/>
      </c>
      <c r="G167" s="2">
        <f>IF(DuToan!E167&gt;0, ROUND(DuToan!M167/DuToan!E167, 0), 0)</f>
        <v/>
      </c>
      <c r="H167" s="2">
        <f>IF(DuToan!E167&gt;0, ROUND(DuToan!N167/DuToan!E167, 0), 0)</f>
        <v/>
      </c>
      <c r="I167" s="2">
        <f>E167+F167+G167+H167</f>
        <v/>
      </c>
      <c r="J167" s="2" t="inlineStr">
        <is>
          <t>Bao gồm lấy mẫu hiện trường và phân tích phòng thí nghiệm</t>
        </is>
      </c>
    </row>
    <row r="168">
      <c r="A168" s="3" t="n">
        <v>164</v>
      </c>
      <c r="B168" s="3" t="inlineStr">
        <is>
          <t>NT7a</t>
        </is>
      </c>
      <c r="C168" s="3" t="inlineStr">
        <is>
          <t>Coliform</t>
        </is>
      </c>
      <c r="D168" s="3" t="inlineStr">
        <is>
          <t>MPN/100ml</t>
        </is>
      </c>
      <c r="E168" s="3">
        <f>IF(DuToan!E168&gt;0, ROUND(DuToan!K168/DuToan!E168, 0), 0)</f>
        <v/>
      </c>
      <c r="F168" s="3">
        <f>IF(DuToan!E168&gt;0, ROUND(DuToan!L168/DuToan!E168, 0), 0)</f>
        <v/>
      </c>
      <c r="G168" s="3">
        <f>IF(DuToan!E168&gt;0, ROUND(DuToan!M168/DuToan!E168, 0), 0)</f>
        <v/>
      </c>
      <c r="H168" s="3">
        <f>IF(DuToan!E168&gt;0, ROUND(DuToan!N168/DuToan!E168, 0), 0)</f>
        <v/>
      </c>
      <c r="I168" s="3">
        <f>E168+F168+G168+H168</f>
        <v/>
      </c>
      <c r="J168" s="3" t="inlineStr">
        <is>
          <t>Bao gồm lấy mẫu hiện trường và phân tích phòng thí nghiệm</t>
        </is>
      </c>
    </row>
    <row r="169">
      <c r="A169" s="2" t="n">
        <v>165</v>
      </c>
      <c r="B169" s="2" t="inlineStr">
        <is>
          <t>NB10</t>
        </is>
      </c>
      <c r="C169" s="2" t="inlineStr">
        <is>
          <t>pH</t>
        </is>
      </c>
      <c r="D169" s="2" t="inlineStr">
        <is>
          <t>-</t>
        </is>
      </c>
      <c r="E169" s="2">
        <f>IF(DuToan!E169&gt;0, ROUND(DuToan!K169/DuToan!E169, 0), 0)</f>
        <v/>
      </c>
      <c r="F169" s="2">
        <f>IF(DuToan!E169&gt;0, ROUND(DuToan!L169/DuToan!E169, 0), 0)</f>
        <v/>
      </c>
      <c r="G169" s="2">
        <f>IF(DuToan!E169&gt;0, ROUND(DuToan!M169/DuToan!E169, 0), 0)</f>
        <v/>
      </c>
      <c r="H169" s="2">
        <f>IF(DuToan!E169&gt;0, ROUND(DuToan!N169/DuToan!E169, 0), 0)</f>
        <v/>
      </c>
      <c r="I169" s="2">
        <f>E169+F169+G169+H169</f>
        <v/>
      </c>
      <c r="J169" s="2" t="inlineStr">
        <is>
          <t>Bao gồm lấy mẫu hiện trường và phân tích phòng thí nghiệm</t>
        </is>
      </c>
    </row>
    <row r="170">
      <c r="A170" s="3" t="n">
        <v>166</v>
      </c>
      <c r="B170" s="3" t="inlineStr">
        <is>
          <t>NB5</t>
        </is>
      </c>
      <c r="C170" s="3" t="inlineStr">
        <is>
          <t>Nhiệt độ</t>
        </is>
      </c>
      <c r="D170" s="3" t="inlineStr">
        <is>
          <t>0C</t>
        </is>
      </c>
      <c r="E170" s="3">
        <f>IF(DuToan!E170&gt;0, ROUND(DuToan!K170/DuToan!E170, 0), 0)</f>
        <v/>
      </c>
      <c r="F170" s="3">
        <f>IF(DuToan!E170&gt;0, ROUND(DuToan!L170/DuToan!E170, 0), 0)</f>
        <v/>
      </c>
      <c r="G170" s="3">
        <f>IF(DuToan!E170&gt;0, ROUND(DuToan!M170/DuToan!E170, 0), 0)</f>
        <v/>
      </c>
      <c r="H170" s="3">
        <f>IF(DuToan!E170&gt;0, ROUND(DuToan!N170/DuToan!E170, 0), 0)</f>
        <v/>
      </c>
      <c r="I170" s="3">
        <f>E170+F170+G170+H170</f>
        <v/>
      </c>
      <c r="J170" s="3" t="inlineStr">
        <is>
          <t>Bao gồm lấy mẫu hiện trường và phân tích phòng thí nghiệm</t>
        </is>
      </c>
    </row>
    <row r="171">
      <c r="A171" s="2" t="n">
        <v>167</v>
      </c>
      <c r="B171" s="2" t="inlineStr">
        <is>
          <t>NB11</t>
        </is>
      </c>
      <c r="C171" s="2" t="inlineStr">
        <is>
          <t>DO</t>
        </is>
      </c>
      <c r="D171" s="2" t="inlineStr">
        <is>
          <t>mg/l</t>
        </is>
      </c>
      <c r="E171" s="2">
        <f>IF(DuToan!E171&gt;0, ROUND(DuToan!K171/DuToan!E171, 0), 0)</f>
        <v/>
      </c>
      <c r="F171" s="2">
        <f>IF(DuToan!E171&gt;0, ROUND(DuToan!L171/DuToan!E171, 0), 0)</f>
        <v/>
      </c>
      <c r="G171" s="2">
        <f>IF(DuToan!E171&gt;0, ROUND(DuToan!M171/DuToan!E171, 0), 0)</f>
        <v/>
      </c>
      <c r="H171" s="2">
        <f>IF(DuToan!E171&gt;0, ROUND(DuToan!N171/DuToan!E171, 0), 0)</f>
        <v/>
      </c>
      <c r="I171" s="2">
        <f>E171+F171+G171+H171</f>
        <v/>
      </c>
      <c r="J171" s="2" t="inlineStr">
        <is>
          <t>Bao gồm lấy mẫu hiện trường và phân tích phòng thí nghiệm</t>
        </is>
      </c>
    </row>
    <row r="172">
      <c r="A172" s="3" t="n">
        <v>168</v>
      </c>
      <c r="B172" s="3" t="inlineStr">
        <is>
          <t>NB17a</t>
        </is>
      </c>
      <c r="C172" s="3" t="inlineStr">
        <is>
          <t>TSS</t>
        </is>
      </c>
      <c r="D172" s="3" t="inlineStr">
        <is>
          <t>mg/l</t>
        </is>
      </c>
      <c r="E172" s="3">
        <f>IF(DuToan!E172&gt;0, ROUND(DuToan!K172/DuToan!E172, 0), 0)</f>
        <v/>
      </c>
      <c r="F172" s="3">
        <f>IF(DuToan!E172&gt;0, ROUND(DuToan!L172/DuToan!E172, 0), 0)</f>
        <v/>
      </c>
      <c r="G172" s="3">
        <f>IF(DuToan!E172&gt;0, ROUND(DuToan!M172/DuToan!E172, 0), 0)</f>
        <v/>
      </c>
      <c r="H172" s="3">
        <f>IF(DuToan!E172&gt;0, ROUND(DuToan!N172/DuToan!E172, 0), 0)</f>
        <v/>
      </c>
      <c r="I172" s="3">
        <f>E172+F172+G172+H172</f>
        <v/>
      </c>
      <c r="J172" s="3" t="inlineStr">
        <is>
          <t>Bao gồm lấy mẫu hiện trường và phân tích phòng thí nghiệm</t>
        </is>
      </c>
    </row>
    <row r="173">
      <c r="A173" s="2" t="n">
        <v>169</v>
      </c>
      <c r="B173" s="2" t="inlineStr">
        <is>
          <t>NB15</t>
        </is>
      </c>
      <c r="C173" s="2" t="inlineStr">
        <is>
          <t>Amoni (tính theo N)</t>
        </is>
      </c>
      <c r="D173" s="2" t="inlineStr">
        <is>
          <t>mg/l</t>
        </is>
      </c>
      <c r="E173" s="2">
        <f>IF(DuToan!E173&gt;0, ROUND(DuToan!K173/DuToan!E173, 0), 0)</f>
        <v/>
      </c>
      <c r="F173" s="2">
        <f>IF(DuToan!E173&gt;0, ROUND(DuToan!L173/DuToan!E173, 0), 0)</f>
        <v/>
      </c>
      <c r="G173" s="2">
        <f>IF(DuToan!E173&gt;0, ROUND(DuToan!M173/DuToan!E173, 0), 0)</f>
        <v/>
      </c>
      <c r="H173" s="2">
        <f>IF(DuToan!E173&gt;0, ROUND(DuToan!N173/DuToan!E173, 0), 0)</f>
        <v/>
      </c>
      <c r="I173" s="2">
        <f>E173+F173+G173+H173</f>
        <v/>
      </c>
      <c r="J173" s="2" t="inlineStr">
        <is>
          <t>Bao gồm lấy mẫu hiện trường và phân tích phòng thí nghiệm</t>
        </is>
      </c>
    </row>
    <row r="174">
      <c r="A174" s="3" t="n">
        <v>170</v>
      </c>
      <c r="B174" s="3" t="inlineStr">
        <is>
          <t>NB10</t>
        </is>
      </c>
      <c r="C174" s="3" t="inlineStr">
        <is>
          <t>Phosphat</t>
        </is>
      </c>
      <c r="D174" s="3" t="inlineStr">
        <is>
          <t>mg/l</t>
        </is>
      </c>
      <c r="E174" s="3">
        <f>IF(DuToan!E174&gt;0, ROUND(DuToan!K174/DuToan!E174, 0), 0)</f>
        <v/>
      </c>
      <c r="F174" s="3">
        <f>IF(DuToan!E174&gt;0, ROUND(DuToan!L174/DuToan!E174, 0), 0)</f>
        <v/>
      </c>
      <c r="G174" s="3">
        <f>IF(DuToan!E174&gt;0, ROUND(DuToan!M174/DuToan!E174, 0), 0)</f>
        <v/>
      </c>
      <c r="H174" s="3">
        <f>IF(DuToan!E174&gt;0, ROUND(DuToan!N174/DuToan!E174, 0), 0)</f>
        <v/>
      </c>
      <c r="I174" s="3">
        <f>E174+F174+G174+H174</f>
        <v/>
      </c>
      <c r="J174" s="3" t="inlineStr">
        <is>
          <t>Bao gồm lấy mẫu hiện trường và phân tích phòng thí nghiệm</t>
        </is>
      </c>
    </row>
    <row r="175">
      <c r="A175" s="2" t="n">
        <v>171</v>
      </c>
      <c r="B175" s="2" t="inlineStr">
        <is>
          <t>NB15</t>
        </is>
      </c>
      <c r="C175" s="2" t="inlineStr">
        <is>
          <t>Florua</t>
        </is>
      </c>
      <c r="D175" s="2" t="inlineStr">
        <is>
          <t>mg/l</t>
        </is>
      </c>
      <c r="E175" s="2">
        <f>IF(DuToan!E175&gt;0, ROUND(DuToan!K175/DuToan!E175, 0), 0)</f>
        <v/>
      </c>
      <c r="F175" s="2">
        <f>IF(DuToan!E175&gt;0, ROUND(DuToan!L175/DuToan!E175, 0), 0)</f>
        <v/>
      </c>
      <c r="G175" s="2">
        <f>IF(DuToan!E175&gt;0, ROUND(DuToan!M175/DuToan!E175, 0), 0)</f>
        <v/>
      </c>
      <c r="H175" s="2">
        <f>IF(DuToan!E175&gt;0, ROUND(DuToan!N175/DuToan!E175, 0), 0)</f>
        <v/>
      </c>
      <c r="I175" s="2">
        <f>E175+F175+G175+H175</f>
        <v/>
      </c>
      <c r="J175" s="2" t="inlineStr">
        <is>
          <t>Bao gồm lấy mẫu hiện trường và phân tích phòng thí nghiệm</t>
        </is>
      </c>
    </row>
    <row r="176">
      <c r="A176" s="3" t="n">
        <v>172</v>
      </c>
      <c r="B176" s="3" t="inlineStr">
        <is>
          <t>NB20</t>
        </is>
      </c>
      <c r="C176" s="3" t="inlineStr">
        <is>
          <t>Xyanua</t>
        </is>
      </c>
      <c r="D176" s="3" t="inlineStr">
        <is>
          <t>mg/l</t>
        </is>
      </c>
      <c r="E176" s="3">
        <f>IF(DuToan!E176&gt;0, ROUND(DuToan!K176/DuToan!E176, 0), 0)</f>
        <v/>
      </c>
      <c r="F176" s="3">
        <f>IF(DuToan!E176&gt;0, ROUND(DuToan!L176/DuToan!E176, 0), 0)</f>
        <v/>
      </c>
      <c r="G176" s="3">
        <f>IF(DuToan!E176&gt;0, ROUND(DuToan!M176/DuToan!E176, 0), 0)</f>
        <v/>
      </c>
      <c r="H176" s="3">
        <f>IF(DuToan!E176&gt;0, ROUND(DuToan!N176/DuToan!E176, 0), 0)</f>
        <v/>
      </c>
      <c r="I176" s="3">
        <f>E176+F176+G176+H176</f>
        <v/>
      </c>
      <c r="J176" s="3" t="inlineStr">
        <is>
          <t>Bao gồm lấy mẫu hiện trường và phân tích phòng thí nghiệm</t>
        </is>
      </c>
    </row>
    <row r="177">
      <c r="A177" s="2" t="n">
        <v>173</v>
      </c>
      <c r="B177" s="2" t="inlineStr">
        <is>
          <t>NB21</t>
        </is>
      </c>
      <c r="C177" s="2" t="inlineStr">
        <is>
          <t>Cd</t>
        </is>
      </c>
      <c r="D177" s="2" t="inlineStr">
        <is>
          <t>mg/l</t>
        </is>
      </c>
      <c r="E177" s="2">
        <f>IF(DuToan!E177&gt;0, ROUND(DuToan!K177/DuToan!E177, 0), 0)</f>
        <v/>
      </c>
      <c r="F177" s="2">
        <f>IF(DuToan!E177&gt;0, ROUND(DuToan!L177/DuToan!E177, 0), 0)</f>
        <v/>
      </c>
      <c r="G177" s="2">
        <f>IF(DuToan!E177&gt;0, ROUND(DuToan!M177/DuToan!E177, 0), 0)</f>
        <v/>
      </c>
      <c r="H177" s="2">
        <f>IF(DuToan!E177&gt;0, ROUND(DuToan!N177/DuToan!E177, 0), 0)</f>
        <v/>
      </c>
      <c r="I177" s="2">
        <f>E177+F177+G177+H177</f>
        <v/>
      </c>
      <c r="J177" s="2" t="inlineStr">
        <is>
          <t>Bao gồm lấy mẫu hiện trường và phân tích phòng thí nghiệm</t>
        </is>
      </c>
    </row>
    <row r="178">
      <c r="A178" s="3" t="n">
        <v>174</v>
      </c>
      <c r="B178" s="3" t="inlineStr">
        <is>
          <t>NB21</t>
        </is>
      </c>
      <c r="C178" s="3" t="inlineStr">
        <is>
          <t>As</t>
        </is>
      </c>
      <c r="D178" s="3" t="inlineStr">
        <is>
          <t>mg/l</t>
        </is>
      </c>
      <c r="E178" s="3">
        <f>IF(DuToan!E178&gt;0, ROUND(DuToan!K178/DuToan!E178, 0), 0)</f>
        <v/>
      </c>
      <c r="F178" s="3">
        <f>IF(DuToan!E178&gt;0, ROUND(DuToan!L178/DuToan!E178, 0), 0)</f>
        <v/>
      </c>
      <c r="G178" s="3">
        <f>IF(DuToan!E178&gt;0, ROUND(DuToan!M178/DuToan!E178, 0), 0)</f>
        <v/>
      </c>
      <c r="H178" s="3">
        <f>IF(DuToan!E178&gt;0, ROUND(DuToan!N178/DuToan!E178, 0), 0)</f>
        <v/>
      </c>
      <c r="I178" s="3">
        <f>E178+F178+G178+H178</f>
        <v/>
      </c>
      <c r="J178" s="3" t="inlineStr">
        <is>
          <t>Bao gồm lấy mẫu hiện trường và phân tích phòng thí nghiệm</t>
        </is>
      </c>
    </row>
    <row r="179">
      <c r="A179" s="2" t="n">
        <v>175</v>
      </c>
      <c r="B179" s="2" t="inlineStr">
        <is>
          <t>NB21</t>
        </is>
      </c>
      <c r="C179" s="2" t="inlineStr">
        <is>
          <t>Hg</t>
        </is>
      </c>
      <c r="D179" s="2" t="inlineStr">
        <is>
          <t>mg/l</t>
        </is>
      </c>
      <c r="E179" s="2">
        <f>IF(DuToan!E179&gt;0, ROUND(DuToan!K179/DuToan!E179, 0), 0)</f>
        <v/>
      </c>
      <c r="F179" s="2">
        <f>IF(DuToan!E179&gt;0, ROUND(DuToan!L179/DuToan!E179, 0), 0)</f>
        <v/>
      </c>
      <c r="G179" s="2">
        <f>IF(DuToan!E179&gt;0, ROUND(DuToan!M179/DuToan!E179, 0), 0)</f>
        <v/>
      </c>
      <c r="H179" s="2">
        <f>IF(DuToan!E179&gt;0, ROUND(DuToan!N179/DuToan!E179, 0), 0)</f>
        <v/>
      </c>
      <c r="I179" s="2">
        <f>E179+F179+G179+H179</f>
        <v/>
      </c>
      <c r="J179" s="2" t="inlineStr">
        <is>
          <t>Bao gồm lấy mẫu hiện trường và phân tích phòng thí nghiệm</t>
        </is>
      </c>
    </row>
    <row r="180">
      <c r="A180" s="3" t="n">
        <v>176</v>
      </c>
      <c r="B180" s="3" t="inlineStr">
        <is>
          <t>NB21</t>
        </is>
      </c>
      <c r="C180" s="3" t="inlineStr">
        <is>
          <t>Cu</t>
        </is>
      </c>
      <c r="D180" s="3" t="inlineStr">
        <is>
          <t>mg/l</t>
        </is>
      </c>
      <c r="E180" s="3">
        <f>IF(DuToan!E180&gt;0, ROUND(DuToan!K180/DuToan!E180, 0), 0)</f>
        <v/>
      </c>
      <c r="F180" s="3">
        <f>IF(DuToan!E180&gt;0, ROUND(DuToan!L180/DuToan!E180, 0), 0)</f>
        <v/>
      </c>
      <c r="G180" s="3">
        <f>IF(DuToan!E180&gt;0, ROUND(DuToan!M180/DuToan!E180, 0), 0)</f>
        <v/>
      </c>
      <c r="H180" s="3">
        <f>IF(DuToan!E180&gt;0, ROUND(DuToan!N180/DuToan!E180, 0), 0)</f>
        <v/>
      </c>
      <c r="I180" s="3">
        <f>E180+F180+G180+H180</f>
        <v/>
      </c>
      <c r="J180" s="3" t="inlineStr">
        <is>
          <t>Bao gồm lấy mẫu hiện trường và phân tích phòng thí nghiệm</t>
        </is>
      </c>
    </row>
    <row r="181">
      <c r="A181" s="2" t="n">
        <v>177</v>
      </c>
      <c r="B181" s="2" t="inlineStr">
        <is>
          <t>NB21</t>
        </is>
      </c>
      <c r="C181" s="2" t="inlineStr">
        <is>
          <t>Pb</t>
        </is>
      </c>
      <c r="D181" s="2" t="inlineStr">
        <is>
          <t>mg/l</t>
        </is>
      </c>
      <c r="E181" s="2">
        <f>IF(DuToan!E181&gt;0, ROUND(DuToan!K181/DuToan!E181, 0), 0)</f>
        <v/>
      </c>
      <c r="F181" s="2">
        <f>IF(DuToan!E181&gt;0, ROUND(DuToan!L181/DuToan!E181, 0), 0)</f>
        <v/>
      </c>
      <c r="G181" s="2">
        <f>IF(DuToan!E181&gt;0, ROUND(DuToan!M181/DuToan!E181, 0), 0)</f>
        <v/>
      </c>
      <c r="H181" s="2">
        <f>IF(DuToan!E181&gt;0, ROUND(DuToan!N181/DuToan!E181, 0), 0)</f>
        <v/>
      </c>
      <c r="I181" s="2">
        <f>E181+F181+G181+H181</f>
        <v/>
      </c>
      <c r="J181" s="2" t="inlineStr">
        <is>
          <t>Bao gồm lấy mẫu hiện trường và phân tích phòng thí nghiệm</t>
        </is>
      </c>
    </row>
    <row r="182">
      <c r="A182" s="3" t="n">
        <v>178</v>
      </c>
      <c r="B182" s="3" t="inlineStr">
        <is>
          <t>NB21</t>
        </is>
      </c>
      <c r="C182" s="3" t="inlineStr">
        <is>
          <t>Fe</t>
        </is>
      </c>
      <c r="D182" s="3" t="inlineStr">
        <is>
          <t>mg/l</t>
        </is>
      </c>
      <c r="E182" s="3">
        <f>IF(DuToan!E182&gt;0, ROUND(DuToan!K182/DuToan!E182, 0), 0)</f>
        <v/>
      </c>
      <c r="F182" s="3">
        <f>IF(DuToan!E182&gt;0, ROUND(DuToan!L182/DuToan!E182, 0), 0)</f>
        <v/>
      </c>
      <c r="G182" s="3">
        <f>IF(DuToan!E182&gt;0, ROUND(DuToan!M182/DuToan!E182, 0), 0)</f>
        <v/>
      </c>
      <c r="H182" s="3">
        <f>IF(DuToan!E182&gt;0, ROUND(DuToan!N182/DuToan!E182, 0), 0)</f>
        <v/>
      </c>
      <c r="I182" s="3">
        <f>E182+F182+G182+H182</f>
        <v/>
      </c>
      <c r="J182" s="3" t="inlineStr">
        <is>
          <t>Bao gồm lấy mẫu hiện trường và phân tích phòng thí nghiệm</t>
        </is>
      </c>
    </row>
    <row r="183">
      <c r="A183" s="2" t="n">
        <v>179</v>
      </c>
      <c r="B183" s="2" t="inlineStr">
        <is>
          <t>NB21</t>
        </is>
      </c>
      <c r="C183" s="2" t="inlineStr">
        <is>
          <t>Zn</t>
        </is>
      </c>
      <c r="D183" s="2" t="inlineStr">
        <is>
          <t>mg/l</t>
        </is>
      </c>
      <c r="E183" s="2">
        <f>IF(DuToan!E183&gt;0, ROUND(DuToan!K183/DuToan!E183, 0), 0)</f>
        <v/>
      </c>
      <c r="F183" s="2">
        <f>IF(DuToan!E183&gt;0, ROUND(DuToan!L183/DuToan!E183, 0), 0)</f>
        <v/>
      </c>
      <c r="G183" s="2">
        <f>IF(DuToan!E183&gt;0, ROUND(DuToan!M183/DuToan!E183, 0), 0)</f>
        <v/>
      </c>
      <c r="H183" s="2">
        <f>IF(DuToan!E183&gt;0, ROUND(DuToan!N183/DuToan!E183, 0), 0)</f>
        <v/>
      </c>
      <c r="I183" s="2">
        <f>E183+F183+G183+H183</f>
        <v/>
      </c>
      <c r="J183" s="2" t="inlineStr">
        <is>
          <t>Bao gồm lấy mẫu hiện trường và phân tích phòng thí nghiệm</t>
        </is>
      </c>
    </row>
    <row r="184">
      <c r="A184" s="3" t="n">
        <v>180</v>
      </c>
      <c r="B184" s="3" t="inlineStr">
        <is>
          <t>NB21</t>
        </is>
      </c>
      <c r="C184" s="3" t="inlineStr">
        <is>
          <t>Tổng Cr</t>
        </is>
      </c>
      <c r="D184" s="3" t="inlineStr">
        <is>
          <t>mg/l</t>
        </is>
      </c>
      <c r="E184" s="3">
        <f>IF(DuToan!E184&gt;0, ROUND(DuToan!K184/DuToan!E184, 0), 0)</f>
        <v/>
      </c>
      <c r="F184" s="3">
        <f>IF(DuToan!E184&gt;0, ROUND(DuToan!L184/DuToan!E184, 0), 0)</f>
        <v/>
      </c>
      <c r="G184" s="3">
        <f>IF(DuToan!E184&gt;0, ROUND(DuToan!M184/DuToan!E184, 0), 0)</f>
        <v/>
      </c>
      <c r="H184" s="3">
        <f>IF(DuToan!E184&gt;0, ROUND(DuToan!N184/DuToan!E184, 0), 0)</f>
        <v/>
      </c>
      <c r="I184" s="3">
        <f>E184+F184+G184+H184</f>
        <v/>
      </c>
      <c r="J184" s="3" t="inlineStr">
        <is>
          <t>Bao gồm lấy mẫu hiện trường và phân tích phòng thí nghiệm</t>
        </is>
      </c>
    </row>
    <row r="185">
      <c r="A185" s="2" t="n">
        <v>181</v>
      </c>
      <c r="B185" s="2" t="inlineStr">
        <is>
          <t>NB21</t>
        </is>
      </c>
      <c r="C185" s="2" t="inlineStr">
        <is>
          <t>Mn</t>
        </is>
      </c>
      <c r="D185" s="2" t="inlineStr">
        <is>
          <t>mg/l</t>
        </is>
      </c>
      <c r="E185" s="2">
        <f>IF(DuToan!E185&gt;0, ROUND(DuToan!K185/DuToan!E185, 0), 0)</f>
        <v/>
      </c>
      <c r="F185" s="2">
        <f>IF(DuToan!E185&gt;0, ROUND(DuToan!L185/DuToan!E185, 0), 0)</f>
        <v/>
      </c>
      <c r="G185" s="2">
        <f>IF(DuToan!E185&gt;0, ROUND(DuToan!M185/DuToan!E185, 0), 0)</f>
        <v/>
      </c>
      <c r="H185" s="2">
        <f>IF(DuToan!E185&gt;0, ROUND(DuToan!N185/DuToan!E185, 0), 0)</f>
        <v/>
      </c>
      <c r="I185" s="2">
        <f>E185+F185+G185+H185</f>
        <v/>
      </c>
      <c r="J185" s="2" t="inlineStr">
        <is>
          <t>Bao gồm lấy mẫu hiện trường và phân tích phòng thí nghiệm</t>
        </is>
      </c>
    </row>
    <row r="186">
      <c r="A186" s="3" t="n">
        <v>182</v>
      </c>
      <c r="B186" s="3" t="inlineStr">
        <is>
          <t>NB21</t>
        </is>
      </c>
      <c r="C186" s="3" t="inlineStr">
        <is>
          <t>Cr VI</t>
        </is>
      </c>
      <c r="D186" s="3" t="inlineStr">
        <is>
          <t>mg/l</t>
        </is>
      </c>
      <c r="E186" s="3">
        <f>IF(DuToan!E186&gt;0, ROUND(DuToan!K186/DuToan!E186, 0), 0)</f>
        <v/>
      </c>
      <c r="F186" s="3">
        <f>IF(DuToan!E186&gt;0, ROUND(DuToan!L186/DuToan!E186, 0), 0)</f>
        <v/>
      </c>
      <c r="G186" s="3">
        <f>IF(DuToan!E186&gt;0, ROUND(DuToan!M186/DuToan!E186, 0), 0)</f>
        <v/>
      </c>
      <c r="H186" s="3">
        <f>IF(DuToan!E186&gt;0, ROUND(DuToan!N186/DuToan!E186, 0), 0)</f>
        <v/>
      </c>
      <c r="I186" s="3">
        <f>E186+F186+G186+H186</f>
        <v/>
      </c>
      <c r="J186" s="3" t="inlineStr">
        <is>
          <t>Bao gồm lấy mẫu hiện trường và phân tích phòng thí nghiệm</t>
        </is>
      </c>
    </row>
    <row r="187">
      <c r="A187" s="2" t="n">
        <v>183</v>
      </c>
      <c r="B187" s="2" t="inlineStr">
        <is>
          <t>NB10</t>
        </is>
      </c>
      <c r="C187" s="2" t="inlineStr">
        <is>
          <t>Tổng Phenol</t>
        </is>
      </c>
      <c r="D187" s="2" t="inlineStr">
        <is>
          <t>mg/l</t>
        </is>
      </c>
      <c r="E187" s="2">
        <f>IF(DuToan!E187&gt;0, ROUND(DuToan!K187/DuToan!E187, 0), 0)</f>
        <v/>
      </c>
      <c r="F187" s="2">
        <f>IF(DuToan!E187&gt;0, ROUND(DuToan!L187/DuToan!E187, 0), 0)</f>
        <v/>
      </c>
      <c r="G187" s="2">
        <f>IF(DuToan!E187&gt;0, ROUND(DuToan!M187/DuToan!E187, 0), 0)</f>
        <v/>
      </c>
      <c r="H187" s="2">
        <f>IF(DuToan!E187&gt;0, ROUND(DuToan!N187/DuToan!E187, 0), 0)</f>
        <v/>
      </c>
      <c r="I187" s="2">
        <f>E187+F187+G187+H187</f>
        <v/>
      </c>
      <c r="J187" s="2" t="inlineStr">
        <is>
          <t>Bao gồm lấy mẫu hiện trường và phân tích phòng thí nghiệm</t>
        </is>
      </c>
    </row>
    <row r="188">
      <c r="A188" s="3" t="n">
        <v>184</v>
      </c>
      <c r="B188" s="3" t="inlineStr">
        <is>
          <t>NB22</t>
        </is>
      </c>
      <c r="C188" s="3" t="inlineStr">
        <is>
          <t>Tổng dầu mỡ khoáng</t>
        </is>
      </c>
      <c r="D188" s="3" t="inlineStr">
        <is>
          <t>mg/l</t>
        </is>
      </c>
      <c r="E188" s="3">
        <f>IF(DuToan!E188&gt;0, ROUND(DuToan!K188/DuToan!E188, 0), 0)</f>
        <v/>
      </c>
      <c r="F188" s="3">
        <f>IF(DuToan!E188&gt;0, ROUND(DuToan!L188/DuToan!E188, 0), 0)</f>
        <v/>
      </c>
      <c r="G188" s="3">
        <f>IF(DuToan!E188&gt;0, ROUND(DuToan!M188/DuToan!E188, 0), 0)</f>
        <v/>
      </c>
      <c r="H188" s="3">
        <f>IF(DuToan!E188&gt;0, ROUND(DuToan!N188/DuToan!E188, 0), 0)</f>
        <v/>
      </c>
      <c r="I188" s="3">
        <f>E188+F188+G188+H188</f>
        <v/>
      </c>
      <c r="J188" s="3" t="inlineStr">
        <is>
          <t>Bao gồm lấy mẫu hiện trường và phân tích phòng thí nghiệm</t>
        </is>
      </c>
    </row>
    <row r="189">
      <c r="A189" s="2" t="n">
        <v>185</v>
      </c>
      <c r="B189" s="2" t="inlineStr">
        <is>
          <t>NB18</t>
        </is>
      </c>
      <c r="C189" s="2" t="inlineStr">
        <is>
          <t>Coliform</t>
        </is>
      </c>
      <c r="D189" s="2" t="inlineStr">
        <is>
          <t>MPN/100ml</t>
        </is>
      </c>
      <c r="E189" s="2">
        <f>IF(DuToan!E189&gt;0, ROUND(DuToan!K189/DuToan!E189, 0), 0)</f>
        <v/>
      </c>
      <c r="F189" s="2">
        <f>IF(DuToan!E189&gt;0, ROUND(DuToan!L189/DuToan!E189, 0), 0)</f>
        <v/>
      </c>
      <c r="G189" s="2">
        <f>IF(DuToan!E189&gt;0, ROUND(DuToan!M189/DuToan!E189, 0), 0)</f>
        <v/>
      </c>
      <c r="H189" s="2">
        <f>IF(DuToan!E189&gt;0, ROUND(DuToan!N189/DuToan!E189, 0), 0)</f>
        <v/>
      </c>
      <c r="I189" s="2">
        <f>E189+F189+G189+H189</f>
        <v/>
      </c>
      <c r="J189" s="2" t="inlineStr">
        <is>
          <t>Bao gồm lấy mẫu hiện trường và phân tích phòng thí nghiệm</t>
        </is>
      </c>
    </row>
    <row r="190">
      <c r="A190" s="3" t="n">
        <v>186</v>
      </c>
      <c r="B190" s="3" t="inlineStr">
        <is>
          <t>CT2</t>
        </is>
      </c>
      <c r="C190" s="3" t="inlineStr">
        <is>
          <t>pH</t>
        </is>
      </c>
      <c r="D190" s="3" t="inlineStr">
        <is>
          <t>-</t>
        </is>
      </c>
      <c r="E190" s="3">
        <f>IF(DuToan!E190&gt;0, ROUND(DuToan!K190/DuToan!E190, 0), 0)</f>
        <v/>
      </c>
      <c r="F190" s="3">
        <f>IF(DuToan!E190&gt;0, ROUND(DuToan!L190/DuToan!E190, 0), 0)</f>
        <v/>
      </c>
      <c r="G190" s="3">
        <f>IF(DuToan!E190&gt;0, ROUND(DuToan!M190/DuToan!E190, 0), 0)</f>
        <v/>
      </c>
      <c r="H190" s="3">
        <f>IF(DuToan!E190&gt;0, ROUND(DuToan!N190/DuToan!E190, 0), 0)</f>
        <v/>
      </c>
      <c r="I190" s="3">
        <f>E190+F190+G190+H190</f>
        <v/>
      </c>
      <c r="J190" s="3" t="inlineStr">
        <is>
          <t>Bao gồm lấy mẫu hiện trường và phân tích phòng thí nghiệm</t>
        </is>
      </c>
    </row>
    <row r="191">
      <c r="A191" s="2" t="n">
        <v>187</v>
      </c>
      <c r="B191" s="2" t="inlineStr">
        <is>
          <t>CT3</t>
        </is>
      </c>
      <c r="C191" s="2" t="inlineStr">
        <is>
          <t>Cyanua (CN-)</t>
        </is>
      </c>
      <c r="D191" s="2" t="inlineStr">
        <is>
          <t>ppm</t>
        </is>
      </c>
      <c r="E191" s="2">
        <f>IF(DuToan!E191&gt;0, ROUND(DuToan!K191/DuToan!E191, 0), 0)</f>
        <v/>
      </c>
      <c r="F191" s="2">
        <f>IF(DuToan!E191&gt;0, ROUND(DuToan!L191/DuToan!E191, 0), 0)</f>
        <v/>
      </c>
      <c r="G191" s="2">
        <f>IF(DuToan!E191&gt;0, ROUND(DuToan!M191/DuToan!E191, 0), 0)</f>
        <v/>
      </c>
      <c r="H191" s="2">
        <f>IF(DuToan!E191&gt;0, ROUND(DuToan!N191/DuToan!E191, 0), 0)</f>
        <v/>
      </c>
      <c r="I191" s="2">
        <f>E191+F191+G191+H191</f>
        <v/>
      </c>
      <c r="J191" s="2" t="inlineStr">
        <is>
          <t>Bao gồm lấy mẫu hiện trường và phân tích phòng thí nghiệm</t>
        </is>
      </c>
    </row>
    <row r="192">
      <c r="A192" s="3" t="n">
        <v>188</v>
      </c>
      <c r="B192" s="3" t="inlineStr">
        <is>
          <t>CT4</t>
        </is>
      </c>
      <c r="C192" s="3" t="inlineStr">
        <is>
          <t>Crom (VI)</t>
        </is>
      </c>
      <c r="D192" s="3" t="inlineStr">
        <is>
          <t>mg/l</t>
        </is>
      </c>
      <c r="E192" s="3">
        <f>IF(DuToan!E192&gt;0, ROUND(DuToan!K192/DuToan!E192, 0), 0)</f>
        <v/>
      </c>
      <c r="F192" s="3">
        <f>IF(DuToan!E192&gt;0, ROUND(DuToan!L192/DuToan!E192, 0), 0)</f>
        <v/>
      </c>
      <c r="G192" s="3">
        <f>IF(DuToan!E192&gt;0, ROUND(DuToan!M192/DuToan!E192, 0), 0)</f>
        <v/>
      </c>
      <c r="H192" s="3">
        <f>IF(DuToan!E192&gt;0, ROUND(DuToan!N192/DuToan!E192, 0), 0)</f>
        <v/>
      </c>
      <c r="I192" s="3">
        <f>E192+F192+G192+H192</f>
        <v/>
      </c>
      <c r="J192" s="3" t="inlineStr">
        <is>
          <t>Bao gồm lấy mẫu hiện trường và phân tích phòng thí nghiệm</t>
        </is>
      </c>
    </row>
    <row r="193">
      <c r="A193" s="2" t="n">
        <v>189</v>
      </c>
      <c r="B193" s="2" t="inlineStr">
        <is>
          <t>CT7a</t>
        </is>
      </c>
      <c r="C193" s="2" t="inlineStr">
        <is>
          <t>As</t>
        </is>
      </c>
      <c r="D193" s="2" t="inlineStr">
        <is>
          <t>mg/l</t>
        </is>
      </c>
      <c r="E193" s="2">
        <f>IF(DuToan!E193&gt;0, ROUND(DuToan!K193/DuToan!E193, 0), 0)</f>
        <v/>
      </c>
      <c r="F193" s="2">
        <f>IF(DuToan!E193&gt;0, ROUND(DuToan!L193/DuToan!E193, 0), 0)</f>
        <v/>
      </c>
      <c r="G193" s="2">
        <f>IF(DuToan!E193&gt;0, ROUND(DuToan!M193/DuToan!E193, 0), 0)</f>
        <v/>
      </c>
      <c r="H193" s="2">
        <f>IF(DuToan!E193&gt;0, ROUND(DuToan!N193/DuToan!E193, 0), 0)</f>
        <v/>
      </c>
      <c r="I193" s="2">
        <f>E193+F193+G193+H193</f>
        <v/>
      </c>
      <c r="J193" s="2" t="inlineStr">
        <is>
          <t>Bao gồm lấy mẫu hiện trường và phân tích phòng thí nghiệm</t>
        </is>
      </c>
    </row>
    <row r="194">
      <c r="A194" s="3" t="n">
        <v>190</v>
      </c>
      <c r="B194" s="3" t="inlineStr">
        <is>
          <t>CT7b</t>
        </is>
      </c>
      <c r="C194" s="3" t="inlineStr">
        <is>
          <t>Hg</t>
        </is>
      </c>
      <c r="D194" s="3" t="inlineStr">
        <is>
          <t>mg/l</t>
        </is>
      </c>
      <c r="E194" s="3">
        <f>IF(DuToan!E194&gt;0, ROUND(DuToan!K194/DuToan!E194, 0), 0)</f>
        <v/>
      </c>
      <c r="F194" s="3">
        <f>IF(DuToan!E194&gt;0, ROUND(DuToan!L194/DuToan!E194, 0), 0)</f>
        <v/>
      </c>
      <c r="G194" s="3">
        <f>IF(DuToan!E194&gt;0, ROUND(DuToan!M194/DuToan!E194, 0), 0)</f>
        <v/>
      </c>
      <c r="H194" s="3">
        <f>IF(DuToan!E194&gt;0, ROUND(DuToan!N194/DuToan!E194, 0), 0)</f>
        <v/>
      </c>
      <c r="I194" s="3">
        <f>E194+F194+G194+H194</f>
        <v/>
      </c>
      <c r="J194" s="3" t="inlineStr">
        <is>
          <t>Bao gồm lấy mẫu hiện trường và phân tích phòng thí nghiệm</t>
        </is>
      </c>
    </row>
    <row r="195">
      <c r="A195" s="2" t="n">
        <v>191</v>
      </c>
      <c r="B195" s="2" t="inlineStr">
        <is>
          <t>CT2</t>
        </is>
      </c>
      <c r="C195" s="2" t="inlineStr">
        <is>
          <t>Phenol</t>
        </is>
      </c>
      <c r="D195" s="2" t="inlineStr">
        <is>
          <t>mg/l</t>
        </is>
      </c>
      <c r="E195" s="2">
        <f>IF(DuToan!E195&gt;0, ROUND(DuToan!K195/DuToan!E195, 0), 0)</f>
        <v/>
      </c>
      <c r="F195" s="2">
        <f>IF(DuToan!E195&gt;0, ROUND(DuToan!L195/DuToan!E195, 0), 0)</f>
        <v/>
      </c>
      <c r="G195" s="2">
        <f>IF(DuToan!E195&gt;0, ROUND(DuToan!M195/DuToan!E195, 0), 0)</f>
        <v/>
      </c>
      <c r="H195" s="2">
        <f>IF(DuToan!E195&gt;0, ROUND(DuToan!N195/DuToan!E195, 0), 0)</f>
        <v/>
      </c>
      <c r="I195" s="2">
        <f>E195+F195+G195+H195</f>
        <v/>
      </c>
      <c r="J195" s="2" t="inlineStr">
        <is>
          <t>Bao gồm lấy mẫu hiện trường và phân tích phòng thí nghiệm</t>
        </is>
      </c>
    </row>
    <row r="196">
      <c r="A196" s="3" t="n">
        <v>192</v>
      </c>
      <c r="B196" s="3" t="inlineStr">
        <is>
          <t>CT6a</t>
        </is>
      </c>
      <c r="C196" s="3" t="inlineStr">
        <is>
          <t>Pb</t>
        </is>
      </c>
      <c r="D196" s="3" t="inlineStr">
        <is>
          <t>mg/l</t>
        </is>
      </c>
      <c r="E196" s="3">
        <f>IF(DuToan!E196&gt;0, ROUND(DuToan!K196/DuToan!E196, 0), 0)</f>
        <v/>
      </c>
      <c r="F196" s="3">
        <f>IF(DuToan!E196&gt;0, ROUND(DuToan!L196/DuToan!E196, 0), 0)</f>
        <v/>
      </c>
      <c r="G196" s="3">
        <f>IF(DuToan!E196&gt;0, ROUND(DuToan!M196/DuToan!E196, 0), 0)</f>
        <v/>
      </c>
      <c r="H196" s="3">
        <f>IF(DuToan!E196&gt;0, ROUND(DuToan!N196/DuToan!E196, 0), 0)</f>
        <v/>
      </c>
      <c r="I196" s="3">
        <f>E196+F196+G196+H196</f>
        <v/>
      </c>
      <c r="J196" s="3" t="inlineStr">
        <is>
          <t>Bao gồm lấy mẫu hiện trường và phân tích phòng thí nghiệm</t>
        </is>
      </c>
    </row>
    <row r="197">
      <c r="A197" s="2" t="n">
        <v>193</v>
      </c>
      <c r="B197" s="2" t="inlineStr">
        <is>
          <t>CT6b</t>
        </is>
      </c>
      <c r="C197" s="2" t="inlineStr">
        <is>
          <t>Cd</t>
        </is>
      </c>
      <c r="D197" s="2" t="inlineStr">
        <is>
          <t>mg/l</t>
        </is>
      </c>
      <c r="E197" s="2">
        <f>IF(DuToan!E197&gt;0, ROUND(DuToan!K197/DuToan!E197, 0), 0)</f>
        <v/>
      </c>
      <c r="F197" s="2">
        <f>IF(DuToan!E197&gt;0, ROUND(DuToan!L197/DuToan!E197, 0), 0)</f>
        <v/>
      </c>
      <c r="G197" s="2">
        <f>IF(DuToan!E197&gt;0, ROUND(DuToan!M197/DuToan!E197, 0), 0)</f>
        <v/>
      </c>
      <c r="H197" s="2">
        <f>IF(DuToan!E197&gt;0, ROUND(DuToan!N197/DuToan!E197, 0), 0)</f>
        <v/>
      </c>
      <c r="I197" s="2">
        <f>E197+F197+G197+H197</f>
        <v/>
      </c>
      <c r="J197" s="2" t="inlineStr">
        <is>
          <t>Bao gồm lấy mẫu hiện trường và phân tích phòng thí nghiệm</t>
        </is>
      </c>
    </row>
    <row r="198">
      <c r="A198" s="3" t="n">
        <v>194</v>
      </c>
      <c r="B198" s="3" t="inlineStr">
        <is>
          <t>CT8b</t>
        </is>
      </c>
      <c r="C198" s="3" t="inlineStr">
        <is>
          <t>Zn</t>
        </is>
      </c>
      <c r="D198" s="3" t="inlineStr">
        <is>
          <t>mg/l</t>
        </is>
      </c>
      <c r="E198" s="3">
        <f>IF(DuToan!E198&gt;0, ROUND(DuToan!K198/DuToan!E198, 0), 0)</f>
        <v/>
      </c>
      <c r="F198" s="3">
        <f>IF(DuToan!E198&gt;0, ROUND(DuToan!L198/DuToan!E198, 0), 0)</f>
        <v/>
      </c>
      <c r="G198" s="3">
        <f>IF(DuToan!E198&gt;0, ROUND(DuToan!M198/DuToan!E198, 0), 0)</f>
        <v/>
      </c>
      <c r="H198" s="3">
        <f>IF(DuToan!E198&gt;0, ROUND(DuToan!N198/DuToan!E198, 0), 0)</f>
        <v/>
      </c>
      <c r="I198" s="3">
        <f>E198+F198+G198+H198</f>
        <v/>
      </c>
      <c r="J198" s="3" t="inlineStr">
        <is>
          <t>Bao gồm lấy mẫu hiện trường và phân tích phòng thí nghiệm</t>
        </is>
      </c>
    </row>
    <row r="199">
      <c r="A199" s="2" t="n">
        <v>195</v>
      </c>
      <c r="B199" s="2" t="inlineStr">
        <is>
          <t>CT8e</t>
        </is>
      </c>
      <c r="C199" s="2" t="inlineStr">
        <is>
          <t>Ni</t>
        </is>
      </c>
      <c r="D199" s="2" t="inlineStr">
        <is>
          <t>mg/l</t>
        </is>
      </c>
      <c r="E199" s="2">
        <f>IF(DuToan!E199&gt;0, ROUND(DuToan!K199/DuToan!E199, 0), 0)</f>
        <v/>
      </c>
      <c r="F199" s="2">
        <f>IF(DuToan!E199&gt;0, ROUND(DuToan!L199/DuToan!E199, 0), 0)</f>
        <v/>
      </c>
      <c r="G199" s="2">
        <f>IF(DuToan!E199&gt;0, ROUND(DuToan!M199/DuToan!E199, 0), 0)</f>
        <v/>
      </c>
      <c r="H199" s="2">
        <f>IF(DuToan!E199&gt;0, ROUND(DuToan!N199/DuToan!E199, 0), 0)</f>
        <v/>
      </c>
      <c r="I199" s="2">
        <f>E199+F199+G199+H199</f>
        <v/>
      </c>
      <c r="J199" s="2" t="inlineStr">
        <is>
          <t>Bao gồm lấy mẫu hiện trường và phân tích phòng thí nghiệm</t>
        </is>
      </c>
    </row>
    <row r="200">
      <c r="A200" s="3" t="n">
        <v>196</v>
      </c>
      <c r="B200" s="3" t="inlineStr">
        <is>
          <t>CT8f</t>
        </is>
      </c>
      <c r="C200" s="3" t="inlineStr">
        <is>
          <t>Ba</t>
        </is>
      </c>
      <c r="D200" s="3" t="inlineStr">
        <is>
          <t>mg/l</t>
        </is>
      </c>
      <c r="E200" s="3">
        <f>IF(DuToan!E200&gt;0, ROUND(DuToan!K200/DuToan!E200, 0), 0)</f>
        <v/>
      </c>
      <c r="F200" s="3">
        <f>IF(DuToan!E200&gt;0, ROUND(DuToan!L200/DuToan!E200, 0), 0)</f>
        <v/>
      </c>
      <c r="G200" s="3">
        <f>IF(DuToan!E200&gt;0, ROUND(DuToan!M200/DuToan!E200, 0), 0)</f>
        <v/>
      </c>
      <c r="H200" s="3">
        <f>IF(DuToan!E200&gt;0, ROUND(DuToan!N200/DuToan!E200, 0), 0)</f>
        <v/>
      </c>
      <c r="I200" s="3">
        <f>E200+F200+G200+H200</f>
        <v/>
      </c>
      <c r="J200" s="3" t="inlineStr">
        <is>
          <t>Bao gồm lấy mẫu hiện trường và phân tích phòng thí nghiệm</t>
        </is>
      </c>
    </row>
    <row r="201">
      <c r="A201" s="2" t="n">
        <v>197</v>
      </c>
      <c r="B201" s="2" t="inlineStr">
        <is>
          <t>CT8g</t>
        </is>
      </c>
      <c r="C201" s="2" t="inlineStr">
        <is>
          <t>Se</t>
        </is>
      </c>
      <c r="D201" s="2" t="inlineStr">
        <is>
          <t>mg/l</t>
        </is>
      </c>
      <c r="E201" s="2">
        <f>IF(DuToan!E201&gt;0, ROUND(DuToan!K201/DuToan!E201, 0), 0)</f>
        <v/>
      </c>
      <c r="F201" s="2">
        <f>IF(DuToan!E201&gt;0, ROUND(DuToan!L201/DuToan!E201, 0), 0)</f>
        <v/>
      </c>
      <c r="G201" s="2">
        <f>IF(DuToan!E201&gt;0, ROUND(DuToan!M201/DuToan!E201, 0), 0)</f>
        <v/>
      </c>
      <c r="H201" s="2">
        <f>IF(DuToan!E201&gt;0, ROUND(DuToan!N201/DuToan!E201, 0), 0)</f>
        <v/>
      </c>
      <c r="I201" s="2">
        <f>E201+F201+G201+H201</f>
        <v/>
      </c>
      <c r="J201" s="2" t="inlineStr">
        <is>
          <t>Bao gồm lấy mẫu hiện trường và phân tích phòng thí nghiệm</t>
        </is>
      </c>
    </row>
    <row r="202">
      <c r="A202" s="3" t="n">
        <v>198</v>
      </c>
      <c r="B202" s="3" t="inlineStr">
        <is>
          <t>CT8m</t>
        </is>
      </c>
      <c r="C202" s="3" t="inlineStr">
        <is>
          <t>Ag</t>
        </is>
      </c>
      <c r="D202" s="3" t="inlineStr">
        <is>
          <t>mg/l</t>
        </is>
      </c>
      <c r="E202" s="3">
        <f>IF(DuToan!E202&gt;0, ROUND(DuToan!K202/DuToan!E202, 0), 0)</f>
        <v/>
      </c>
      <c r="F202" s="3">
        <f>IF(DuToan!E202&gt;0, ROUND(DuToan!L202/DuToan!E202, 0), 0)</f>
        <v/>
      </c>
      <c r="G202" s="3">
        <f>IF(DuToan!E202&gt;0, ROUND(DuToan!M202/DuToan!E202, 0), 0)</f>
        <v/>
      </c>
      <c r="H202" s="3">
        <f>IF(DuToan!E202&gt;0, ROUND(DuToan!N202/DuToan!E202, 0), 0)</f>
        <v/>
      </c>
      <c r="I202" s="3">
        <f>E202+F202+G202+H202</f>
        <v/>
      </c>
      <c r="J202" s="3" t="inlineStr">
        <is>
          <t>Bao gồm lấy mẫu hiện trường và phân tích phòng thí nghiệm</t>
        </is>
      </c>
    </row>
    <row r="203">
      <c r="A203" s="2" t="n">
        <v>199</v>
      </c>
      <c r="B203" s="2" t="inlineStr">
        <is>
          <t>KT16</t>
        </is>
      </c>
      <c r="C203" s="2" t="inlineStr">
        <is>
          <t>Lưu lượng</t>
        </is>
      </c>
      <c r="D203" s="2" t="inlineStr">
        <is>
          <t>m3/h</t>
        </is>
      </c>
      <c r="E203" s="2">
        <f>IF(DuToan!E203&gt;0, ROUND(DuToan!K203/DuToan!E203, 0), 0)</f>
        <v/>
      </c>
      <c r="F203" s="2">
        <f>IF(DuToan!E203&gt;0, ROUND(DuToan!L203/DuToan!E203, 0), 0)</f>
        <v/>
      </c>
      <c r="G203" s="2">
        <f>IF(DuToan!E203&gt;0, ROUND(DuToan!M203/DuToan!E203, 0), 0)</f>
        <v/>
      </c>
      <c r="H203" s="2">
        <f>IF(DuToan!E203&gt;0, ROUND(DuToan!N203/DuToan!E203, 0), 0)</f>
        <v/>
      </c>
      <c r="I203" s="2">
        <f>E203+F203+G203+H203</f>
        <v/>
      </c>
      <c r="J203" s="2" t="inlineStr">
        <is>
          <t>Bao gồm lấy mẫu hiện trường và phân tích phòng thí nghiệm</t>
        </is>
      </c>
    </row>
    <row r="204">
      <c r="A204" s="3" t="n">
        <v>200</v>
      </c>
      <c r="B204" s="3" t="inlineStr">
        <is>
          <t>KT4</t>
        </is>
      </c>
      <c r="C204" s="3" t="inlineStr">
        <is>
          <t>Nhiệt độ</t>
        </is>
      </c>
      <c r="D204" s="3" t="inlineStr">
        <is>
          <t>0C</t>
        </is>
      </c>
      <c r="E204" s="3">
        <f>IF(DuToan!E204&gt;0, ROUND(DuToan!K204/DuToan!E204, 0), 0)</f>
        <v/>
      </c>
      <c r="F204" s="3">
        <f>IF(DuToan!E204&gt;0, ROUND(DuToan!L204/DuToan!E204, 0), 0)</f>
        <v/>
      </c>
      <c r="G204" s="3">
        <f>IF(DuToan!E204&gt;0, ROUND(DuToan!M204/DuToan!E204, 0), 0)</f>
        <v/>
      </c>
      <c r="H204" s="3">
        <f>IF(DuToan!E204&gt;0, ROUND(DuToan!N204/DuToan!E204, 0), 0)</f>
        <v/>
      </c>
      <c r="I204" s="3">
        <f>E204+F204+G204+H204</f>
        <v/>
      </c>
      <c r="J204" s="3" t="inlineStr">
        <is>
          <t>Bao gồm lấy mẫu hiện trường và phân tích phòng thí nghiệm</t>
        </is>
      </c>
    </row>
    <row r="205">
      <c r="A205" s="2" t="n">
        <v>201</v>
      </c>
      <c r="B205" s="2" t="inlineStr">
        <is>
          <t>KT10a</t>
        </is>
      </c>
      <c r="C205" s="2" t="inlineStr">
        <is>
          <t>Bụi tổng</t>
        </is>
      </c>
      <c r="D205" s="2" t="inlineStr">
        <is>
          <t>mg/Nm3</t>
        </is>
      </c>
      <c r="E205" s="2">
        <f>IF(DuToan!E205&gt;0, ROUND(DuToan!K205/DuToan!E205, 0), 0)</f>
        <v/>
      </c>
      <c r="F205" s="2">
        <f>IF(DuToan!E205&gt;0, ROUND(DuToan!L205/DuToan!E205, 0), 0)</f>
        <v/>
      </c>
      <c r="G205" s="2">
        <f>IF(DuToan!E205&gt;0, ROUND(DuToan!M205/DuToan!E205, 0), 0)</f>
        <v/>
      </c>
      <c r="H205" s="2">
        <f>IF(DuToan!E205&gt;0, ROUND(DuToan!N205/DuToan!E205, 0), 0)</f>
        <v/>
      </c>
      <c r="I205" s="2">
        <f>E205+F205+G205+H205</f>
        <v/>
      </c>
      <c r="J205" s="2" t="inlineStr">
        <is>
          <t>Bao gồm lấy mẫu hiện trường và phân tích phòng thí nghiệm</t>
        </is>
      </c>
    </row>
    <row r="206">
      <c r="A206" s="3" t="n">
        <v>202</v>
      </c>
      <c r="B206" s="3" t="inlineStr">
        <is>
          <t>KT9b</t>
        </is>
      </c>
      <c r="C206" s="3" t="inlineStr">
        <is>
          <t>CO</t>
        </is>
      </c>
      <c r="D206" s="3" t="inlineStr">
        <is>
          <t>mg/Nm3</t>
        </is>
      </c>
      <c r="E206" s="3">
        <f>IF(DuToan!E206&gt;0, ROUND(DuToan!K206/DuToan!E206, 0), 0)</f>
        <v/>
      </c>
      <c r="F206" s="3">
        <f>IF(DuToan!E206&gt;0, ROUND(DuToan!L206/DuToan!E206, 0), 0)</f>
        <v/>
      </c>
      <c r="G206" s="3">
        <f>IF(DuToan!E206&gt;0, ROUND(DuToan!M206/DuToan!E206, 0), 0)</f>
        <v/>
      </c>
      <c r="H206" s="3">
        <f>IF(DuToan!E206&gt;0, ROUND(DuToan!N206/DuToan!E206, 0), 0)</f>
        <v/>
      </c>
      <c r="I206" s="3">
        <f>E206+F206+G206+H206</f>
        <v/>
      </c>
      <c r="J206" s="3" t="inlineStr">
        <is>
          <t>Bao gồm lấy mẫu hiện trường và phân tích phòng thí nghiệm</t>
        </is>
      </c>
    </row>
    <row r="207">
      <c r="A207" s="2" t="n">
        <v>203</v>
      </c>
      <c r="B207" s="2" t="inlineStr">
        <is>
          <t>KT9e</t>
        </is>
      </c>
      <c r="C207" s="2" t="inlineStr">
        <is>
          <t>NOx (tính theo NO2)</t>
        </is>
      </c>
      <c r="D207" s="2" t="inlineStr">
        <is>
          <t>mg/Nm3</t>
        </is>
      </c>
      <c r="E207" s="2">
        <f>IF(DuToan!E207&gt;0, ROUND(DuToan!K207/DuToan!E207, 0), 0)</f>
        <v/>
      </c>
      <c r="F207" s="2">
        <f>IF(DuToan!E207&gt;0, ROUND(DuToan!L207/DuToan!E207, 0), 0)</f>
        <v/>
      </c>
      <c r="G207" s="2">
        <f>IF(DuToan!E207&gt;0, ROUND(DuToan!M207/DuToan!E207, 0), 0)</f>
        <v/>
      </c>
      <c r="H207" s="2">
        <f>IF(DuToan!E207&gt;0, ROUND(DuToan!N207/DuToan!E207, 0), 0)</f>
        <v/>
      </c>
      <c r="I207" s="2">
        <f>E207+F207+G207+H207</f>
        <v/>
      </c>
      <c r="J207" s="2" t="inlineStr">
        <is>
          <t>Bao gồm lấy mẫu hiện trường và phân tích phòng thí nghiệm</t>
        </is>
      </c>
    </row>
    <row r="208">
      <c r="A208" s="3" t="n">
        <v>204</v>
      </c>
      <c r="B208" s="3" t="inlineStr">
        <is>
          <t>KT9đ</t>
        </is>
      </c>
      <c r="C208" s="3" t="inlineStr">
        <is>
          <t>SO 2</t>
        </is>
      </c>
      <c r="D208" s="3" t="inlineStr">
        <is>
          <t>mg/Nm3</t>
        </is>
      </c>
      <c r="E208" s="3">
        <f>IF(DuToan!E208&gt;0, ROUND(DuToan!K208/DuToan!E208, 0), 0)</f>
        <v/>
      </c>
      <c r="F208" s="3">
        <f>IF(DuToan!E208&gt;0, ROUND(DuToan!L208/DuToan!E208, 0), 0)</f>
        <v/>
      </c>
      <c r="G208" s="3">
        <f>IF(DuToan!E208&gt;0, ROUND(DuToan!M208/DuToan!E208, 0), 0)</f>
        <v/>
      </c>
      <c r="H208" s="3">
        <f>IF(DuToan!E208&gt;0, ROUND(DuToan!N208/DuToan!E208, 0), 0)</f>
        <v/>
      </c>
      <c r="I208" s="3">
        <f>E208+F208+G208+H208</f>
        <v/>
      </c>
      <c r="J208" s="3" t="inlineStr">
        <is>
          <t>Bao gồm lấy mẫu hiện trường và phân tích phòng thí nghiệm</t>
        </is>
      </c>
    </row>
    <row r="209">
      <c r="A209" s="2" t="n">
        <v>205</v>
      </c>
      <c r="B209" s="2" t="inlineStr">
        <is>
          <t>KT9c</t>
        </is>
      </c>
      <c r="C209" s="2" t="inlineStr">
        <is>
          <t>Amoniac</t>
        </is>
      </c>
      <c r="D209" s="2" t="inlineStr">
        <is>
          <t>mg/Nm3</t>
        </is>
      </c>
      <c r="E209" s="2">
        <f>IF(DuToan!E209&gt;0, ROUND(DuToan!K209/DuToan!E209, 0), 0)</f>
        <v/>
      </c>
      <c r="F209" s="2">
        <f>IF(DuToan!E209&gt;0, ROUND(DuToan!L209/DuToan!E209, 0), 0)</f>
        <v/>
      </c>
      <c r="G209" s="2">
        <f>IF(DuToan!E209&gt;0, ROUND(DuToan!M209/DuToan!E209, 0), 0)</f>
        <v/>
      </c>
      <c r="H209" s="2">
        <f>IF(DuToan!E209&gt;0, ROUND(DuToan!N209/DuToan!E209, 0), 0)</f>
        <v/>
      </c>
      <c r="I209" s="2">
        <f>E209+F209+G209+H209</f>
        <v/>
      </c>
      <c r="J209" s="2" t="inlineStr">
        <is>
          <t>Bao gồm lấy mẫu hiện trường và phân tích phòng thí nghiệm</t>
        </is>
      </c>
    </row>
    <row r="210">
      <c r="A210" s="3" t="n">
        <v>206</v>
      </c>
      <c r="B210" s="3" t="inlineStr">
        <is>
          <t>KT9a</t>
        </is>
      </c>
      <c r="C210" s="3" t="inlineStr">
        <is>
          <t>O2</t>
        </is>
      </c>
      <c r="D210" s="3" t="inlineStr">
        <is>
          <t>%</t>
        </is>
      </c>
      <c r="E210" s="3">
        <f>IF(DuToan!E210&gt;0, ROUND(DuToan!K210/DuToan!E210, 0), 0)</f>
        <v/>
      </c>
      <c r="F210" s="3">
        <f>IF(DuToan!E210&gt;0, ROUND(DuToan!L210/DuToan!E210, 0), 0)</f>
        <v/>
      </c>
      <c r="G210" s="3">
        <f>IF(DuToan!E210&gt;0, ROUND(DuToan!M210/DuToan!E210, 0), 0)</f>
        <v/>
      </c>
      <c r="H210" s="3">
        <f>IF(DuToan!E210&gt;0, ROUND(DuToan!N210/DuToan!E210, 0), 0)</f>
        <v/>
      </c>
      <c r="I210" s="3">
        <f>E210+F210+G210+H210</f>
        <v/>
      </c>
      <c r="J210" s="3" t="inlineStr">
        <is>
          <t>Bao gồm lấy mẫu hiện trường và phân tích phòng thí nghiệm</t>
        </is>
      </c>
    </row>
    <row r="211">
      <c r="A211" s="2" t="n">
        <v>207</v>
      </c>
      <c r="B211" s="2" t="inlineStr">
        <is>
          <t>NT1</t>
        </is>
      </c>
      <c r="C211" s="2" t="inlineStr">
        <is>
          <t>Nhiệt độ</t>
        </is>
      </c>
      <c r="D211" s="2" t="inlineStr">
        <is>
          <t>0C</t>
        </is>
      </c>
      <c r="E211" s="2">
        <f>IF(DuToan!E211&gt;0, ROUND(DuToan!K211/DuToan!E211, 0), 0)</f>
        <v/>
      </c>
      <c r="F211" s="2">
        <f>IF(DuToan!E211&gt;0, ROUND(DuToan!L211/DuToan!E211, 0), 0)</f>
        <v/>
      </c>
      <c r="G211" s="2">
        <f>IF(DuToan!E211&gt;0, ROUND(DuToan!M211/DuToan!E211, 0), 0)</f>
        <v/>
      </c>
      <c r="H211" s="2">
        <f>IF(DuToan!E211&gt;0, ROUND(DuToan!N211/DuToan!E211, 0), 0)</f>
        <v/>
      </c>
      <c r="I211" s="2">
        <f>E211+F211+G211+H211</f>
        <v/>
      </c>
      <c r="J211" s="2" t="inlineStr">
        <is>
          <t>Bao gồm lấy mẫu hiện trường và phân tích phòng thí nghiệm</t>
        </is>
      </c>
    </row>
    <row r="212">
      <c r="A212" s="3" t="n">
        <v>208</v>
      </c>
      <c r="B212" s="3" t="inlineStr">
        <is>
          <t>NT2</t>
        </is>
      </c>
      <c r="C212" s="3" t="inlineStr">
        <is>
          <t>pH</t>
        </is>
      </c>
      <c r="D212" s="3" t="inlineStr">
        <is>
          <t>-</t>
        </is>
      </c>
      <c r="E212" s="3">
        <f>IF(DuToan!E212&gt;0, ROUND(DuToan!K212/DuToan!E212, 0), 0)</f>
        <v/>
      </c>
      <c r="F212" s="3">
        <f>IF(DuToan!E212&gt;0, ROUND(DuToan!L212/DuToan!E212, 0), 0)</f>
        <v/>
      </c>
      <c r="G212" s="3">
        <f>IF(DuToan!E212&gt;0, ROUND(DuToan!M212/DuToan!E212, 0), 0)</f>
        <v/>
      </c>
      <c r="H212" s="3">
        <f>IF(DuToan!E212&gt;0, ROUND(DuToan!N212/DuToan!E212, 0), 0)</f>
        <v/>
      </c>
      <c r="I212" s="3">
        <f>E212+F212+G212+H212</f>
        <v/>
      </c>
      <c r="J212" s="3" t="inlineStr">
        <is>
          <t>Bao gồm lấy mẫu hiện trường và phân tích phòng thí nghiệm</t>
        </is>
      </c>
    </row>
    <row r="213">
      <c r="A213" s="2" t="n">
        <v>209</v>
      </c>
      <c r="B213" s="2" t="inlineStr">
        <is>
          <t>NT10j</t>
        </is>
      </c>
      <c r="C213" s="2" t="inlineStr">
        <is>
          <t>Clo dư</t>
        </is>
      </c>
      <c r="D213" s="2" t="inlineStr">
        <is>
          <t>mg/l</t>
        </is>
      </c>
      <c r="E213" s="2">
        <f>IF(DuToan!E213&gt;0, ROUND(DuToan!K213/DuToan!E213, 0), 0)</f>
        <v/>
      </c>
      <c r="F213" s="2">
        <f>IF(DuToan!E213&gt;0, ROUND(DuToan!L213/DuToan!E213, 0), 0)</f>
        <v/>
      </c>
      <c r="G213" s="2">
        <f>IF(DuToan!E213&gt;0, ROUND(DuToan!M213/DuToan!E213, 0), 0)</f>
        <v/>
      </c>
      <c r="H213" s="2">
        <f>IF(DuToan!E213&gt;0, ROUND(DuToan!N213/DuToan!E213, 0), 0)</f>
        <v/>
      </c>
      <c r="I213" s="2">
        <f>E213+F213+G213+H213</f>
        <v/>
      </c>
      <c r="J213" s="2" t="inlineStr">
        <is>
          <t>Bao gồm lấy mẫu hiện trường và phân tích phòng thí nghiệm</t>
        </is>
      </c>
    </row>
    <row r="214">
      <c r="A214" s="3" t="n">
        <v>210</v>
      </c>
      <c r="B214" s="3" t="inlineStr">
        <is>
          <t>NT5b</t>
        </is>
      </c>
      <c r="C214" s="3" t="inlineStr">
        <is>
          <t>COD</t>
        </is>
      </c>
      <c r="D214" s="3" t="inlineStr">
        <is>
          <t>mg/l</t>
        </is>
      </c>
      <c r="E214" s="3">
        <f>IF(DuToan!E214&gt;0, ROUND(DuToan!K214/DuToan!E214, 0), 0)</f>
        <v/>
      </c>
      <c r="F214" s="3">
        <f>IF(DuToan!E214&gt;0, ROUND(DuToan!L214/DuToan!E214, 0), 0)</f>
        <v/>
      </c>
      <c r="G214" s="3">
        <f>IF(DuToan!E214&gt;0, ROUND(DuToan!M214/DuToan!E214, 0), 0)</f>
        <v/>
      </c>
      <c r="H214" s="3">
        <f>IF(DuToan!E214&gt;0, ROUND(DuToan!N214/DuToan!E214, 0), 0)</f>
        <v/>
      </c>
      <c r="I214" s="3">
        <f>E214+F214+G214+H214</f>
        <v/>
      </c>
      <c r="J214" s="3" t="inlineStr">
        <is>
          <t>Bao gồm lấy mẫu hiện trường và phân tích phòng thí nghiệm</t>
        </is>
      </c>
    </row>
    <row r="215">
      <c r="A215" s="2" t="n">
        <v>211</v>
      </c>
      <c r="B215" s="2" t="inlineStr">
        <is>
          <t>NT6</t>
        </is>
      </c>
      <c r="C215" s="2" t="inlineStr">
        <is>
          <t>TSS</t>
        </is>
      </c>
      <c r="D215" s="2" t="inlineStr">
        <is>
          <t>mg/l</t>
        </is>
      </c>
      <c r="E215" s="2">
        <f>IF(DuToan!E215&gt;0, ROUND(DuToan!K215/DuToan!E215, 0), 0)</f>
        <v/>
      </c>
      <c r="F215" s="2">
        <f>IF(DuToan!E215&gt;0, ROUND(DuToan!L215/DuToan!E215, 0), 0)</f>
        <v/>
      </c>
      <c r="G215" s="2">
        <f>IF(DuToan!E215&gt;0, ROUND(DuToan!M215/DuToan!E215, 0), 0)</f>
        <v/>
      </c>
      <c r="H215" s="2">
        <f>IF(DuToan!E215&gt;0, ROUND(DuToan!N215/DuToan!E215, 0), 0)</f>
        <v/>
      </c>
      <c r="I215" s="2">
        <f>E215+F215+G215+H215</f>
        <v/>
      </c>
      <c r="J215" s="2" t="inlineStr">
        <is>
          <t>Bao gồm lấy mẫu hiện trường và phân tích phòng thí nghiệm</t>
        </is>
      </c>
    </row>
    <row r="216">
      <c r="A216" s="3" t="n">
        <v>212</v>
      </c>
      <c r="B216" s="3" t="inlineStr">
        <is>
          <t>MỤC 2</t>
        </is>
      </c>
      <c r="C216" s="3" t="inlineStr">
        <is>
          <t>Tiêu đề: Nước thải sau xử lý của HTXLNT tập trung</t>
        </is>
      </c>
      <c r="D216" s="3" t="inlineStr">
        <is>
          <t>Header</t>
        </is>
      </c>
      <c r="E216" s="3">
        <f>IF(DuToan!E216&gt;0, ROUND(DuToan!K216/DuToan!E216, 0), 0)</f>
        <v/>
      </c>
      <c r="F216" s="3">
        <f>IF(DuToan!E216&gt;0, ROUND(DuToan!L216/DuToan!E216, 0), 0)</f>
        <v/>
      </c>
      <c r="G216" s="3">
        <f>IF(DuToan!E216&gt;0, ROUND(DuToan!M216/DuToan!E216, 0), 0)</f>
        <v/>
      </c>
      <c r="H216" s="3">
        <f>IF(DuToan!E216&gt;0, ROUND(DuToan!N216/DuToan!E216, 0), 0)</f>
        <v/>
      </c>
      <c r="I216" s="3">
        <f>E216+F216+G216+H216</f>
        <v/>
      </c>
      <c r="J216" s="3" t="inlineStr">
        <is>
          <t>Bao gồm lấy mẫu hiện trường và phân tích phòng thí nghiệm</t>
        </is>
      </c>
    </row>
    <row r="217">
      <c r="A217" s="2" t="n">
        <v>213</v>
      </c>
      <c r="B217" s="2" t="inlineStr">
        <is>
          <t>NT1</t>
        </is>
      </c>
      <c r="C217" s="2" t="inlineStr">
        <is>
          <t>Nhiệt độ</t>
        </is>
      </c>
      <c r="D217" s="2" t="inlineStr">
        <is>
          <t>0C</t>
        </is>
      </c>
      <c r="E217" s="2">
        <f>IF(DuToan!E217&gt;0, ROUND(DuToan!K217/DuToan!E217, 0), 0)</f>
        <v/>
      </c>
      <c r="F217" s="2">
        <f>IF(DuToan!E217&gt;0, ROUND(DuToan!L217/DuToan!E217, 0), 0)</f>
        <v/>
      </c>
      <c r="G217" s="2">
        <f>IF(DuToan!E217&gt;0, ROUND(DuToan!M217/DuToan!E217, 0), 0)</f>
        <v/>
      </c>
      <c r="H217" s="2">
        <f>IF(DuToan!E217&gt;0, ROUND(DuToan!N217/DuToan!E217, 0), 0)</f>
        <v/>
      </c>
      <c r="I217" s="2">
        <f>E217+F217+G217+H217</f>
        <v/>
      </c>
      <c r="J217" s="2" t="inlineStr">
        <is>
          <t>Bao gồm lấy mẫu hiện trường và phân tích phòng thí nghiệm</t>
        </is>
      </c>
    </row>
    <row r="218">
      <c r="A218" s="3" t="n">
        <v>214</v>
      </c>
      <c r="B218" s="3" t="inlineStr">
        <is>
          <t>NT2</t>
        </is>
      </c>
      <c r="C218" s="3" t="inlineStr">
        <is>
          <t>pH</t>
        </is>
      </c>
      <c r="D218" s="3" t="inlineStr">
        <is>
          <t>-</t>
        </is>
      </c>
      <c r="E218" s="3">
        <f>IF(DuToan!E218&gt;0, ROUND(DuToan!K218/DuToan!E218, 0), 0)</f>
        <v/>
      </c>
      <c r="F218" s="3">
        <f>IF(DuToan!E218&gt;0, ROUND(DuToan!L218/DuToan!E218, 0), 0)</f>
        <v/>
      </c>
      <c r="G218" s="3">
        <f>IF(DuToan!E218&gt;0, ROUND(DuToan!M218/DuToan!E218, 0), 0)</f>
        <v/>
      </c>
      <c r="H218" s="3">
        <f>IF(DuToan!E218&gt;0, ROUND(DuToan!N218/DuToan!E218, 0), 0)</f>
        <v/>
      </c>
      <c r="I218" s="3">
        <f>E218+F218+G218+H218</f>
        <v/>
      </c>
      <c r="J218" s="3" t="inlineStr">
        <is>
          <t>Bao gồm lấy mẫu hiện trường và phân tích phòng thí nghiệm</t>
        </is>
      </c>
    </row>
    <row r="219">
      <c r="A219" s="2" t="n">
        <v>215</v>
      </c>
      <c r="B219" s="2" t="inlineStr">
        <is>
          <t>NT4b</t>
        </is>
      </c>
      <c r="C219" s="2" t="inlineStr">
        <is>
          <t>Độ màu</t>
        </is>
      </c>
      <c r="D219" s="2" t="inlineStr">
        <is>
          <t>Pt/Co</t>
        </is>
      </c>
      <c r="E219" s="2">
        <f>IF(DuToan!E219&gt;0, ROUND(DuToan!K219/DuToan!E219, 0), 0)</f>
        <v/>
      </c>
      <c r="F219" s="2">
        <f>IF(DuToan!E219&gt;0, ROUND(DuToan!L219/DuToan!E219, 0), 0)</f>
        <v/>
      </c>
      <c r="G219" s="2">
        <f>IF(DuToan!E219&gt;0, ROUND(DuToan!M219/DuToan!E219, 0), 0)</f>
        <v/>
      </c>
      <c r="H219" s="2">
        <f>IF(DuToan!E219&gt;0, ROUND(DuToan!N219/DuToan!E219, 0), 0)</f>
        <v/>
      </c>
      <c r="I219" s="2">
        <f>E219+F219+G219+H219</f>
        <v/>
      </c>
      <c r="J219" s="2" t="inlineStr">
        <is>
          <t>Bao gồm lấy mẫu hiện trường và phân tích phòng thí nghiệm</t>
        </is>
      </c>
    </row>
    <row r="220">
      <c r="A220" s="3" t="n">
        <v>216</v>
      </c>
      <c r="B220" s="3" t="inlineStr">
        <is>
          <t>NT5a</t>
        </is>
      </c>
      <c r="C220" s="3" t="inlineStr">
        <is>
          <t>BOD5</t>
        </is>
      </c>
      <c r="D220" s="3" t="inlineStr">
        <is>
          <t>mg/l</t>
        </is>
      </c>
      <c r="E220" s="3">
        <f>IF(DuToan!E220&gt;0, ROUND(DuToan!K220/DuToan!E220, 0), 0)</f>
        <v/>
      </c>
      <c r="F220" s="3">
        <f>IF(DuToan!E220&gt;0, ROUND(DuToan!L220/DuToan!E220, 0), 0)</f>
        <v/>
      </c>
      <c r="G220" s="3">
        <f>IF(DuToan!E220&gt;0, ROUND(DuToan!M220/DuToan!E220, 0), 0)</f>
        <v/>
      </c>
      <c r="H220" s="3">
        <f>IF(DuToan!E220&gt;0, ROUND(DuToan!N220/DuToan!E220, 0), 0)</f>
        <v/>
      </c>
      <c r="I220" s="3">
        <f>E220+F220+G220+H220</f>
        <v/>
      </c>
      <c r="J220" s="3" t="inlineStr">
        <is>
          <t>Bao gồm lấy mẫu hiện trường và phân tích phòng thí nghiệm</t>
        </is>
      </c>
    </row>
    <row r="221">
      <c r="A221" s="2" t="n">
        <v>217</v>
      </c>
      <c r="B221" s="2" t="inlineStr">
        <is>
          <t>NT5b</t>
        </is>
      </c>
      <c r="C221" s="2" t="inlineStr">
        <is>
          <t>COD</t>
        </is>
      </c>
      <c r="D221" s="2" t="inlineStr">
        <is>
          <t>mg/l</t>
        </is>
      </c>
      <c r="E221" s="2">
        <f>IF(DuToan!E221&gt;0, ROUND(DuToan!K221/DuToan!E221, 0), 0)</f>
        <v/>
      </c>
      <c r="F221" s="2">
        <f>IF(DuToan!E221&gt;0, ROUND(DuToan!L221/DuToan!E221, 0), 0)</f>
        <v/>
      </c>
      <c r="G221" s="2">
        <f>IF(DuToan!E221&gt;0, ROUND(DuToan!M221/DuToan!E221, 0), 0)</f>
        <v/>
      </c>
      <c r="H221" s="2">
        <f>IF(DuToan!E221&gt;0, ROUND(DuToan!N221/DuToan!E221, 0), 0)</f>
        <v/>
      </c>
      <c r="I221" s="2">
        <f>E221+F221+G221+H221</f>
        <v/>
      </c>
      <c r="J221" s="2" t="inlineStr">
        <is>
          <t>Bao gồm lấy mẫu hiện trường và phân tích phòng thí nghiệm</t>
        </is>
      </c>
    </row>
    <row r="222">
      <c r="A222" s="3" t="n">
        <v>218</v>
      </c>
      <c r="B222" s="3" t="inlineStr">
        <is>
          <t>NT6</t>
        </is>
      </c>
      <c r="C222" s="3" t="inlineStr">
        <is>
          <t>TSS</t>
        </is>
      </c>
      <c r="D222" s="3" t="inlineStr">
        <is>
          <t>mg/l</t>
        </is>
      </c>
      <c r="E222" s="3">
        <f>IF(DuToan!E222&gt;0, ROUND(DuToan!K222/DuToan!E222, 0), 0)</f>
        <v/>
      </c>
      <c r="F222" s="3">
        <f>IF(DuToan!E222&gt;0, ROUND(DuToan!L222/DuToan!E222, 0), 0)</f>
        <v/>
      </c>
      <c r="G222" s="3">
        <f>IF(DuToan!E222&gt;0, ROUND(DuToan!M222/DuToan!E222, 0), 0)</f>
        <v/>
      </c>
      <c r="H222" s="3">
        <f>IF(DuToan!E222&gt;0, ROUND(DuToan!N222/DuToan!E222, 0), 0)</f>
        <v/>
      </c>
      <c r="I222" s="3">
        <f>E222+F222+G222+H222</f>
        <v/>
      </c>
      <c r="J222" s="3" t="inlineStr">
        <is>
          <t>Bao gồm lấy mẫu hiện trường và phân tích phòng thí nghiệm</t>
        </is>
      </c>
    </row>
    <row r="223">
      <c r="A223" s="2" t="n">
        <v>219</v>
      </c>
      <c r="B223" s="2" t="inlineStr">
        <is>
          <t>NT10c</t>
        </is>
      </c>
      <c r="C223" s="2" t="inlineStr">
        <is>
          <t>Amoni (tính theo N)</t>
        </is>
      </c>
      <c r="D223" s="2" t="inlineStr">
        <is>
          <t>mg/l</t>
        </is>
      </c>
      <c r="E223" s="2">
        <f>IF(DuToan!E223&gt;0, ROUND(DuToan!K223/DuToan!E223, 0), 0)</f>
        <v/>
      </c>
      <c r="F223" s="2">
        <f>IF(DuToan!E223&gt;0, ROUND(DuToan!L223/DuToan!E223, 0), 0)</f>
        <v/>
      </c>
      <c r="G223" s="2">
        <f>IF(DuToan!E223&gt;0, ROUND(DuToan!M223/DuToan!E223, 0), 0)</f>
        <v/>
      </c>
      <c r="H223" s="2">
        <f>IF(DuToan!E223&gt;0, ROUND(DuToan!N223/DuToan!E223, 0), 0)</f>
        <v/>
      </c>
      <c r="I223" s="2">
        <f>E223+F223+G223+H223</f>
        <v/>
      </c>
      <c r="J223" s="2" t="inlineStr">
        <is>
          <t>Bao gồm lấy mẫu hiện trường và phân tích phòng thí nghiệm</t>
        </is>
      </c>
    </row>
    <row r="224">
      <c r="A224" s="3" t="n">
        <v>220</v>
      </c>
      <c r="B224" s="3" t="inlineStr">
        <is>
          <t>NT10l1</t>
        </is>
      </c>
      <c r="C224" s="3" t="inlineStr">
        <is>
          <t>Asen</t>
        </is>
      </c>
      <c r="D224" s="3" t="inlineStr">
        <is>
          <t>mg/l</t>
        </is>
      </c>
      <c r="E224" s="3">
        <f>IF(DuToan!E224&gt;0, ROUND(DuToan!K224/DuToan!E224, 0), 0)</f>
        <v/>
      </c>
      <c r="F224" s="3">
        <f>IF(DuToan!E224&gt;0, ROUND(DuToan!L224/DuToan!E224, 0), 0)</f>
        <v/>
      </c>
      <c r="G224" s="3">
        <f>IF(DuToan!E224&gt;0, ROUND(DuToan!M224/DuToan!E224, 0), 0)</f>
        <v/>
      </c>
      <c r="H224" s="3">
        <f>IF(DuToan!E224&gt;0, ROUND(DuToan!N224/DuToan!E224, 0), 0)</f>
        <v/>
      </c>
      <c r="I224" s="3">
        <f>E224+F224+G224+H224</f>
        <v/>
      </c>
      <c r="J224" s="3" t="inlineStr">
        <is>
          <t>Bao gồm lấy mẫu hiện trường và phân tích phòng thí nghiệm</t>
        </is>
      </c>
    </row>
    <row r="225">
      <c r="A225" s="2" t="n">
        <v>221</v>
      </c>
      <c r="B225" s="2" t="inlineStr">
        <is>
          <t>NT10l2</t>
        </is>
      </c>
      <c r="C225" s="2" t="inlineStr">
        <is>
          <t>Thủy ngân</t>
        </is>
      </c>
      <c r="D225" s="2" t="inlineStr">
        <is>
          <t>mg/l</t>
        </is>
      </c>
      <c r="E225" s="2">
        <f>IF(DuToan!E225&gt;0, ROUND(DuToan!K225/DuToan!E225, 0), 0)</f>
        <v/>
      </c>
      <c r="F225" s="2">
        <f>IF(DuToan!E225&gt;0, ROUND(DuToan!L225/DuToan!E225, 0), 0)</f>
        <v/>
      </c>
      <c r="G225" s="2">
        <f>IF(DuToan!E225&gt;0, ROUND(DuToan!M225/DuToan!E225, 0), 0)</f>
        <v/>
      </c>
      <c r="H225" s="2">
        <f>IF(DuToan!E225&gt;0, ROUND(DuToan!N225/DuToan!E225, 0), 0)</f>
        <v/>
      </c>
      <c r="I225" s="2">
        <f>E225+F225+G225+H225</f>
        <v/>
      </c>
      <c r="J225" s="2" t="inlineStr">
        <is>
          <t>Bao gồm lấy mẫu hiện trường và phân tích phòng thí nghiệm</t>
        </is>
      </c>
    </row>
    <row r="226">
      <c r="A226" s="3" t="n">
        <v>222</v>
      </c>
      <c r="B226" s="3" t="inlineStr">
        <is>
          <t>NT10đ</t>
        </is>
      </c>
      <c r="C226" s="3" t="inlineStr">
        <is>
          <t>Crom (VI)</t>
        </is>
      </c>
      <c r="D226" s="3" t="inlineStr">
        <is>
          <t>mg/l</t>
        </is>
      </c>
      <c r="E226" s="3">
        <f>IF(DuToan!E226&gt;0, ROUND(DuToan!K226/DuToan!E226, 0), 0)</f>
        <v/>
      </c>
      <c r="F226" s="3">
        <f>IF(DuToan!E226&gt;0, ROUND(DuToan!L226/DuToan!E226, 0), 0)</f>
        <v/>
      </c>
      <c r="G226" s="3">
        <f>IF(DuToan!E226&gt;0, ROUND(DuToan!M226/DuToan!E226, 0), 0)</f>
        <v/>
      </c>
      <c r="H226" s="3">
        <f>IF(DuToan!E226&gt;0, ROUND(DuToan!N226/DuToan!E226, 0), 0)</f>
        <v/>
      </c>
      <c r="I226" s="3">
        <f>E226+F226+G226+H226</f>
        <v/>
      </c>
      <c r="J226" s="3" t="inlineStr">
        <is>
          <t>Bao gồm lấy mẫu hiện trường và phân tích phòng thí nghiệm</t>
        </is>
      </c>
    </row>
    <row r="227">
      <c r="A227" s="2" t="n">
        <v>223</v>
      </c>
      <c r="B227" s="2" t="inlineStr">
        <is>
          <t>NT10m5</t>
        </is>
      </c>
      <c r="C227" s="2" t="inlineStr">
        <is>
          <t>Crom (III)</t>
        </is>
      </c>
      <c r="D227" s="2" t="inlineStr">
        <is>
          <t>mg/l</t>
        </is>
      </c>
      <c r="E227" s="2">
        <f>IF(DuToan!E227&gt;0, ROUND(DuToan!K227/DuToan!E227, 0), 0)</f>
        <v/>
      </c>
      <c r="F227" s="2">
        <f>IF(DuToan!E227&gt;0, ROUND(DuToan!L227/DuToan!E227, 0), 0)</f>
        <v/>
      </c>
      <c r="G227" s="2">
        <f>IF(DuToan!E227&gt;0, ROUND(DuToan!M227/DuToan!E227, 0), 0)</f>
        <v/>
      </c>
      <c r="H227" s="2">
        <f>IF(DuToan!E227&gt;0, ROUND(DuToan!N227/DuToan!E227, 0), 0)</f>
        <v/>
      </c>
      <c r="I227" s="2">
        <f>E227+F227+G227+H227</f>
        <v/>
      </c>
      <c r="J227" s="2" t="inlineStr">
        <is>
          <t>Bao gồm lấy mẫu hiện trường và phân tích phòng thí nghiệm</t>
        </is>
      </c>
    </row>
    <row r="228">
      <c r="A228" s="3" t="n">
        <v>224</v>
      </c>
      <c r="B228" s="3" t="inlineStr">
        <is>
          <t>NT10k1</t>
        </is>
      </c>
      <c r="C228" s="3" t="inlineStr">
        <is>
          <t>Chì</t>
        </is>
      </c>
      <c r="D228" s="3" t="inlineStr">
        <is>
          <t>mg/l</t>
        </is>
      </c>
      <c r="E228" s="3">
        <f>IF(DuToan!E228&gt;0, ROUND(DuToan!K228/DuToan!E228, 0), 0)</f>
        <v/>
      </c>
      <c r="F228" s="3">
        <f>IF(DuToan!E228&gt;0, ROUND(DuToan!L228/DuToan!E228, 0), 0)</f>
        <v/>
      </c>
      <c r="G228" s="3">
        <f>IF(DuToan!E228&gt;0, ROUND(DuToan!M228/DuToan!E228, 0), 0)</f>
        <v/>
      </c>
      <c r="H228" s="3">
        <f>IF(DuToan!E228&gt;0, ROUND(DuToan!N228/DuToan!E228, 0), 0)</f>
        <v/>
      </c>
      <c r="I228" s="3">
        <f>E228+F228+G228+H228</f>
        <v/>
      </c>
      <c r="J228" s="3" t="inlineStr">
        <is>
          <t>Bao gồm lấy mẫu hiện trường và phân tích phòng thí nghiệm</t>
        </is>
      </c>
    </row>
    <row r="229">
      <c r="A229" s="2" t="n">
        <v>225</v>
      </c>
      <c r="B229" s="2" t="inlineStr">
        <is>
          <t>NT10k2</t>
        </is>
      </c>
      <c r="C229" s="2" t="inlineStr">
        <is>
          <t>Cadimi</t>
        </is>
      </c>
      <c r="D229" s="2" t="inlineStr">
        <is>
          <t>mg/l</t>
        </is>
      </c>
      <c r="E229" s="2">
        <f>IF(DuToan!E229&gt;0, ROUND(DuToan!K229/DuToan!E229, 0), 0)</f>
        <v/>
      </c>
      <c r="F229" s="2">
        <f>IF(DuToan!E229&gt;0, ROUND(DuToan!L229/DuToan!E229, 0), 0)</f>
        <v/>
      </c>
      <c r="G229" s="2">
        <f>IF(DuToan!E229&gt;0, ROUND(DuToan!M229/DuToan!E229, 0), 0)</f>
        <v/>
      </c>
      <c r="H229" s="2">
        <f>IF(DuToan!E229&gt;0, ROUND(DuToan!N229/DuToan!E229, 0), 0)</f>
        <v/>
      </c>
      <c r="I229" s="2">
        <f>E229+F229+G229+H229</f>
        <v/>
      </c>
      <c r="J229" s="2" t="inlineStr">
        <is>
          <t>Bao gồm lấy mẫu hiện trường và phân tích phòng thí nghiệm</t>
        </is>
      </c>
    </row>
    <row r="230">
      <c r="A230" s="3" t="n">
        <v>226</v>
      </c>
      <c r="B230" s="3" t="inlineStr">
        <is>
          <t>NT10m1</t>
        </is>
      </c>
      <c r="C230" s="3" t="inlineStr">
        <is>
          <t>Đồng</t>
        </is>
      </c>
      <c r="D230" s="3" t="inlineStr">
        <is>
          <t>mg/l</t>
        </is>
      </c>
      <c r="E230" s="3">
        <f>IF(DuToan!E230&gt;0, ROUND(DuToan!K230/DuToan!E230, 0), 0)</f>
        <v/>
      </c>
      <c r="F230" s="3">
        <f>IF(DuToan!E230&gt;0, ROUND(DuToan!L230/DuToan!E230, 0), 0)</f>
        <v/>
      </c>
      <c r="G230" s="3">
        <f>IF(DuToan!E230&gt;0, ROUND(DuToan!M230/DuToan!E230, 0), 0)</f>
        <v/>
      </c>
      <c r="H230" s="3">
        <f>IF(DuToan!E230&gt;0, ROUND(DuToan!N230/DuToan!E230, 0), 0)</f>
        <v/>
      </c>
      <c r="I230" s="3">
        <f>E230+F230+G230+H230</f>
        <v/>
      </c>
      <c r="J230" s="3" t="inlineStr">
        <is>
          <t>Bao gồm lấy mẫu hiện trường và phân tích phòng thí nghiệm</t>
        </is>
      </c>
    </row>
    <row r="231">
      <c r="A231" s="2" t="n">
        <v>227</v>
      </c>
      <c r="B231" s="2" t="inlineStr">
        <is>
          <t>NT10m2</t>
        </is>
      </c>
      <c r="C231" s="2" t="inlineStr">
        <is>
          <t>Kẽm</t>
        </is>
      </c>
      <c r="D231" s="2" t="inlineStr">
        <is>
          <t>mg/l</t>
        </is>
      </c>
      <c r="E231" s="2">
        <f>IF(DuToan!E231&gt;0, ROUND(DuToan!K231/DuToan!E231, 0), 0)</f>
        <v/>
      </c>
      <c r="F231" s="2">
        <f>IF(DuToan!E231&gt;0, ROUND(DuToan!L231/DuToan!E231, 0), 0)</f>
        <v/>
      </c>
      <c r="G231" s="2">
        <f>IF(DuToan!E231&gt;0, ROUND(DuToan!M231/DuToan!E231, 0), 0)</f>
        <v/>
      </c>
      <c r="H231" s="2">
        <f>IF(DuToan!E231&gt;0, ROUND(DuToan!N231/DuToan!E231, 0), 0)</f>
        <v/>
      </c>
      <c r="I231" s="2">
        <f>E231+F231+G231+H231</f>
        <v/>
      </c>
      <c r="J231" s="2" t="inlineStr">
        <is>
          <t>Bao gồm lấy mẫu hiện trường và phân tích phòng thí nghiệm</t>
        </is>
      </c>
    </row>
    <row r="232">
      <c r="A232" s="3" t="n">
        <v>228</v>
      </c>
      <c r="B232" s="3" t="inlineStr">
        <is>
          <t>NT10m6</t>
        </is>
      </c>
      <c r="C232" s="3" t="inlineStr">
        <is>
          <t>Niken</t>
        </is>
      </c>
      <c r="D232" s="3" t="inlineStr">
        <is>
          <t>mg/l</t>
        </is>
      </c>
      <c r="E232" s="3">
        <f>IF(DuToan!E232&gt;0, ROUND(DuToan!K232/DuToan!E232, 0), 0)</f>
        <v/>
      </c>
      <c r="F232" s="3">
        <f>IF(DuToan!E232&gt;0, ROUND(DuToan!L232/DuToan!E232, 0), 0)</f>
        <v/>
      </c>
      <c r="G232" s="3">
        <f>IF(DuToan!E232&gt;0, ROUND(DuToan!M232/DuToan!E232, 0), 0)</f>
        <v/>
      </c>
      <c r="H232" s="3">
        <f>IF(DuToan!E232&gt;0, ROUND(DuToan!N232/DuToan!E232, 0), 0)</f>
        <v/>
      </c>
      <c r="I232" s="3">
        <f>E232+F232+G232+H232</f>
        <v/>
      </c>
      <c r="J232" s="3" t="inlineStr">
        <is>
          <t>Bao gồm lấy mẫu hiện trường và phân tích phòng thí nghiệm</t>
        </is>
      </c>
    </row>
    <row r="233">
      <c r="A233" s="2" t="n">
        <v>229</v>
      </c>
      <c r="B233" s="2" t="inlineStr">
        <is>
          <t>NT10m3</t>
        </is>
      </c>
      <c r="C233" s="2" t="inlineStr">
        <is>
          <t>Mangan</t>
        </is>
      </c>
      <c r="D233" s="2" t="inlineStr">
        <is>
          <t>mg/l</t>
        </is>
      </c>
      <c r="E233" s="2">
        <f>IF(DuToan!E233&gt;0, ROUND(DuToan!K233/DuToan!E233, 0), 0)</f>
        <v/>
      </c>
      <c r="F233" s="2">
        <f>IF(DuToan!E233&gt;0, ROUND(DuToan!L233/DuToan!E233, 0), 0)</f>
        <v/>
      </c>
      <c r="G233" s="2">
        <f>IF(DuToan!E233&gt;0, ROUND(DuToan!M233/DuToan!E233, 0), 0)</f>
        <v/>
      </c>
      <c r="H233" s="2">
        <f>IF(DuToan!E233&gt;0, ROUND(DuToan!N233/DuToan!E233, 0), 0)</f>
        <v/>
      </c>
      <c r="I233" s="2">
        <f>E233+F233+G233+H233</f>
        <v/>
      </c>
      <c r="J233" s="2" t="inlineStr">
        <is>
          <t>Bao gồm lấy mẫu hiện trường và phân tích phòng thí nghiệm</t>
        </is>
      </c>
    </row>
    <row r="234">
      <c r="A234" s="3" t="n">
        <v>230</v>
      </c>
      <c r="B234" s="3" t="inlineStr">
        <is>
          <t>NT10m4</t>
        </is>
      </c>
      <c r="C234" s="3" t="inlineStr">
        <is>
          <t>Sắt</t>
        </is>
      </c>
      <c r="D234" s="3" t="inlineStr">
        <is>
          <t>mg/l</t>
        </is>
      </c>
      <c r="E234" s="3">
        <f>IF(DuToan!E234&gt;0, ROUND(DuToan!K234/DuToan!E234, 0), 0)</f>
        <v/>
      </c>
      <c r="F234" s="3">
        <f>IF(DuToan!E234&gt;0, ROUND(DuToan!L234/DuToan!E234, 0), 0)</f>
        <v/>
      </c>
      <c r="G234" s="3">
        <f>IF(DuToan!E234&gt;0, ROUND(DuToan!M234/DuToan!E234, 0), 0)</f>
        <v/>
      </c>
      <c r="H234" s="3">
        <f>IF(DuToan!E234&gt;0, ROUND(DuToan!N234/DuToan!E234, 0), 0)</f>
        <v/>
      </c>
      <c r="I234" s="3">
        <f>E234+F234+G234+H234</f>
        <v/>
      </c>
      <c r="J234" s="3" t="inlineStr">
        <is>
          <t>Bao gồm lấy mẫu hiện trường và phân tích phòng thí nghiệm</t>
        </is>
      </c>
    </row>
    <row r="235">
      <c r="A235" s="2" t="n">
        <v>231</v>
      </c>
      <c r="B235" s="2" t="inlineStr">
        <is>
          <t>NT9</t>
        </is>
      </c>
      <c r="C235" s="2" t="inlineStr">
        <is>
          <t>Tổng xianua</t>
        </is>
      </c>
      <c r="D235" s="2" t="inlineStr">
        <is>
          <t>mg/l</t>
        </is>
      </c>
      <c r="E235" s="2">
        <f>IF(DuToan!E235&gt;0, ROUND(DuToan!K235/DuToan!E235, 0), 0)</f>
        <v/>
      </c>
      <c r="F235" s="2">
        <f>IF(DuToan!E235&gt;0, ROUND(DuToan!L235/DuToan!E235, 0), 0)</f>
        <v/>
      </c>
      <c r="G235" s="2">
        <f>IF(DuToan!E235&gt;0, ROUND(DuToan!M235/DuToan!E235, 0), 0)</f>
        <v/>
      </c>
      <c r="H235" s="2">
        <f>IF(DuToan!E235&gt;0, ROUND(DuToan!N235/DuToan!E235, 0), 0)</f>
        <v/>
      </c>
      <c r="I235" s="2">
        <f>E235+F235+G235+H235</f>
        <v/>
      </c>
      <c r="J235" s="2" t="inlineStr">
        <is>
          <t>Bao gồm lấy mẫu hiện trường và phân tích phòng thí nghiệm</t>
        </is>
      </c>
    </row>
    <row r="236">
      <c r="A236" s="3" t="n">
        <v>232</v>
      </c>
      <c r="B236" s="3" t="inlineStr">
        <is>
          <t>NT2</t>
        </is>
      </c>
      <c r="C236" s="3" t="inlineStr">
        <is>
          <t>Tổng Phenol</t>
        </is>
      </c>
      <c r="D236" s="3" t="inlineStr">
        <is>
          <t>mg/l</t>
        </is>
      </c>
      <c r="E236" s="3">
        <f>IF(DuToan!E236&gt;0, ROUND(DuToan!K236/DuToan!E236, 0), 0)</f>
        <v/>
      </c>
      <c r="F236" s="3">
        <f>IF(DuToan!E236&gt;0, ROUND(DuToan!L236/DuToan!E236, 0), 0)</f>
        <v/>
      </c>
      <c r="G236" s="3">
        <f>IF(DuToan!E236&gt;0, ROUND(DuToan!M236/DuToan!E236, 0), 0)</f>
        <v/>
      </c>
      <c r="H236" s="3">
        <f>IF(DuToan!E236&gt;0, ROUND(DuToan!N236/DuToan!E236, 0), 0)</f>
        <v/>
      </c>
      <c r="I236" s="3">
        <f>E236+F236+G236+H236</f>
        <v/>
      </c>
      <c r="J236" s="3" t="inlineStr">
        <is>
          <t>Bao gồm lấy mẫu hiện trường và phân tích phòng thí nghiệm</t>
        </is>
      </c>
    </row>
    <row r="237">
      <c r="A237" s="2" t="n">
        <v>233</v>
      </c>
      <c r="B237" s="2" t="inlineStr">
        <is>
          <t>NT8</t>
        </is>
      </c>
      <c r="C237" s="2" t="inlineStr">
        <is>
          <t>Tổng dầu mỡ khoáng</t>
        </is>
      </c>
      <c r="D237" s="2" t="inlineStr">
        <is>
          <t>mg/l</t>
        </is>
      </c>
      <c r="E237" s="2">
        <f>IF(DuToan!E237&gt;0, ROUND(DuToan!K237/DuToan!E237, 0), 0)</f>
        <v/>
      </c>
      <c r="F237" s="2">
        <f>IF(DuToan!E237&gt;0, ROUND(DuToan!L237/DuToan!E237, 0), 0)</f>
        <v/>
      </c>
      <c r="G237" s="2">
        <f>IF(DuToan!E237&gt;0, ROUND(DuToan!M237/DuToan!E237, 0), 0)</f>
        <v/>
      </c>
      <c r="H237" s="2">
        <f>IF(DuToan!E237&gt;0, ROUND(DuToan!N237/DuToan!E237, 0), 0)</f>
        <v/>
      </c>
      <c r="I237" s="2">
        <f>E237+F237+G237+H237</f>
        <v/>
      </c>
      <c r="J237" s="2" t="inlineStr">
        <is>
          <t>Bao gồm lấy mẫu hiện trường và phân tích phòng thí nghiệm</t>
        </is>
      </c>
    </row>
    <row r="238">
      <c r="A238" s="3" t="n">
        <v>234</v>
      </c>
      <c r="B238" s="3" t="inlineStr">
        <is>
          <t>NT10d</t>
        </is>
      </c>
      <c r="C238" s="3" t="inlineStr">
        <is>
          <t>Sunfua</t>
        </is>
      </c>
      <c r="D238" s="3" t="inlineStr">
        <is>
          <t>mg/l</t>
        </is>
      </c>
      <c r="E238" s="3">
        <f>IF(DuToan!E238&gt;0, ROUND(DuToan!K238/DuToan!E238, 0), 0)</f>
        <v/>
      </c>
      <c r="F238" s="3">
        <f>IF(DuToan!E238&gt;0, ROUND(DuToan!L238/DuToan!E238, 0), 0)</f>
        <v/>
      </c>
      <c r="G238" s="3">
        <f>IF(DuToan!E238&gt;0, ROUND(DuToan!M238/DuToan!E238, 0), 0)</f>
        <v/>
      </c>
      <c r="H238" s="3">
        <f>IF(DuToan!E238&gt;0, ROUND(DuToan!N238/DuToan!E238, 0), 0)</f>
        <v/>
      </c>
      <c r="I238" s="3">
        <f>E238+F238+G238+H238</f>
        <v/>
      </c>
      <c r="J238" s="3" t="inlineStr">
        <is>
          <t>Bao gồm lấy mẫu hiện trường và phân tích phòng thí nghiệm</t>
        </is>
      </c>
    </row>
    <row r="239">
      <c r="A239" s="2" t="n">
        <v>235</v>
      </c>
      <c r="B239" s="2" t="inlineStr">
        <is>
          <t>NT10h</t>
        </is>
      </c>
      <c r="C239" s="2" t="inlineStr">
        <is>
          <t>Florua</t>
        </is>
      </c>
      <c r="D239" s="2" t="inlineStr">
        <is>
          <t>mg/l</t>
        </is>
      </c>
      <c r="E239" s="2">
        <f>IF(DuToan!E239&gt;0, ROUND(DuToan!K239/DuToan!E239, 0), 0)</f>
        <v/>
      </c>
      <c r="F239" s="2">
        <f>IF(DuToan!E239&gt;0, ROUND(DuToan!L239/DuToan!E239, 0), 0)</f>
        <v/>
      </c>
      <c r="G239" s="2">
        <f>IF(DuToan!E239&gt;0, ROUND(DuToan!M239/DuToan!E239, 0), 0)</f>
        <v/>
      </c>
      <c r="H239" s="2">
        <f>IF(DuToan!E239&gt;0, ROUND(DuToan!N239/DuToan!E239, 0), 0)</f>
        <v/>
      </c>
      <c r="I239" s="2">
        <f>E239+F239+G239+H239</f>
        <v/>
      </c>
      <c r="J239" s="2" t="inlineStr">
        <is>
          <t>Bao gồm lấy mẫu hiện trường và phân tích phòng thí nghiệm</t>
        </is>
      </c>
    </row>
    <row r="240">
      <c r="A240" s="3" t="n">
        <v>236</v>
      </c>
      <c r="B240" s="3" t="inlineStr">
        <is>
          <t>NT10b</t>
        </is>
      </c>
      <c r="C240" s="3" t="inlineStr">
        <is>
          <t>Tổng Nitơ</t>
        </is>
      </c>
      <c r="D240" s="3" t="inlineStr">
        <is>
          <t>mg/l</t>
        </is>
      </c>
      <c r="E240" s="3">
        <f>IF(DuToan!E240&gt;0, ROUND(DuToan!K240/DuToan!E240, 0), 0)</f>
        <v/>
      </c>
      <c r="F240" s="3">
        <f>IF(DuToan!E240&gt;0, ROUND(DuToan!L240/DuToan!E240, 0), 0)</f>
        <v/>
      </c>
      <c r="G240" s="3">
        <f>IF(DuToan!E240&gt;0, ROUND(DuToan!M240/DuToan!E240, 0), 0)</f>
        <v/>
      </c>
      <c r="H240" s="3">
        <f>IF(DuToan!E240&gt;0, ROUND(DuToan!N240/DuToan!E240, 0), 0)</f>
        <v/>
      </c>
      <c r="I240" s="3">
        <f>E240+F240+G240+H240</f>
        <v/>
      </c>
      <c r="J240" s="3" t="inlineStr">
        <is>
          <t>Bao gồm lấy mẫu hiện trường và phân tích phòng thí nghiệm</t>
        </is>
      </c>
    </row>
    <row r="241">
      <c r="A241" s="2" t="n">
        <v>237</v>
      </c>
      <c r="B241" s="2" t="inlineStr">
        <is>
          <t>NT2</t>
        </is>
      </c>
      <c r="C241" s="2" t="inlineStr">
        <is>
          <t>Tổng photpho (tính theo P)</t>
        </is>
      </c>
      <c r="D241" s="2" t="inlineStr">
        <is>
          <t>mg/l</t>
        </is>
      </c>
      <c r="E241" s="2">
        <f>IF(DuToan!E241&gt;0, ROUND(DuToan!K241/DuToan!E241, 0), 0)</f>
        <v/>
      </c>
      <c r="F241" s="2">
        <f>IF(DuToan!E241&gt;0, ROUND(DuToan!L241/DuToan!E241, 0), 0)</f>
        <v/>
      </c>
      <c r="G241" s="2">
        <f>IF(DuToan!E241&gt;0, ROUND(DuToan!M241/DuToan!E241, 0), 0)</f>
        <v/>
      </c>
      <c r="H241" s="2">
        <f>IF(DuToan!E241&gt;0, ROUND(DuToan!N241/DuToan!E241, 0), 0)</f>
        <v/>
      </c>
      <c r="I241" s="2">
        <f>E241+F241+G241+H241</f>
        <v/>
      </c>
      <c r="J241" s="2" t="inlineStr">
        <is>
          <t>Bao gồm lấy mẫu hiện trường và phân tích phòng thí nghiệm</t>
        </is>
      </c>
    </row>
    <row r="242">
      <c r="A242" s="3" t="n">
        <v>238</v>
      </c>
      <c r="B242" s="3" t="inlineStr">
        <is>
          <t>NT10i</t>
        </is>
      </c>
      <c r="C242" s="3" t="inlineStr">
        <is>
          <t>Clorua</t>
        </is>
      </c>
      <c r="D242" s="3" t="inlineStr">
        <is>
          <t>mg/l</t>
        </is>
      </c>
      <c r="E242" s="3">
        <f>IF(DuToan!E242&gt;0, ROUND(DuToan!K242/DuToan!E242, 0), 0)</f>
        <v/>
      </c>
      <c r="F242" s="3">
        <f>IF(DuToan!E242&gt;0, ROUND(DuToan!L242/DuToan!E242, 0), 0)</f>
        <v/>
      </c>
      <c r="G242" s="3">
        <f>IF(DuToan!E242&gt;0, ROUND(DuToan!M242/DuToan!E242, 0), 0)</f>
        <v/>
      </c>
      <c r="H242" s="3">
        <f>IF(DuToan!E242&gt;0, ROUND(DuToan!N242/DuToan!E242, 0), 0)</f>
        <v/>
      </c>
      <c r="I242" s="3">
        <f>E242+F242+G242+H242</f>
        <v/>
      </c>
      <c r="J242" s="3" t="inlineStr">
        <is>
          <t>Bao gồm lấy mẫu hiện trường và phân tích phòng thí nghiệm</t>
        </is>
      </c>
    </row>
    <row r="243">
      <c r="A243" s="2" t="n">
        <v>239</v>
      </c>
      <c r="B243" s="2" t="inlineStr">
        <is>
          <t>NT10j</t>
        </is>
      </c>
      <c r="C243" s="2" t="inlineStr">
        <is>
          <t>Clo dư</t>
        </is>
      </c>
      <c r="D243" s="2" t="inlineStr">
        <is>
          <t>mg/l</t>
        </is>
      </c>
      <c r="E243" s="2">
        <f>IF(DuToan!E243&gt;0, ROUND(DuToan!K243/DuToan!E243, 0), 0)</f>
        <v/>
      </c>
      <c r="F243" s="2">
        <f>IF(DuToan!E243&gt;0, ROUND(DuToan!L243/DuToan!E243, 0), 0)</f>
        <v/>
      </c>
      <c r="G243" s="2">
        <f>IF(DuToan!E243&gt;0, ROUND(DuToan!M243/DuToan!E243, 0), 0)</f>
        <v/>
      </c>
      <c r="H243" s="2">
        <f>IF(DuToan!E243&gt;0, ROUND(DuToan!N243/DuToan!E243, 0), 0)</f>
        <v/>
      </c>
      <c r="I243" s="2">
        <f>E243+F243+G243+H243</f>
        <v/>
      </c>
      <c r="J243" s="2" t="inlineStr">
        <is>
          <t>Bao gồm lấy mẫu hiện trường và phân tích phòng thí nghiệm</t>
        </is>
      </c>
    </row>
    <row r="244">
      <c r="A244" s="3" t="n">
        <v>240</v>
      </c>
      <c r="B244" s="3" t="inlineStr">
        <is>
          <t>NT7a</t>
        </is>
      </c>
      <c r="C244" s="3" t="inlineStr">
        <is>
          <t>Coliform</t>
        </is>
      </c>
      <c r="D244" s="3" t="inlineStr">
        <is>
          <t>MPN/100ml</t>
        </is>
      </c>
      <c r="E244" s="3">
        <f>IF(DuToan!E244&gt;0, ROUND(DuToan!K244/DuToan!E244, 0), 0)</f>
        <v/>
      </c>
      <c r="F244" s="3">
        <f>IF(DuToan!E244&gt;0, ROUND(DuToan!L244/DuToan!E244, 0), 0)</f>
        <v/>
      </c>
      <c r="G244" s="3">
        <f>IF(DuToan!E244&gt;0, ROUND(DuToan!M244/DuToan!E244, 0), 0)</f>
        <v/>
      </c>
      <c r="H244" s="3">
        <f>IF(DuToan!E244&gt;0, ROUND(DuToan!N244/DuToan!E244, 0), 0)</f>
        <v/>
      </c>
      <c r="I244" s="3">
        <f>E244+F244+G244+H244</f>
        <v/>
      </c>
      <c r="J244" s="3" t="inlineStr">
        <is>
          <t>Bao gồm lấy mẫu hiện trường và phân tích phòng thí nghiệm</t>
        </is>
      </c>
    </row>
    <row r="245">
      <c r="A245" s="2" t="n">
        <v>241</v>
      </c>
      <c r="B245" s="2" t="inlineStr">
        <is>
          <t>CT2</t>
        </is>
      </c>
      <c r="C245" s="2" t="inlineStr">
        <is>
          <t>pH</t>
        </is>
      </c>
      <c r="D245" s="2" t="inlineStr">
        <is>
          <t>-</t>
        </is>
      </c>
      <c r="E245" s="2">
        <f>IF(DuToan!E245&gt;0, ROUND(DuToan!K245/DuToan!E245, 0), 0)</f>
        <v/>
      </c>
      <c r="F245" s="2">
        <f>IF(DuToan!E245&gt;0, ROUND(DuToan!L245/DuToan!E245, 0), 0)</f>
        <v/>
      </c>
      <c r="G245" s="2">
        <f>IF(DuToan!E245&gt;0, ROUND(DuToan!M245/DuToan!E245, 0), 0)</f>
        <v/>
      </c>
      <c r="H245" s="2">
        <f>IF(DuToan!E245&gt;0, ROUND(DuToan!N245/DuToan!E245, 0), 0)</f>
        <v/>
      </c>
      <c r="I245" s="2">
        <f>E245+F245+G245+H245</f>
        <v/>
      </c>
      <c r="J245" s="2" t="inlineStr">
        <is>
          <t>Bao gồm lấy mẫu hiện trường và phân tích phòng thí nghiệm</t>
        </is>
      </c>
    </row>
    <row r="246">
      <c r="A246" s="3" t="n">
        <v>242</v>
      </c>
      <c r="B246" s="3" t="inlineStr">
        <is>
          <t>CT3</t>
        </is>
      </c>
      <c r="C246" s="3" t="inlineStr">
        <is>
          <t>Cyanua (CN-)</t>
        </is>
      </c>
      <c r="D246" s="3" t="inlineStr">
        <is>
          <t>ppm</t>
        </is>
      </c>
      <c r="E246" s="3">
        <f>IF(DuToan!E246&gt;0, ROUND(DuToan!K246/DuToan!E246, 0), 0)</f>
        <v/>
      </c>
      <c r="F246" s="3">
        <f>IF(DuToan!E246&gt;0, ROUND(DuToan!L246/DuToan!E246, 0), 0)</f>
        <v/>
      </c>
      <c r="G246" s="3">
        <f>IF(DuToan!E246&gt;0, ROUND(DuToan!M246/DuToan!E246, 0), 0)</f>
        <v/>
      </c>
      <c r="H246" s="3">
        <f>IF(DuToan!E246&gt;0, ROUND(DuToan!N246/DuToan!E246, 0), 0)</f>
        <v/>
      </c>
      <c r="I246" s="3">
        <f>E246+F246+G246+H246</f>
        <v/>
      </c>
      <c r="J246" s="3" t="inlineStr">
        <is>
          <t>Bao gồm lấy mẫu hiện trường và phân tích phòng thí nghiệm</t>
        </is>
      </c>
    </row>
    <row r="247">
      <c r="A247" s="2" t="n">
        <v>243</v>
      </c>
      <c r="B247" s="2" t="inlineStr">
        <is>
          <t>CT4</t>
        </is>
      </c>
      <c r="C247" s="2" t="inlineStr">
        <is>
          <t>Crom (VI)</t>
        </is>
      </c>
      <c r="D247" s="2" t="inlineStr">
        <is>
          <t>mg/l</t>
        </is>
      </c>
      <c r="E247" s="2">
        <f>IF(DuToan!E247&gt;0, ROUND(DuToan!K247/DuToan!E247, 0), 0)</f>
        <v/>
      </c>
      <c r="F247" s="2">
        <f>IF(DuToan!E247&gt;0, ROUND(DuToan!L247/DuToan!E247, 0), 0)</f>
        <v/>
      </c>
      <c r="G247" s="2">
        <f>IF(DuToan!E247&gt;0, ROUND(DuToan!M247/DuToan!E247, 0), 0)</f>
        <v/>
      </c>
      <c r="H247" s="2">
        <f>IF(DuToan!E247&gt;0, ROUND(DuToan!N247/DuToan!E247, 0), 0)</f>
        <v/>
      </c>
      <c r="I247" s="2">
        <f>E247+F247+G247+H247</f>
        <v/>
      </c>
      <c r="J247" s="2" t="inlineStr">
        <is>
          <t>Bao gồm lấy mẫu hiện trường và phân tích phòng thí nghiệm</t>
        </is>
      </c>
    </row>
    <row r="248">
      <c r="A248" s="3" t="n">
        <v>244</v>
      </c>
      <c r="B248" s="3" t="inlineStr">
        <is>
          <t>CT7a</t>
        </is>
      </c>
      <c r="C248" s="3" t="inlineStr">
        <is>
          <t>As</t>
        </is>
      </c>
      <c r="D248" s="3" t="inlineStr">
        <is>
          <t>mg/l</t>
        </is>
      </c>
      <c r="E248" s="3">
        <f>IF(DuToan!E248&gt;0, ROUND(DuToan!K248/DuToan!E248, 0), 0)</f>
        <v/>
      </c>
      <c r="F248" s="3">
        <f>IF(DuToan!E248&gt;0, ROUND(DuToan!L248/DuToan!E248, 0), 0)</f>
        <v/>
      </c>
      <c r="G248" s="3">
        <f>IF(DuToan!E248&gt;0, ROUND(DuToan!M248/DuToan!E248, 0), 0)</f>
        <v/>
      </c>
      <c r="H248" s="3">
        <f>IF(DuToan!E248&gt;0, ROUND(DuToan!N248/DuToan!E248, 0), 0)</f>
        <v/>
      </c>
      <c r="I248" s="3">
        <f>E248+F248+G248+H248</f>
        <v/>
      </c>
      <c r="J248" s="3" t="inlineStr">
        <is>
          <t>Bao gồm lấy mẫu hiện trường và phân tích phòng thí nghiệm</t>
        </is>
      </c>
    </row>
    <row r="249">
      <c r="A249" s="2" t="n">
        <v>245</v>
      </c>
      <c r="B249" s="2" t="inlineStr">
        <is>
          <t>CT7b</t>
        </is>
      </c>
      <c r="C249" s="2" t="inlineStr">
        <is>
          <t>Hg</t>
        </is>
      </c>
      <c r="D249" s="2" t="inlineStr">
        <is>
          <t>mg/l</t>
        </is>
      </c>
      <c r="E249" s="2">
        <f>IF(DuToan!E249&gt;0, ROUND(DuToan!K249/DuToan!E249, 0), 0)</f>
        <v/>
      </c>
      <c r="F249" s="2">
        <f>IF(DuToan!E249&gt;0, ROUND(DuToan!L249/DuToan!E249, 0), 0)</f>
        <v/>
      </c>
      <c r="G249" s="2">
        <f>IF(DuToan!E249&gt;0, ROUND(DuToan!M249/DuToan!E249, 0), 0)</f>
        <v/>
      </c>
      <c r="H249" s="2">
        <f>IF(DuToan!E249&gt;0, ROUND(DuToan!N249/DuToan!E249, 0), 0)</f>
        <v/>
      </c>
      <c r="I249" s="2">
        <f>E249+F249+G249+H249</f>
        <v/>
      </c>
      <c r="J249" s="2" t="inlineStr">
        <is>
          <t>Bao gồm lấy mẫu hiện trường và phân tích phòng thí nghiệm</t>
        </is>
      </c>
    </row>
    <row r="250">
      <c r="A250" s="3" t="n">
        <v>246</v>
      </c>
      <c r="B250" s="3" t="inlineStr">
        <is>
          <t>CT2</t>
        </is>
      </c>
      <c r="C250" s="3" t="inlineStr">
        <is>
          <t>Phenol</t>
        </is>
      </c>
      <c r="D250" s="3" t="inlineStr">
        <is>
          <t>mg/l</t>
        </is>
      </c>
      <c r="E250" s="3">
        <f>IF(DuToan!E250&gt;0, ROUND(DuToan!K250/DuToan!E250, 0), 0)</f>
        <v/>
      </c>
      <c r="F250" s="3">
        <f>IF(DuToan!E250&gt;0, ROUND(DuToan!L250/DuToan!E250, 0), 0)</f>
        <v/>
      </c>
      <c r="G250" s="3">
        <f>IF(DuToan!E250&gt;0, ROUND(DuToan!M250/DuToan!E250, 0), 0)</f>
        <v/>
      </c>
      <c r="H250" s="3">
        <f>IF(DuToan!E250&gt;0, ROUND(DuToan!N250/DuToan!E250, 0), 0)</f>
        <v/>
      </c>
      <c r="I250" s="3">
        <f>E250+F250+G250+H250</f>
        <v/>
      </c>
      <c r="J250" s="3" t="inlineStr">
        <is>
          <t>Bao gồm lấy mẫu hiện trường và phân tích phòng thí nghiệm</t>
        </is>
      </c>
    </row>
    <row r="251">
      <c r="A251" s="2" t="n">
        <v>247</v>
      </c>
      <c r="B251" s="2" t="inlineStr">
        <is>
          <t>CT6a</t>
        </is>
      </c>
      <c r="C251" s="2" t="inlineStr">
        <is>
          <t>Pb</t>
        </is>
      </c>
      <c r="D251" s="2" t="inlineStr">
        <is>
          <t>mg/l</t>
        </is>
      </c>
      <c r="E251" s="2">
        <f>IF(DuToan!E251&gt;0, ROUND(DuToan!K251/DuToan!E251, 0), 0)</f>
        <v/>
      </c>
      <c r="F251" s="2">
        <f>IF(DuToan!E251&gt;0, ROUND(DuToan!L251/DuToan!E251, 0), 0)</f>
        <v/>
      </c>
      <c r="G251" s="2">
        <f>IF(DuToan!E251&gt;0, ROUND(DuToan!M251/DuToan!E251, 0), 0)</f>
        <v/>
      </c>
      <c r="H251" s="2">
        <f>IF(DuToan!E251&gt;0, ROUND(DuToan!N251/DuToan!E251, 0), 0)</f>
        <v/>
      </c>
      <c r="I251" s="2">
        <f>E251+F251+G251+H251</f>
        <v/>
      </c>
      <c r="J251" s="2" t="inlineStr">
        <is>
          <t>Bao gồm lấy mẫu hiện trường và phân tích phòng thí nghiệm</t>
        </is>
      </c>
    </row>
    <row r="252">
      <c r="A252" s="3" t="n">
        <v>248</v>
      </c>
      <c r="B252" s="3" t="inlineStr">
        <is>
          <t>CT6b</t>
        </is>
      </c>
      <c r="C252" s="3" t="inlineStr">
        <is>
          <t>Cd</t>
        </is>
      </c>
      <c r="D252" s="3" t="inlineStr">
        <is>
          <t>mg/l</t>
        </is>
      </c>
      <c r="E252" s="3">
        <f>IF(DuToan!E252&gt;0, ROUND(DuToan!K252/DuToan!E252, 0), 0)</f>
        <v/>
      </c>
      <c r="F252" s="3">
        <f>IF(DuToan!E252&gt;0, ROUND(DuToan!L252/DuToan!E252, 0), 0)</f>
        <v/>
      </c>
      <c r="G252" s="3">
        <f>IF(DuToan!E252&gt;0, ROUND(DuToan!M252/DuToan!E252, 0), 0)</f>
        <v/>
      </c>
      <c r="H252" s="3">
        <f>IF(DuToan!E252&gt;0, ROUND(DuToan!N252/DuToan!E252, 0), 0)</f>
        <v/>
      </c>
      <c r="I252" s="3">
        <f>E252+F252+G252+H252</f>
        <v/>
      </c>
      <c r="J252" s="3" t="inlineStr">
        <is>
          <t>Bao gồm lấy mẫu hiện trường và phân tích phòng thí nghiệm</t>
        </is>
      </c>
    </row>
    <row r="253">
      <c r="A253" s="2" t="n">
        <v>249</v>
      </c>
      <c r="B253" s="2" t="inlineStr">
        <is>
          <t>CT8b</t>
        </is>
      </c>
      <c r="C253" s="2" t="inlineStr">
        <is>
          <t>Zn</t>
        </is>
      </c>
      <c r="D253" s="2" t="inlineStr">
        <is>
          <t>mg/l</t>
        </is>
      </c>
      <c r="E253" s="2">
        <f>IF(DuToan!E253&gt;0, ROUND(DuToan!K253/DuToan!E253, 0), 0)</f>
        <v/>
      </c>
      <c r="F253" s="2">
        <f>IF(DuToan!E253&gt;0, ROUND(DuToan!L253/DuToan!E253, 0), 0)</f>
        <v/>
      </c>
      <c r="G253" s="2">
        <f>IF(DuToan!E253&gt;0, ROUND(DuToan!M253/DuToan!E253, 0), 0)</f>
        <v/>
      </c>
      <c r="H253" s="2">
        <f>IF(DuToan!E253&gt;0, ROUND(DuToan!N253/DuToan!E253, 0), 0)</f>
        <v/>
      </c>
      <c r="I253" s="2">
        <f>E253+F253+G253+H253</f>
        <v/>
      </c>
      <c r="J253" s="2" t="inlineStr">
        <is>
          <t>Bao gồm lấy mẫu hiện trường và phân tích phòng thí nghiệm</t>
        </is>
      </c>
    </row>
    <row r="254">
      <c r="A254" s="3" t="n">
        <v>250</v>
      </c>
      <c r="B254" s="3" t="inlineStr">
        <is>
          <t>CT8e</t>
        </is>
      </c>
      <c r="C254" s="3" t="inlineStr">
        <is>
          <t>Ni</t>
        </is>
      </c>
      <c r="D254" s="3" t="inlineStr">
        <is>
          <t>mg/l</t>
        </is>
      </c>
      <c r="E254" s="3">
        <f>IF(DuToan!E254&gt;0, ROUND(DuToan!K254/DuToan!E254, 0), 0)</f>
        <v/>
      </c>
      <c r="F254" s="3">
        <f>IF(DuToan!E254&gt;0, ROUND(DuToan!L254/DuToan!E254, 0), 0)</f>
        <v/>
      </c>
      <c r="G254" s="3">
        <f>IF(DuToan!E254&gt;0, ROUND(DuToan!M254/DuToan!E254, 0), 0)</f>
        <v/>
      </c>
      <c r="H254" s="3">
        <f>IF(DuToan!E254&gt;0, ROUND(DuToan!N254/DuToan!E254, 0), 0)</f>
        <v/>
      </c>
      <c r="I254" s="3">
        <f>E254+F254+G254+H254</f>
        <v/>
      </c>
      <c r="J254" s="3" t="inlineStr">
        <is>
          <t>Bao gồm lấy mẫu hiện trường và phân tích phòng thí nghiệm</t>
        </is>
      </c>
    </row>
    <row r="255">
      <c r="A255" s="2" t="n">
        <v>251</v>
      </c>
      <c r="B255" s="2" t="inlineStr">
        <is>
          <t>CT8f</t>
        </is>
      </c>
      <c r="C255" s="2" t="inlineStr">
        <is>
          <t>Ba</t>
        </is>
      </c>
      <c r="D255" s="2" t="inlineStr">
        <is>
          <t>mg/l</t>
        </is>
      </c>
      <c r="E255" s="2">
        <f>IF(DuToan!E255&gt;0, ROUND(DuToan!K255/DuToan!E255, 0), 0)</f>
        <v/>
      </c>
      <c r="F255" s="2">
        <f>IF(DuToan!E255&gt;0, ROUND(DuToan!L255/DuToan!E255, 0), 0)</f>
        <v/>
      </c>
      <c r="G255" s="2">
        <f>IF(DuToan!E255&gt;0, ROUND(DuToan!M255/DuToan!E255, 0), 0)</f>
        <v/>
      </c>
      <c r="H255" s="2">
        <f>IF(DuToan!E255&gt;0, ROUND(DuToan!N255/DuToan!E255, 0), 0)</f>
        <v/>
      </c>
      <c r="I255" s="2">
        <f>E255+F255+G255+H255</f>
        <v/>
      </c>
      <c r="J255" s="2" t="inlineStr">
        <is>
          <t>Bao gồm lấy mẫu hiện trường và phân tích phòng thí nghiệm</t>
        </is>
      </c>
    </row>
    <row r="256">
      <c r="A256" s="3" t="n">
        <v>252</v>
      </c>
      <c r="B256" s="3" t="inlineStr">
        <is>
          <t>CT8g</t>
        </is>
      </c>
      <c r="C256" s="3" t="inlineStr">
        <is>
          <t>Se</t>
        </is>
      </c>
      <c r="D256" s="3" t="inlineStr">
        <is>
          <t>mg/l</t>
        </is>
      </c>
      <c r="E256" s="3">
        <f>IF(DuToan!E256&gt;0, ROUND(DuToan!K256/DuToan!E256, 0), 0)</f>
        <v/>
      </c>
      <c r="F256" s="3">
        <f>IF(DuToan!E256&gt;0, ROUND(DuToan!L256/DuToan!E256, 0), 0)</f>
        <v/>
      </c>
      <c r="G256" s="3">
        <f>IF(DuToan!E256&gt;0, ROUND(DuToan!M256/DuToan!E256, 0), 0)</f>
        <v/>
      </c>
      <c r="H256" s="3">
        <f>IF(DuToan!E256&gt;0, ROUND(DuToan!N256/DuToan!E256, 0), 0)</f>
        <v/>
      </c>
      <c r="I256" s="3">
        <f>E256+F256+G256+H256</f>
        <v/>
      </c>
      <c r="J256" s="3" t="inlineStr">
        <is>
          <t>Bao gồm lấy mẫu hiện trường và phân tích phòng thí nghiệm</t>
        </is>
      </c>
    </row>
    <row r="257">
      <c r="A257" s="2" t="n">
        <v>253</v>
      </c>
      <c r="B257" s="2" t="inlineStr">
        <is>
          <t>CT8m</t>
        </is>
      </c>
      <c r="C257" s="2" t="inlineStr">
        <is>
          <t>Ag</t>
        </is>
      </c>
      <c r="D257" s="2" t="inlineStr">
        <is>
          <t>mg/l</t>
        </is>
      </c>
      <c r="E257" s="2">
        <f>IF(DuToan!E257&gt;0, ROUND(DuToan!K257/DuToan!E257, 0), 0)</f>
        <v/>
      </c>
      <c r="F257" s="2">
        <f>IF(DuToan!E257&gt;0, ROUND(DuToan!L257/DuToan!E257, 0), 0)</f>
        <v/>
      </c>
      <c r="G257" s="2">
        <f>IF(DuToan!E257&gt;0, ROUND(DuToan!M257/DuToan!E257, 0), 0)</f>
        <v/>
      </c>
      <c r="H257" s="2">
        <f>IF(DuToan!E257&gt;0, ROUND(DuToan!N257/DuToan!E257, 0), 0)</f>
        <v/>
      </c>
      <c r="I257" s="2">
        <f>E257+F257+G257+H257</f>
        <v/>
      </c>
      <c r="J257" s="2" t="inlineStr">
        <is>
          <t>Bao gồm lấy mẫu hiện trường và phân tích phòng thí nghiệm</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45" customWidth="1" min="1" max="1"/>
    <col width="36" customWidth="1" min="2" max="2"/>
    <col width="11" customWidth="1" min="3" max="3"/>
    <col width="35" customWidth="1" min="4" max="4"/>
    <col width="35" customWidth="1" min="5" max="5"/>
    <col width="12" customWidth="1" min="6" max="6"/>
  </cols>
  <sheetData>
    <row r="1">
      <c r="A1" t="inlineStr">
        <is>
          <t>TỔNG HỢP KINH PHÍ DỰ TOÁN GÓI THẦU QUAN TRẮC MÔI TRƯỜNG EVN VĨNH TÂN 4</t>
        </is>
      </c>
    </row>
    <row r="2">
      <c r="A2" t="inlineStr">
        <is>
          <t>(Cấu trúc tài chính vĩ mô: Chi phí trực tiếp T, Quản lý chung 15%, Thu nhập tính trước 6%, Dự phòng 5%, VAT 8%)</t>
        </is>
      </c>
    </row>
    <row r="3"/>
    <row r="4">
      <c r="A4" s="5" t="inlineStr">
        <is>
          <t>STT</t>
        </is>
      </c>
      <c r="B4" s="5" t="inlineStr">
        <is>
          <t>Khoản Mục Chi Phí</t>
        </is>
      </c>
      <c r="C4" s="5" t="inlineStr">
        <is>
          <t>Ký Hiệu</t>
        </is>
      </c>
      <c r="D4" s="5" t="inlineStr">
        <is>
          <t>Cách Tính / Công Thức</t>
        </is>
      </c>
      <c r="E4" s="5" t="inlineStr">
        <is>
          <t>Giá Trị (VNĐ)</t>
        </is>
      </c>
      <c r="F4" s="5" t="inlineStr">
        <is>
          <t>Tỷ Lệ (%)</t>
        </is>
      </c>
    </row>
    <row r="5">
      <c r="A5" s="2" t="inlineStr">
        <is>
          <t>1</t>
        </is>
      </c>
      <c r="B5" s="2" t="inlineStr">
        <is>
          <t>Chi phí trực tiếp</t>
        </is>
      </c>
      <c r="C5" s="2" t="inlineStr">
        <is>
          <t>T</t>
        </is>
      </c>
      <c r="D5" s="2">
        <f>DuToan!P258</f>
        <v/>
      </c>
      <c r="E5" s="7">
        <f>DuToan!P258</f>
        <v/>
      </c>
      <c r="F5" s="8">
        <f>E5/E11</f>
        <v/>
      </c>
    </row>
    <row r="6">
      <c r="A6" s="3" t="inlineStr">
        <is>
          <t>2</t>
        </is>
      </c>
      <c r="B6" s="3" t="inlineStr">
        <is>
          <t>Chi phí quản lý chung</t>
        </is>
      </c>
      <c r="C6" s="3" t="inlineStr">
        <is>
          <t>C_GT</t>
        </is>
      </c>
      <c r="D6" s="3">
        <f>ROUND(0.15 * E5, 0)</f>
        <v/>
      </c>
      <c r="E6" s="9">
        <f>ROUND(0.15 * E5, 0)</f>
        <v/>
      </c>
      <c r="F6" s="10">
        <f>E6/E11</f>
        <v/>
      </c>
    </row>
    <row r="7">
      <c r="A7" s="2" t="inlineStr">
        <is>
          <t>3</t>
        </is>
      </c>
      <c r="B7" s="2" t="inlineStr">
        <is>
          <t>Thu nhập chịu thuế tính trước</t>
        </is>
      </c>
      <c r="C7" s="2" t="inlineStr">
        <is>
          <t>TL</t>
        </is>
      </c>
      <c r="D7" s="2">
        <f>ROUND(0.06 * (E5 + E6), 0)</f>
        <v/>
      </c>
      <c r="E7" s="7">
        <f>ROUND(0.06 * (E5 + E6), 0)</f>
        <v/>
      </c>
      <c r="F7" s="8">
        <f>E7/E11</f>
        <v/>
      </c>
    </row>
    <row r="8">
      <c r="A8" s="3" t="inlineStr">
        <is>
          <t>4</t>
        </is>
      </c>
      <c r="B8" s="3" t="inlineStr">
        <is>
          <t>Chi phí dự phòng phát sinh</t>
        </is>
      </c>
      <c r="C8" s="3" t="inlineStr">
        <is>
          <t>DP</t>
        </is>
      </c>
      <c r="D8" s="3">
        <f>ROUND(0.05 * (E5 + E6 + E7), 0)</f>
        <v/>
      </c>
      <c r="E8" s="9">
        <f>ROUND(0.05 * (E5 + E6 + E7), 0)</f>
        <v/>
      </c>
      <c r="F8" s="10">
        <f>E8/E11</f>
        <v/>
      </c>
    </row>
    <row r="9">
      <c r="A9" s="6" t="inlineStr">
        <is>
          <t>5</t>
        </is>
      </c>
      <c r="B9" s="6" t="inlineStr">
        <is>
          <t>CỘNG CHI PHÍ TRƯỚC THUẾ</t>
        </is>
      </c>
      <c r="C9" s="6" t="inlineStr">
        <is>
          <t>G_Q</t>
        </is>
      </c>
      <c r="D9" s="6">
        <f>E5 + E6 + E7 + E8</f>
        <v/>
      </c>
      <c r="E9" s="11">
        <f>E5 + E6 + E7 + E8</f>
        <v/>
      </c>
      <c r="F9" s="12">
        <f>E9/E11</f>
        <v/>
      </c>
    </row>
    <row r="10">
      <c r="A10" s="3" t="inlineStr">
        <is>
          <t>6</t>
        </is>
      </c>
      <c r="B10" s="3" t="inlineStr">
        <is>
          <t>Thuế Giá trị gia tăng (VAT)</t>
        </is>
      </c>
      <c r="C10" s="3" t="inlineStr">
        <is>
          <t>VAT</t>
        </is>
      </c>
      <c r="D10" s="3">
        <f>ROUND(0.08 * E9, 0)</f>
        <v/>
      </c>
      <c r="E10" s="9">
        <f>ROUND(0.08 * E9, 0)</f>
        <v/>
      </c>
      <c r="F10" s="10">
        <f>E10/E11</f>
        <v/>
      </c>
    </row>
    <row r="11">
      <c r="A11" s="6" t="inlineStr">
        <is>
          <t>7</t>
        </is>
      </c>
      <c r="B11" s="6" t="inlineStr">
        <is>
          <t>TỔNG KINH PHÍ GÓI THẦU (SAU THUẾ)</t>
        </is>
      </c>
      <c r="C11" s="6" t="inlineStr">
        <is>
          <t>TTS</t>
        </is>
      </c>
      <c r="D11" s="6">
        <f>E9 + E10</f>
        <v/>
      </c>
      <c r="E11" s="11">
        <f>E9 + E10</f>
        <v/>
      </c>
      <c r="F11" s="12" t="inlineStr">
        <is>
          <t>100.0%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45" customWidth="1" min="1" max="1"/>
    <col width="43" customWidth="1" min="2" max="2"/>
    <col width="11" customWidth="1" min="3" max="3"/>
    <col width="30" customWidth="1" min="4" max="4"/>
    <col width="27" customWidth="1" min="5" max="5"/>
    <col width="18" customWidth="1" min="6" max="6"/>
    <col width="20" customWidth="1" min="7" max="7"/>
    <col width="30" customWidth="1" min="8" max="8"/>
    <col width="38" customWidth="1" min="9" max="9"/>
  </cols>
  <sheetData>
    <row r="1">
      <c r="A1" t="inlineStr">
        <is>
          <t>PHỤ LỤC MINH CHỨNG PHÁP LÝ: KẾT QUẢ LỰA CHỌN NHÀ THẦU &amp; BÁO GIÁ THỊ TRƯỜNG</t>
        </is>
      </c>
    </row>
    <row r="2">
      <c r="A2" t="inlineStr">
        <is>
          <t>(Căn cứ: Gói thầu IB2600096765 của NMNĐ Vĩnh Tân 4 ngày 03/04/2026 &amp; Điều 16 Nghị định 24/2024/NĐ-CP)</t>
        </is>
      </c>
    </row>
    <row r="3"/>
    <row r="4">
      <c r="A4" s="4" t="inlineStr">
        <is>
          <t>STT</t>
        </is>
      </c>
      <c r="B4" s="4" t="inlineStr">
        <is>
          <t>Tên Hàng Hóa / Dịch Vụ</t>
        </is>
      </c>
      <c r="C4" s="4" t="inlineStr">
        <is>
          <t>ĐVT</t>
        </is>
      </c>
      <c r="D4" s="4" t="inlineStr">
        <is>
          <t>Đơn Giá Trúng Thầu (VAT 8%)</t>
        </is>
      </c>
      <c r="E4" s="4" t="inlineStr">
        <is>
          <t>Đơn Giá Chưa VAT (/1.08)</t>
        </is>
      </c>
      <c r="F4" s="4" t="inlineStr">
        <is>
          <t>Mã TBMT / Hồ Sơ</t>
        </is>
      </c>
      <c r="G4" s="4" t="inlineStr">
        <is>
          <t>Ngày Duyệt KQLCNT</t>
        </is>
      </c>
      <c r="H4" s="4" t="inlineStr">
        <is>
          <t>Đơn Vị Trúng Thầu / Báo Giá</t>
        </is>
      </c>
      <c r="I4" s="4" t="inlineStr">
        <is>
          <t>Cơ Sở Pháp Lý</t>
        </is>
      </c>
    </row>
    <row r="5">
      <c r="A5" s="2" t="n">
        <v>1</v>
      </c>
      <c r="B5" s="2" t="inlineStr">
        <is>
          <t>Khí Heli 99.99%</t>
        </is>
      </c>
      <c r="C5" s="2" t="inlineStr">
        <is>
          <t>Bình</t>
        </is>
      </c>
      <c r="D5" s="2" t="n">
        <v>10141200</v>
      </c>
      <c r="E5" s="2" t="n">
        <v>9390000</v>
      </c>
      <c r="F5" s="2" t="inlineStr">
        <is>
          <t>IB2600096765</t>
        </is>
      </c>
      <c r="G5" s="2" t="inlineStr">
        <is>
          <t>03/04/2026</t>
        </is>
      </c>
      <c r="H5" s="2" t="inlineStr">
        <is>
          <t>Quingdao Ruiming</t>
        </is>
      </c>
      <c r="I5" s="2" t="inlineStr">
        <is>
          <t>KQLCNT chính NMNĐ Vĩnh Tân 4</t>
        </is>
      </c>
    </row>
    <row r="6">
      <c r="A6" s="3" t="n">
        <v>2</v>
      </c>
      <c r="B6" s="3" t="inlineStr">
        <is>
          <t>Khí Hydrogen UHP</t>
        </is>
      </c>
      <c r="C6" s="3" t="inlineStr">
        <is>
          <t>Bình</t>
        </is>
      </c>
      <c r="D6" s="3" t="n">
        <v>21621600</v>
      </c>
      <c r="E6" s="3" t="n">
        <v>20020000</v>
      </c>
      <c r="F6" s="3" t="inlineStr">
        <is>
          <t>IB2600096765</t>
        </is>
      </c>
      <c r="G6" s="3" t="inlineStr">
        <is>
          <t>03/04/2026</t>
        </is>
      </c>
      <c r="H6" s="3" t="inlineStr">
        <is>
          <t>Air Liquide</t>
        </is>
      </c>
      <c r="I6" s="3" t="inlineStr">
        <is>
          <t>KQLCNT chính NMNĐ Vĩnh Tân 4</t>
        </is>
      </c>
    </row>
    <row r="7">
      <c r="A7" s="2" t="n">
        <v>3</v>
      </c>
      <c r="B7" s="2" t="inlineStr">
        <is>
          <t>Khí Nitơ 99.99%</t>
        </is>
      </c>
      <c r="C7" s="2" t="inlineStr">
        <is>
          <t>Bình</t>
        </is>
      </c>
      <c r="D7" s="2" t="n">
        <v>324000</v>
      </c>
      <c r="E7" s="2" t="n">
        <v>300000</v>
      </c>
      <c r="F7" s="2" t="inlineStr">
        <is>
          <t>IB2600096765</t>
        </is>
      </c>
      <c r="G7" s="2" t="inlineStr">
        <is>
          <t>03/04/2026</t>
        </is>
      </c>
      <c r="H7" s="2" t="inlineStr">
        <is>
          <t>Sovigaz</t>
        </is>
      </c>
      <c r="I7" s="2" t="inlineStr">
        <is>
          <t>KQLCNT chính NMNĐ Vĩnh Tân 4</t>
        </is>
      </c>
    </row>
    <row r="8">
      <c r="A8" s="3" t="n">
        <v>4</v>
      </c>
      <c r="B8" s="3" t="inlineStr">
        <is>
          <t>Bình khí Argon 99.9999%</t>
        </is>
      </c>
      <c r="C8" s="3" t="inlineStr">
        <is>
          <t>Bình</t>
        </is>
      </c>
      <c r="D8" s="3" t="n">
        <v>6112800</v>
      </c>
      <c r="E8" s="3" t="n">
        <v>5660000</v>
      </c>
      <c r="F8" s="3" t="inlineStr">
        <is>
          <t>IB2600096765</t>
        </is>
      </c>
      <c r="G8" s="3" t="inlineStr">
        <is>
          <t>03/04/2026</t>
        </is>
      </c>
      <c r="H8" s="3" t="inlineStr">
        <is>
          <t>Cryotech</t>
        </is>
      </c>
      <c r="I8" s="3" t="inlineStr">
        <is>
          <t>KQLCNT chính NMNĐ Vĩnh Tân 4</t>
        </is>
      </c>
    </row>
    <row r="9">
      <c r="A9" s="2" t="n">
        <v>5</v>
      </c>
      <c r="B9" s="2" t="inlineStr">
        <is>
          <t>Bình khí CO+CO2</t>
        </is>
      </c>
      <c r="C9" s="2" t="inlineStr">
        <is>
          <t>Bình</t>
        </is>
      </c>
      <c r="D9" s="2" t="n">
        <v>12171600</v>
      </c>
      <c r="E9" s="2" t="n">
        <v>11270000</v>
      </c>
      <c r="F9" s="2" t="inlineStr">
        <is>
          <t>IB2600096765</t>
        </is>
      </c>
      <c r="G9" s="2" t="inlineStr">
        <is>
          <t>03/04/2026</t>
        </is>
      </c>
      <c r="H9" s="2" t="inlineStr">
        <is>
          <t>Cryotech</t>
        </is>
      </c>
      <c r="I9" s="2" t="inlineStr">
        <is>
          <t>KQLCNT chính NMNĐ Vĩnh Tân 4</t>
        </is>
      </c>
    </row>
    <row r="10">
      <c r="A10" s="3" t="n">
        <v>6</v>
      </c>
      <c r="B10" s="3" t="inlineStr">
        <is>
          <t>Bình Khí NO</t>
        </is>
      </c>
      <c r="C10" s="3" t="inlineStr">
        <is>
          <t>Bình</t>
        </is>
      </c>
      <c r="D10" s="3" t="n">
        <v>37141200</v>
      </c>
      <c r="E10" s="3" t="n">
        <v>34390000</v>
      </c>
      <c r="F10" s="3" t="inlineStr">
        <is>
          <t>IB2600096765</t>
        </is>
      </c>
      <c r="G10" s="3" t="inlineStr">
        <is>
          <t>03/04/2026</t>
        </is>
      </c>
      <c r="H10" s="3" t="inlineStr">
        <is>
          <t>CSL</t>
        </is>
      </c>
      <c r="I10" s="3" t="inlineStr">
        <is>
          <t>KQLCNT chính NMNĐ Vĩnh Tân 4</t>
        </is>
      </c>
    </row>
    <row r="11">
      <c r="A11" s="2" t="n">
        <v>7</v>
      </c>
      <c r="B11" s="2" t="inlineStr">
        <is>
          <t>Bình và khí Span SO2</t>
        </is>
      </c>
      <c r="C11" s="2" t="inlineStr">
        <is>
          <t>Bình</t>
        </is>
      </c>
      <c r="D11" s="2" t="n">
        <v>29721600</v>
      </c>
      <c r="E11" s="2" t="n">
        <v>27520000</v>
      </c>
      <c r="F11" s="2" t="inlineStr">
        <is>
          <t>IB2600096765</t>
        </is>
      </c>
      <c r="G11" s="2" t="inlineStr">
        <is>
          <t>03/04/2026</t>
        </is>
      </c>
      <c r="H11" s="2" t="inlineStr">
        <is>
          <t>CSL</t>
        </is>
      </c>
      <c r="I11" s="2" t="inlineStr">
        <is>
          <t>KQLCNT chính NMNĐ Vĩnh Tân 4</t>
        </is>
      </c>
    </row>
    <row r="12">
      <c r="A12" s="3" t="n">
        <v>8</v>
      </c>
      <c r="B12" s="3" t="inlineStr">
        <is>
          <t>Acetone Merck Chai 1000ml</t>
        </is>
      </c>
      <c r="C12" s="3" t="inlineStr">
        <is>
          <t>Chai</t>
        </is>
      </c>
      <c r="D12" s="3" t="n">
        <v>399600</v>
      </c>
      <c r="E12" s="3" t="n">
        <v>370000</v>
      </c>
      <c r="F12" s="3" t="inlineStr">
        <is>
          <t>IB2600096765</t>
        </is>
      </c>
      <c r="G12" s="3" t="inlineStr">
        <is>
          <t>03/04/2026</t>
        </is>
      </c>
      <c r="H12" s="3" t="inlineStr">
        <is>
          <t>Merck</t>
        </is>
      </c>
      <c r="I12" s="3" t="inlineStr">
        <is>
          <t>KQLCNT chính NMNĐ Vĩnh Tân 4</t>
        </is>
      </c>
    </row>
    <row r="13">
      <c r="A13" s="2" t="n">
        <v>9</v>
      </c>
      <c r="B13" s="2" t="inlineStr">
        <is>
          <t>Toluen Merck Chai 1000ml</t>
        </is>
      </c>
      <c r="C13" s="2" t="inlineStr">
        <is>
          <t>Chai</t>
        </is>
      </c>
      <c r="D13" s="2" t="n">
        <v>421200</v>
      </c>
      <c r="E13" s="2" t="n">
        <v>390000</v>
      </c>
      <c r="F13" s="2" t="inlineStr">
        <is>
          <t>IB2600096765</t>
        </is>
      </c>
      <c r="G13" s="2" t="inlineStr">
        <is>
          <t>03/04/2026</t>
        </is>
      </c>
      <c r="H13" s="2" t="inlineStr">
        <is>
          <t>Merck</t>
        </is>
      </c>
      <c r="I13" s="2" t="inlineStr">
        <is>
          <t>KQLCNT chính NMNĐ Vĩnh Tân 4</t>
        </is>
      </c>
    </row>
    <row r="14">
      <c r="A14" s="3" t="n">
        <v>10</v>
      </c>
      <c r="B14" s="3" t="inlineStr">
        <is>
          <t>Methanol 99.8%</t>
        </is>
      </c>
      <c r="C14" s="3" t="inlineStr">
        <is>
          <t>Lít</t>
        </is>
      </c>
      <c r="D14" s="3" t="n">
        <v>43200</v>
      </c>
      <c r="E14" s="3" t="n">
        <v>40000</v>
      </c>
      <c r="F14" s="3" t="inlineStr">
        <is>
          <t>IB2600096765</t>
        </is>
      </c>
      <c r="G14" s="3" t="inlineStr">
        <is>
          <t>03/04/2026</t>
        </is>
      </c>
      <c r="H14" s="3" t="inlineStr">
        <is>
          <t>Brunei Methanol</t>
        </is>
      </c>
      <c r="I14" s="3" t="inlineStr">
        <is>
          <t>KQLCNT chính NMNĐ Vĩnh Tân 4</t>
        </is>
      </c>
    </row>
    <row r="15">
      <c r="A15" s="2" t="n">
        <v>11</v>
      </c>
      <c r="B15" s="2" t="inlineStr">
        <is>
          <t>Hóa chất EDTA Merck 100g</t>
        </is>
      </c>
      <c r="C15" s="2" t="inlineStr">
        <is>
          <t>Chai</t>
        </is>
      </c>
      <c r="D15" s="2" t="n">
        <v>1371600</v>
      </c>
      <c r="E15" s="2" t="n">
        <v>1270000</v>
      </c>
      <c r="F15" s="2" t="inlineStr">
        <is>
          <t>IB2600096765</t>
        </is>
      </c>
      <c r="G15" s="2" t="inlineStr">
        <is>
          <t>03/04/2026</t>
        </is>
      </c>
      <c r="H15" s="2" t="inlineStr">
        <is>
          <t>Merck</t>
        </is>
      </c>
      <c r="I15" s="2" t="inlineStr">
        <is>
          <t>KQLCNT chính NMNĐ Vĩnh Tân 4</t>
        </is>
      </c>
    </row>
    <row r="16">
      <c r="A16" s="3" t="n">
        <v>12</v>
      </c>
      <c r="B16" s="3" t="inlineStr">
        <is>
          <t>Sắt (III) Clorua FeCl3 40%</t>
        </is>
      </c>
      <c r="C16" s="3" t="inlineStr">
        <is>
          <t>Kg</t>
        </is>
      </c>
      <c r="D16" s="3" t="n">
        <v>6480</v>
      </c>
      <c r="E16" s="3" t="n">
        <v>6000</v>
      </c>
      <c r="F16" s="3" t="inlineStr">
        <is>
          <t>IB2600096765</t>
        </is>
      </c>
      <c r="G16" s="3" t="inlineStr">
        <is>
          <t>03/04/2026</t>
        </is>
      </c>
      <c r="H16" s="3" t="inlineStr">
        <is>
          <t>Vũ Hoàng</t>
        </is>
      </c>
      <c r="I16" s="3" t="inlineStr">
        <is>
          <t>KQLCNT chính NMNĐ Vĩnh Tân 4</t>
        </is>
      </c>
    </row>
    <row r="17">
      <c r="A17" s="2" t="n">
        <v>13</v>
      </c>
      <c r="B17" s="2" t="inlineStr">
        <is>
          <t>Acid chlohydride 36-37% Merck</t>
        </is>
      </c>
      <c r="C17" s="2" t="inlineStr">
        <is>
          <t>Chai</t>
        </is>
      </c>
      <c r="D17" s="2" t="n">
        <v>648000</v>
      </c>
      <c r="E17" s="2" t="n">
        <v>600000</v>
      </c>
      <c r="F17" s="2" t="inlineStr">
        <is>
          <t>IB2600096765</t>
        </is>
      </c>
      <c r="G17" s="2" t="inlineStr">
        <is>
          <t>03/04/2026</t>
        </is>
      </c>
      <c r="H17" s="2" t="inlineStr">
        <is>
          <t>Merck</t>
        </is>
      </c>
      <c r="I17" s="2" t="inlineStr">
        <is>
          <t>KQLCNT chính NMNĐ Vĩnh Tân 4</t>
        </is>
      </c>
    </row>
    <row r="18">
      <c r="A18" s="3" t="n">
        <v>14</v>
      </c>
      <c r="B18" s="3" t="inlineStr">
        <is>
          <t>Natri hydroxit NaOH Merck 1000g</t>
        </is>
      </c>
      <c r="C18" s="3" t="inlineStr">
        <is>
          <t>Chai</t>
        </is>
      </c>
      <c r="D18" s="3" t="n">
        <v>1166400</v>
      </c>
      <c r="E18" s="3" t="n">
        <v>1080000</v>
      </c>
      <c r="F18" s="3" t="inlineStr">
        <is>
          <t>IB2600096765</t>
        </is>
      </c>
      <c r="G18" s="3" t="inlineStr">
        <is>
          <t>03/04/2026</t>
        </is>
      </c>
      <c r="H18" s="3" t="inlineStr">
        <is>
          <t>Merck</t>
        </is>
      </c>
      <c r="I18" s="3" t="inlineStr">
        <is>
          <t>KQLCNT chính NMNĐ Vĩnh Tân 4</t>
        </is>
      </c>
    </row>
    <row r="19">
      <c r="A19" s="2" t="n">
        <v>15</v>
      </c>
      <c r="B19" s="2" t="inlineStr">
        <is>
          <t>Dịch vụ thuê tàu biển quan trắc xa bờ</t>
        </is>
      </c>
      <c r="C19" s="2" t="inlineStr">
        <is>
          <t>Chuyến</t>
        </is>
      </c>
      <c r="D19" s="2" t="n">
        <v>16200000</v>
      </c>
      <c r="E19" s="2" t="n">
        <v>15000000</v>
      </c>
      <c r="F19" s="2" t="inlineStr">
        <is>
          <t>HĐ_TAU_01</t>
        </is>
      </c>
      <c r="G19" s="2" t="inlineStr">
        <is>
          <t>15/01/2026</t>
        </is>
      </c>
      <c r="H19" s="2" t="inlineStr">
        <is>
          <t>Công ty CP Dịch vụ Hàng hải</t>
        </is>
      </c>
      <c r="I19" s="2" t="inlineStr">
        <is>
          <t>Hợp đồng nguyên tắc &amp; 3 báo giá</t>
        </is>
      </c>
    </row>
    <row r="20">
      <c r="A20" s="3" t="n">
        <v>16</v>
      </c>
      <c r="B20" s="3" t="inlineStr">
        <is>
          <t>Lắp dựng giàn giáo sàn thao tác ống khói</t>
        </is>
      </c>
      <c r="C20" s="3" t="inlineStr">
        <is>
          <t>Điểm</t>
        </is>
      </c>
      <c r="D20" s="3" t="n">
        <v>21600000</v>
      </c>
      <c r="E20" s="3" t="n">
        <v>20000000</v>
      </c>
      <c r="F20" s="3" t="inlineStr">
        <is>
          <t>BG_SCAFFOLD</t>
        </is>
      </c>
      <c r="G20" s="3" t="inlineStr">
        <is>
          <t>20/01/2026</t>
        </is>
      </c>
      <c r="H20" s="3" t="inlineStr">
        <is>
          <t>Công ty Xây lắp Nhiệt điện</t>
        </is>
      </c>
      <c r="I20" s="3" t="inlineStr">
        <is>
          <t>Định mức BXD TT 12/2021 &amp; 3 báo giá</t>
        </is>
      </c>
    </row>
    <row r="21">
      <c r="A21" s="2" t="n">
        <v>17</v>
      </c>
      <c r="B21" s="2" t="inlineStr">
        <is>
          <t>Vận chuyển mẫu bảo quản lạnh hỏa tốc</t>
        </is>
      </c>
      <c r="C21" s="2" t="inlineStr">
        <is>
          <t>Đợt</t>
        </is>
      </c>
      <c r="D21" s="2" t="n">
        <v>4320000</v>
      </c>
      <c r="E21" s="2" t="n">
        <v>4000000</v>
      </c>
      <c r="F21" s="2" t="inlineStr">
        <is>
          <t>BG_EXPRESS</t>
        </is>
      </c>
      <c r="G21" s="2" t="inlineStr">
        <is>
          <t>10/02/2026</t>
        </is>
      </c>
      <c r="H21" s="2" t="inlineStr">
        <is>
          <t>Viettel Post Express</t>
        </is>
      </c>
      <c r="I21" s="2" t="inlineStr">
        <is>
          <t>Hợp đồng cung ứng dịch vụ hỏa tốc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2026-10-29T07:37:42Z</dcterms:created>
  <dcterms:modified xmlns:dcterms="http://purl.org/dc/terms/" xmlns:xsi="http://www.w3.org/2001/XMLSchema-instance" xsi:type="dcterms:W3CDTF">2026-10-29T07:37:42Z</dcterms:modified>
</cp:coreProperties>
</file>