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KhoiLuong_253" sheetId="1" state="visible" r:id="rId1"/>
    <sheet xmlns:r="http://schemas.openxmlformats.org/officeDocument/2006/relationships" name="02_NhanCong_TT20" sheetId="2" state="visible" r:id="rId2"/>
    <sheet xmlns:r="http://schemas.openxmlformats.org/officeDocument/2006/relationships" name="03_VatLieu_HoaChat" sheetId="3" state="visible" r:id="rId3"/>
    <sheet xmlns:r="http://schemas.openxmlformats.org/officeDocument/2006/relationships" name="04_DungCu_BHLD" sheetId="4" state="visible" r:id="rId4"/>
    <sheet xmlns:r="http://schemas.openxmlformats.org/officeDocument/2006/relationships" name="05_ThietBi_CaMay" sheetId="5" state="visible" r:id="rId5"/>
    <sheet xmlns:r="http://schemas.openxmlformats.org/officeDocument/2006/relationships" name="06_DonGia_NhanCong" sheetId="6" state="visible" r:id="rId6"/>
    <sheet xmlns:r="http://schemas.openxmlformats.org/officeDocument/2006/relationships" name="07_DonGia_VatLieu" sheetId="7" state="visible" r:id="rId7"/>
    <sheet xmlns:r="http://schemas.openxmlformats.org/officeDocument/2006/relationships" name="08_DonGia_DC_TB" sheetId="8" state="visible" r:id="rId8"/>
    <sheet xmlns:r="http://schemas.openxmlformats.org/officeDocument/2006/relationships" name="09_ChiPhi_GianTiep_K4.5" sheetId="9" state="visible" r:id="rId9"/>
    <sheet xmlns:r="http://schemas.openxmlformats.org/officeDocument/2006/relationships" name="10_TongHop_3_KichBa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F8FAFC"/>
        <bgColor rgb="00F8FAF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FEF3C7"/>
        <bgColor rgb="00FEF3C7"/>
      </patternFill>
    </fill>
    <fill>
      <patternFill patternType="solid">
        <fgColor rgb="00B45309"/>
        <bgColor rgb="00B45309"/>
      </patternFill>
    </fill>
    <fill>
      <patternFill patternType="solid">
        <fgColor rgb="00334155"/>
        <bgColor rgb="0033415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6" borderId="1" pivotButton="0" quotePrefix="0" xfId="0"/>
    <xf numFmtId="0" fontId="2" fillId="0" borderId="1" pivotButton="0" quotePrefix="0" xfId="0"/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1" customWidth="1" min="3" max="3"/>
    <col width="45" customWidth="1" min="4" max="4"/>
    <col width="45" customWidth="1" min="5" max="5"/>
    <col width="18" customWidth="1" min="6" max="6"/>
    <col width="12" customWidth="1" min="7" max="7"/>
    <col width="11" customWidth="1" min="8" max="8"/>
    <col width="19" customWidth="1" min="9" max="9"/>
    <col width="45" customWidth="1" min="10" max="10"/>
  </cols>
  <sheetData>
    <row r="1">
      <c r="A1" t="inlineStr">
        <is>
          <t>BẢNG TỔNG HỢP KHỐI LƯỢNG QUAN TRẮC MÔI TRƯỜNG NĂM 2026 - NMNĐ VĨNH TÂN 4</t>
        </is>
      </c>
    </row>
    <row r="2">
      <c r="A2" t="inlineStr">
        <is>
          <t>(Căn cứ: Quyết định số 1155/QĐ-NĐVT4 và Phụ lục 1 Phương án Kỹ thuật gồm 253 dòng công việc)</t>
        </is>
      </c>
    </row>
    <row r="3"/>
    <row r="4">
      <c r="A4" s="1" t="inlineStr">
        <is>
          <t>STT</t>
        </is>
      </c>
      <c r="B4" s="1" t="inlineStr">
        <is>
          <t>Mã Gộp TT20</t>
        </is>
      </c>
      <c r="C4" s="1" t="inlineStr">
        <is>
          <t>Học Phần</t>
        </is>
      </c>
      <c r="D4" s="1" t="inlineStr">
        <is>
          <t>Môi Trường</t>
        </is>
      </c>
      <c r="E4" s="1" t="inlineStr">
        <is>
          <t>Tên Thông Số Quan Trắc</t>
        </is>
      </c>
      <c r="F4" s="1" t="inlineStr">
        <is>
          <t>ĐVT</t>
        </is>
      </c>
      <c r="G4" s="1" t="inlineStr">
        <is>
          <t>Số Vị Trí</t>
        </is>
      </c>
      <c r="H4" s="1" t="inlineStr">
        <is>
          <t>Số Lần</t>
        </is>
      </c>
      <c r="I4" s="1" t="inlineStr">
        <is>
          <t>Số Lượng Mẫu (N)</t>
        </is>
      </c>
      <c r="J4" s="1" t="inlineStr">
        <is>
          <t>Vị Trí Quan Trắc</t>
        </is>
      </c>
    </row>
    <row r="5">
      <c r="A5" s="2" t="inlineStr">
        <is>
          <t>1</t>
        </is>
      </c>
      <c r="B5" s="2" t="inlineStr">
        <is>
          <t>KK1a</t>
        </is>
      </c>
      <c r="C5" s="2" t="inlineStr">
        <is>
          <t>II.1</t>
        </is>
      </c>
      <c r="D5" s="2" t="inlineStr">
        <is>
          <t>Giám sát không khí xung quanh</t>
        </is>
      </c>
      <c r="E5" s="2" t="inlineStr">
        <is>
          <t>Nhiệt độ</t>
        </is>
      </c>
      <c r="F5" s="2" t="inlineStr">
        <is>
          <t>0C</t>
        </is>
      </c>
      <c r="G5" s="2" t="n">
        <v>5</v>
      </c>
      <c r="H5" s="2" t="n">
        <v>2</v>
      </c>
      <c r="I5" s="2" t="n">
        <v>10</v>
      </c>
      <c r="J5" s="2" t="inlineStr">
        <is>
          <t>K1 – Tại trung tâm nhà máy K2 – Tại khu dân cư xóm 7, phía Tây khu vực dự án K3 – Tại UBND xã Vĩnh Tân K4 – Trên đường Quốc Lộ 1A K5 – Tại đường vào Bãi xỉ số 1 Tần suất quan trắc: 06 tháng/lần</t>
        </is>
      </c>
    </row>
    <row r="6">
      <c r="A6" s="3" t="inlineStr">
        <is>
          <t>2</t>
        </is>
      </c>
      <c r="B6" s="3" t="inlineStr">
        <is>
          <t>KK1b</t>
        </is>
      </c>
      <c r="C6" s="3" t="inlineStr">
        <is>
          <t>II.1</t>
        </is>
      </c>
      <c r="D6" s="3" t="inlineStr">
        <is>
          <t>Giám sát không khí xung quanh</t>
        </is>
      </c>
      <c r="E6" s="3" t="inlineStr">
        <is>
          <t>Độ ẩm</t>
        </is>
      </c>
      <c r="F6" s="3" t="inlineStr">
        <is>
          <t>%</t>
        </is>
      </c>
      <c r="G6" s="3" t="n">
        <v>5</v>
      </c>
      <c r="H6" s="3" t="n">
        <v>2</v>
      </c>
      <c r="I6" s="3" t="n">
        <v>10</v>
      </c>
      <c r="J6" s="3" t="inlineStr">
        <is>
          <t>K1 – Tại trung tâm nhà máy K2 – Tại khu dân cư xóm 7, phía Tây khu vực dự án K3 – Tại UBND xã Vĩnh Tân K4 – Trên đường Quốc Lộ 1A K5 – Tại đường vào Bãi xỉ số 1 Tần suất quan trắc: 06 tháng/lần</t>
        </is>
      </c>
    </row>
    <row r="7">
      <c r="A7" s="2" t="inlineStr">
        <is>
          <t>3</t>
        </is>
      </c>
      <c r="B7" s="2" t="inlineStr">
        <is>
          <t>KK2b</t>
        </is>
      </c>
      <c r="C7" s="2" t="inlineStr">
        <is>
          <t>II.1</t>
        </is>
      </c>
      <c r="D7" s="2" t="inlineStr">
        <is>
          <t>Giám sát không khí xung quanh</t>
        </is>
      </c>
      <c r="E7" s="2" t="inlineStr">
        <is>
          <t>Hướng gió</t>
        </is>
      </c>
      <c r="F7" s="2" t="inlineStr">
        <is>
          <t>-</t>
        </is>
      </c>
      <c r="G7" s="2" t="n">
        <v>5</v>
      </c>
      <c r="H7" s="2" t="n">
        <v>2</v>
      </c>
      <c r="I7" s="2" t="n">
        <v>10</v>
      </c>
      <c r="J7" s="2" t="inlineStr">
        <is>
          <t>K1 – Tại trung tâm nhà máy K2 – Tại khu dân cư xóm 7, phía Tây khu vực dự án K3 – Tại UBND xã Vĩnh Tân K4 – Trên đường Quốc Lộ 1A K5 – Tại đường vào Bãi xỉ số 1 Tần suất quan trắc: 06 tháng/lần</t>
        </is>
      </c>
    </row>
    <row r="8">
      <c r="A8" s="3" t="inlineStr">
        <is>
          <t>4</t>
        </is>
      </c>
      <c r="B8" s="3" t="inlineStr">
        <is>
          <t>KK2a</t>
        </is>
      </c>
      <c r="C8" s="3" t="inlineStr">
        <is>
          <t>II.1</t>
        </is>
      </c>
      <c r="D8" s="3" t="inlineStr">
        <is>
          <t>Giám sát không khí xung quanh</t>
        </is>
      </c>
      <c r="E8" s="3" t="inlineStr">
        <is>
          <t>Tốc độ gió</t>
        </is>
      </c>
      <c r="F8" s="3" t="inlineStr">
        <is>
          <t>m/s</t>
        </is>
      </c>
      <c r="G8" s="3" t="n">
        <v>5</v>
      </c>
      <c r="H8" s="3" t="n">
        <v>2</v>
      </c>
      <c r="I8" s="3" t="n">
        <v>10</v>
      </c>
      <c r="J8" s="3" t="inlineStr">
        <is>
          <t>K1 – Tại trung tâm nhà máy K2 – Tại khu dân cư xóm 7, phía Tây khu vực dự án K3 – Tại UBND xã Vĩnh Tân K4 – Trên đường Quốc Lộ 1A K5 – Tại đường vào Bãi xỉ số 1 Tần suất quan trắc: 06 tháng/lần</t>
        </is>
      </c>
    </row>
    <row r="9">
      <c r="A9" s="2" t="inlineStr">
        <is>
          <t>5</t>
        </is>
      </c>
      <c r="B9" s="2" t="inlineStr">
        <is>
          <t>TO1a</t>
        </is>
      </c>
      <c r="C9" s="2" t="inlineStr">
        <is>
          <t>II.1</t>
        </is>
      </c>
      <c r="D9" s="2" t="inlineStr">
        <is>
          <t>Giám sát không khí xung quanh</t>
        </is>
      </c>
      <c r="E9" s="2" t="inlineStr">
        <is>
          <t>Tiếng ồn</t>
        </is>
      </c>
      <c r="F9" s="2" t="inlineStr">
        <is>
          <t>dBA</t>
        </is>
      </c>
      <c r="G9" s="2" t="n">
        <v>5</v>
      </c>
      <c r="H9" s="2" t="n">
        <v>2</v>
      </c>
      <c r="I9" s="2" t="n">
        <v>10</v>
      </c>
      <c r="J9" s="2" t="inlineStr">
        <is>
          <t>K1 – Tại trung tâm nhà máy K2 – Tại khu dân cư xóm 7, phía Tây khu vực dự án K3 – Tại UBND xã Vĩnh Tân K4 – Trên đường Quốc Lộ 1A K5 – Tại đường vào Bãi xỉ số 1 Tần suất quan trắc: 06 tháng/lần</t>
        </is>
      </c>
    </row>
    <row r="10">
      <c r="A10" s="3" t="inlineStr">
        <is>
          <t>6</t>
        </is>
      </c>
      <c r="B10" s="3" t="inlineStr">
        <is>
          <t>ĐR01</t>
        </is>
      </c>
      <c r="C10" s="3" t="inlineStr">
        <is>
          <t>II.1</t>
        </is>
      </c>
      <c r="D10" s="3" t="inlineStr">
        <is>
          <t>Giám sát không khí xung quanh</t>
        </is>
      </c>
      <c r="E10" s="3" t="inlineStr">
        <is>
          <t>Độ rung</t>
        </is>
      </c>
      <c r="F10" s="3" t="inlineStr">
        <is>
          <t>dB</t>
        </is>
      </c>
      <c r="G10" s="3" t="n">
        <v>5</v>
      </c>
      <c r="H10" s="3" t="n">
        <v>2</v>
      </c>
      <c r="I10" s="3" t="n">
        <v>10</v>
      </c>
      <c r="J10" s="3" t="inlineStr">
        <is>
          <t>K1 – Tại trung tâm nhà máy K2 – Tại khu dân cư xóm 7, phía Tây khu vực dự án K3 – Tại UBND xã Vĩnh Tân K4 – Trên đường Quốc Lộ 1A K5 – Tại đường vào Bãi xỉ số 1 Tần suất quan trắc: 06 tháng/lần</t>
        </is>
      </c>
    </row>
    <row r="11">
      <c r="A11" s="2" t="inlineStr">
        <is>
          <t>7</t>
        </is>
      </c>
      <c r="B11" s="2" t="inlineStr">
        <is>
          <t>KK4a</t>
        </is>
      </c>
      <c r="C11" s="2" t="inlineStr">
        <is>
          <t>II.1</t>
        </is>
      </c>
      <c r="D11" s="2" t="inlineStr">
        <is>
          <t>Giám sát không khí xung quanh</t>
        </is>
      </c>
      <c r="E11" s="2" t="inlineStr">
        <is>
          <t>Tổng bụi lơ lửng</t>
        </is>
      </c>
      <c r="F11" s="2" t="inlineStr">
        <is>
          <t>µg/Nm3</t>
        </is>
      </c>
      <c r="G11" s="2" t="n">
        <v>5</v>
      </c>
      <c r="H11" s="2" t="n">
        <v>2</v>
      </c>
      <c r="I11" s="2" t="n">
        <v>10</v>
      </c>
      <c r="J11" s="2" t="inlineStr">
        <is>
          <t>K1 – Tại trung tâm nhà máy K2 – Tại khu dân cư xóm 7, phía Tây khu vực dự án K3 – Tại UBND xã Vĩnh Tân K4 – Trên đường Quốc Lộ 1A K5 – Tại đường vào Bãi xỉ số 1 Tần suất quan trắc: 06 tháng/lần</t>
        </is>
      </c>
    </row>
    <row r="12">
      <c r="A12" s="3" t="inlineStr">
        <is>
          <t>8</t>
        </is>
      </c>
      <c r="B12" s="3" t="inlineStr">
        <is>
          <t>KK4c</t>
        </is>
      </c>
      <c r="C12" s="3" t="inlineStr">
        <is>
          <t>II.1</t>
        </is>
      </c>
      <c r="D12" s="3" t="inlineStr">
        <is>
          <t>Giám sát không khí xung quanh</t>
        </is>
      </c>
      <c r="E12" s="3" t="inlineStr">
        <is>
          <t>Bụi PM10</t>
        </is>
      </c>
      <c r="F12" s="3" t="inlineStr">
        <is>
          <t>µg/Nm3</t>
        </is>
      </c>
      <c r="G12" s="3" t="n">
        <v>5</v>
      </c>
      <c r="H12" s="3" t="n">
        <v>2</v>
      </c>
      <c r="I12" s="3" t="n">
        <v>10</v>
      </c>
      <c r="J12" s="3" t="inlineStr">
        <is>
          <t>K1 – Tại trung tâm nhà máy K2 – Tại khu dân cư xóm 7, phía Tây khu vực dự án K3 – Tại UBND xã Vĩnh Tân K4 – Trên đường Quốc Lộ 1A K5 – Tại đường vào Bãi xỉ số 1 Tần suất quan trắc: 06 tháng/lần</t>
        </is>
      </c>
    </row>
    <row r="13">
      <c r="A13" s="2" t="inlineStr">
        <is>
          <t>9</t>
        </is>
      </c>
      <c r="B13" s="2" t="inlineStr">
        <is>
          <t>KK7</t>
        </is>
      </c>
      <c r="C13" s="2" t="inlineStr">
        <is>
          <t>II.1</t>
        </is>
      </c>
      <c r="D13" s="2" t="inlineStr">
        <is>
          <t>Giám sát không khí xung quanh</t>
        </is>
      </c>
      <c r="E13" s="2" t="inlineStr">
        <is>
          <t>SO 2</t>
        </is>
      </c>
      <c r="F13" s="2" t="inlineStr">
        <is>
          <t>µg/Nm3</t>
        </is>
      </c>
      <c r="G13" s="2" t="n">
        <v>5</v>
      </c>
      <c r="H13" s="2" t="n">
        <v>2</v>
      </c>
      <c r="I13" s="2" t="n">
        <v>10</v>
      </c>
      <c r="J13" s="2" t="inlineStr">
        <is>
          <t>K1 – Tại trung tâm nhà máy K2 – Tại khu dân cư xóm 7, phía Tây khu vực dự án K3 – Tại UBND xã Vĩnh Tân K4 – Trên đường Quốc Lộ 1A K5 – Tại đường vào Bãi xỉ số 1 Tần suất quan trắc: 06 tháng/lần</t>
        </is>
      </c>
    </row>
    <row r="14">
      <c r="A14" s="3" t="inlineStr">
        <is>
          <t>10</t>
        </is>
      </c>
      <c r="B14" s="3" t="inlineStr">
        <is>
          <t>KK6</t>
        </is>
      </c>
      <c r="C14" s="3" t="inlineStr">
        <is>
          <t>II.1</t>
        </is>
      </c>
      <c r="D14" s="3" t="inlineStr">
        <is>
          <t>Giám sát không khí xung quanh</t>
        </is>
      </c>
      <c r="E14" s="3" t="inlineStr">
        <is>
          <t>NO 2</t>
        </is>
      </c>
      <c r="F14" s="3" t="inlineStr">
        <is>
          <t>µg/Nm3</t>
        </is>
      </c>
      <c r="G14" s="3" t="n">
        <v>5</v>
      </c>
      <c r="H14" s="3" t="n">
        <v>2</v>
      </c>
      <c r="I14" s="3" t="n">
        <v>10</v>
      </c>
      <c r="J14" s="3" t="inlineStr">
        <is>
          <t>K1 – Tại trung tâm nhà máy K2 – Tại khu dân cư xóm 7, phía Tây khu vực dự án K3 – Tại UBND xã Vĩnh Tân K4 – Trên đường Quốc Lộ 1A K5 – Tại đường vào Bãi xỉ số 1 Tần suất quan trắc: 06 tháng/lần</t>
        </is>
      </c>
    </row>
    <row r="15">
      <c r="A15" s="2" t="inlineStr">
        <is>
          <t>11</t>
        </is>
      </c>
      <c r="B15" s="2" t="inlineStr">
        <is>
          <t>KK5a</t>
        </is>
      </c>
      <c r="C15" s="2" t="inlineStr">
        <is>
          <t>II.1</t>
        </is>
      </c>
      <c r="D15" s="2" t="inlineStr">
        <is>
          <t>Giám sát không khí xung quanh</t>
        </is>
      </c>
      <c r="E15" s="2" t="inlineStr">
        <is>
          <t>CO</t>
        </is>
      </c>
      <c r="F15" s="2" t="inlineStr">
        <is>
          <t>µg/Nm3</t>
        </is>
      </c>
      <c r="G15" s="2" t="n">
        <v>5</v>
      </c>
      <c r="H15" s="2" t="n">
        <v>2</v>
      </c>
      <c r="I15" s="2" t="n">
        <v>10</v>
      </c>
      <c r="J15" s="2" t="inlineStr">
        <is>
          <t>K1 – Tại trung tâm nhà máy K2 – Tại khu dân cư xóm 7, phía Tây khu vực dự án K3 – Tại UBND xã Vĩnh Tân K4 – Trên đường Quốc Lộ 1A K5 – Tại đường vào Bãi xỉ số 1 Tần suất quan trắc: 06 tháng/lần</t>
        </is>
      </c>
    </row>
    <row r="16">
      <c r="A16" s="3" t="inlineStr">
        <is>
          <t>1</t>
        </is>
      </c>
      <c r="B16" s="3" t="inlineStr">
        <is>
          <t>NT5b</t>
        </is>
      </c>
      <c r="C16" s="3" t="inlineStr">
        <is>
          <t>II.9</t>
        </is>
      </c>
      <c r="D16" s="3" t="inlineStr">
        <is>
          <t>Nước thải kênh thoát nước làm mát chung</t>
        </is>
      </c>
      <c r="E16" s="3" t="inlineStr">
        <is>
          <t>COD</t>
        </is>
      </c>
      <c r="F16" s="3" t="inlineStr">
        <is>
          <t>mg/l</t>
        </is>
      </c>
      <c r="G16" s="3" t="n">
        <v>1</v>
      </c>
      <c r="H16" s="3" t="n">
        <v>4</v>
      </c>
      <c r="I16" s="3" t="n">
        <v>4</v>
      </c>
      <c r="J16" s="3" t="inlineStr">
        <is>
          <t>NT1: Tại cuối kênh hở thoát nước làm mát chung của NMNĐ Vĩnh Tân 4 và Vĩnh Tân 4 mở rộng trước khi xả ra biển Tần suất quan trắc: 03 tháng/lần</t>
        </is>
      </c>
    </row>
    <row r="17">
      <c r="A17" s="2" t="inlineStr">
        <is>
          <t>2</t>
        </is>
      </c>
      <c r="B17" s="2" t="inlineStr">
        <is>
          <t>NT6</t>
        </is>
      </c>
      <c r="C17" s="2" t="inlineStr">
        <is>
          <t>II.9</t>
        </is>
      </c>
      <c r="D17" s="2" t="inlineStr">
        <is>
          <t>Nước thải kênh thoát nước làm mát chung</t>
        </is>
      </c>
      <c r="E17" s="2" t="inlineStr">
        <is>
          <t>TSS</t>
        </is>
      </c>
      <c r="F17" s="2" t="inlineStr">
        <is>
          <t>mg/l</t>
        </is>
      </c>
      <c r="G17" s="2" t="n">
        <v>1</v>
      </c>
      <c r="H17" s="2" t="n">
        <v>4</v>
      </c>
      <c r="I17" s="2" t="n">
        <v>4</v>
      </c>
      <c r="J17" s="2" t="inlineStr">
        <is>
          <t>NT1: Tại cuối kênh hở thoát nước làm mát chung của NMNĐ Vĩnh Tân 4 và Vĩnh Tân 4 mở rộng trước khi xả ra biển Tần suất quan trắc: 03 tháng/lần</t>
        </is>
      </c>
    </row>
    <row r="18">
      <c r="A18" s="3" t="inlineStr">
        <is>
          <t>3</t>
        </is>
      </c>
      <c r="B18" s="3" t="inlineStr">
        <is>
          <t>NT2</t>
        </is>
      </c>
      <c r="C18" s="3" t="inlineStr">
        <is>
          <t>II.9</t>
        </is>
      </c>
      <c r="D18" s="3" t="inlineStr">
        <is>
          <t>Nước thải kênh thoát nước làm mát chung</t>
        </is>
      </c>
      <c r="E18" s="3" t="inlineStr">
        <is>
          <t>Photphat (PO 3- 4 tính theo Nitơ)</t>
        </is>
      </c>
      <c r="F18" s="3" t="inlineStr">
        <is>
          <t>mg/l</t>
        </is>
      </c>
      <c r="G18" s="3" t="n">
        <v>1</v>
      </c>
      <c r="H18" s="3" t="n">
        <v>4</v>
      </c>
      <c r="I18" s="3" t="n">
        <v>4</v>
      </c>
      <c r="J18" s="3" t="inlineStr">
        <is>
          <t>NT1: Tại cuối kênh hở thoát nước làm mát chung của NMNĐ Vĩnh Tân 4 và Vĩnh Tân 4 mở rộng trước khi xả ra biển Tần suất quan trắc: 03 tháng/lần</t>
        </is>
      </c>
    </row>
    <row r="19">
      <c r="A19" s="2" t="inlineStr">
        <is>
          <t>4</t>
        </is>
      </c>
      <c r="B19" s="2" t="inlineStr">
        <is>
          <t>NT10h</t>
        </is>
      </c>
      <c r="C19" s="2" t="inlineStr">
        <is>
          <t>II.9</t>
        </is>
      </c>
      <c r="D19" s="2" t="inlineStr">
        <is>
          <t>Nước thải kênh thoát nước làm mát chung</t>
        </is>
      </c>
      <c r="E19" s="2" t="inlineStr">
        <is>
          <t>Fluoride</t>
        </is>
      </c>
      <c r="F19" s="2" t="inlineStr">
        <is>
          <t>mg/l</t>
        </is>
      </c>
      <c r="G19" s="2" t="n">
        <v>1</v>
      </c>
      <c r="H19" s="2" t="n">
        <v>4</v>
      </c>
      <c r="I19" s="2" t="n">
        <v>4</v>
      </c>
      <c r="J19" s="2" t="inlineStr">
        <is>
          <t>NT1: Tại cuối kênh hở thoát nước làm mát chung của NMNĐ Vĩnh Tân 4 và Vĩnh Tân 4 mở rộng trước khi xả ra biển Tần suất quan trắc: 03 tháng/lần</t>
        </is>
      </c>
    </row>
    <row r="20">
      <c r="A20" s="3" t="inlineStr">
        <is>
          <t>5</t>
        </is>
      </c>
      <c r="B20" s="3" t="inlineStr">
        <is>
          <t>NT10l1</t>
        </is>
      </c>
      <c r="C20" s="3" t="inlineStr">
        <is>
          <t>II.9</t>
        </is>
      </c>
      <c r="D20" s="3" t="inlineStr">
        <is>
          <t>Nước thải kênh thoát nước làm mát chung</t>
        </is>
      </c>
      <c r="E20" s="3" t="inlineStr">
        <is>
          <t>Asen</t>
        </is>
      </c>
      <c r="F20" s="3" t="inlineStr">
        <is>
          <t>mg/l</t>
        </is>
      </c>
      <c r="G20" s="3" t="n">
        <v>1</v>
      </c>
      <c r="H20" s="3" t="n">
        <v>4</v>
      </c>
      <c r="I20" s="3" t="n">
        <v>4</v>
      </c>
      <c r="J20" s="3" t="inlineStr">
        <is>
          <t>NT1: Tại cuối kênh hở thoát nước làm mát chung của NMNĐ Vĩnh Tân 4 và Vĩnh Tân 4 mở rộng trước khi xả ra biển Tần suất quan trắc: 03 tháng/lần</t>
        </is>
      </c>
    </row>
    <row r="21">
      <c r="A21" s="2" t="inlineStr">
        <is>
          <t>6</t>
        </is>
      </c>
      <c r="B21" s="2" t="inlineStr">
        <is>
          <t>NT10l2</t>
        </is>
      </c>
      <c r="C21" s="2" t="inlineStr">
        <is>
          <t>II.9</t>
        </is>
      </c>
      <c r="D21" s="2" t="inlineStr">
        <is>
          <t>Nước thải kênh thoát nước làm mát chung</t>
        </is>
      </c>
      <c r="E21" s="2" t="inlineStr">
        <is>
          <t>Thủy ngân (Hg)</t>
        </is>
      </c>
      <c r="F21" s="2" t="inlineStr">
        <is>
          <t>mg/l</t>
        </is>
      </c>
      <c r="G21" s="2" t="n">
        <v>1</v>
      </c>
      <c r="H21" s="2" t="n">
        <v>4</v>
      </c>
      <c r="I21" s="2" t="n">
        <v>4</v>
      </c>
      <c r="J21" s="2" t="inlineStr">
        <is>
          <t>NT1: Tại cuối kênh hở thoát nước làm mát chung của NMNĐ Vĩnh Tân 4 và Vĩnh Tân 4 mở rộng trước khi xả ra biển Tần suất quan trắc: 03 tháng/lần</t>
        </is>
      </c>
    </row>
    <row r="22">
      <c r="A22" s="3" t="inlineStr">
        <is>
          <t>7</t>
        </is>
      </c>
      <c r="B22" s="3" t="inlineStr">
        <is>
          <t>NT10k1</t>
        </is>
      </c>
      <c r="C22" s="3" t="inlineStr">
        <is>
          <t>II.9</t>
        </is>
      </c>
      <c r="D22" s="3" t="inlineStr">
        <is>
          <t>Nước thải kênh thoát nước làm mát chung</t>
        </is>
      </c>
      <c r="E22" s="3" t="inlineStr">
        <is>
          <t>Chì</t>
        </is>
      </c>
      <c r="F22" s="3" t="inlineStr">
        <is>
          <t>mg/l</t>
        </is>
      </c>
      <c r="G22" s="3" t="n">
        <v>1</v>
      </c>
      <c r="H22" s="3" t="n">
        <v>4</v>
      </c>
      <c r="I22" s="3" t="n">
        <v>4</v>
      </c>
      <c r="J22" s="3" t="inlineStr">
        <is>
          <t>NT1: Tại cuối kênh hở thoát nước làm mát chung của NMNĐ Vĩnh Tân 4 và Vĩnh Tân 4 mở rộng trước khi xả ra biển Tần suất quan trắc: 03 tháng/lần</t>
        </is>
      </c>
    </row>
    <row r="23">
      <c r="A23" s="2" t="inlineStr">
        <is>
          <t>8</t>
        </is>
      </c>
      <c r="B23" s="2" t="inlineStr">
        <is>
          <t>NT10k2</t>
        </is>
      </c>
      <c r="C23" s="2" t="inlineStr">
        <is>
          <t>II.9</t>
        </is>
      </c>
      <c r="D23" s="2" t="inlineStr">
        <is>
          <t>Nước thải kênh thoát nước làm mát chung</t>
        </is>
      </c>
      <c r="E23" s="2" t="inlineStr">
        <is>
          <t>Cadimi</t>
        </is>
      </c>
      <c r="F23" s="2" t="inlineStr">
        <is>
          <t>mg/l</t>
        </is>
      </c>
      <c r="G23" s="2" t="n">
        <v>1</v>
      </c>
      <c r="H23" s="2" t="n">
        <v>4</v>
      </c>
      <c r="I23" s="2" t="n">
        <v>4</v>
      </c>
      <c r="J23" s="2" t="inlineStr">
        <is>
          <t>NT1: Tại cuối kênh hở thoát nước làm mát chung của NMNĐ Vĩnh Tân 4 và Vĩnh Tân 4 mở rộng trước khi xả ra biển Tần suất quan trắc: 03 tháng/lần</t>
        </is>
      </c>
    </row>
    <row r="24">
      <c r="A24" s="3" t="inlineStr">
        <is>
          <t>9</t>
        </is>
      </c>
      <c r="B24" s="3" t="inlineStr">
        <is>
          <t>NT10đ</t>
        </is>
      </c>
      <c r="C24" s="3" t="inlineStr">
        <is>
          <t>II.9</t>
        </is>
      </c>
      <c r="D24" s="3" t="inlineStr">
        <is>
          <t>Nước thải kênh thoát nước làm mát chung</t>
        </is>
      </c>
      <c r="E24" s="3" t="inlineStr">
        <is>
          <t>Crom (VI)</t>
        </is>
      </c>
      <c r="F24" s="3" t="inlineStr">
        <is>
          <t>mg/l</t>
        </is>
      </c>
      <c r="G24" s="3" t="n">
        <v>1</v>
      </c>
      <c r="H24" s="3" t="n">
        <v>4</v>
      </c>
      <c r="I24" s="3" t="n">
        <v>4</v>
      </c>
      <c r="J24" s="3" t="inlineStr">
        <is>
          <t>NT1: Tại cuối kênh hở thoát nước làm mát chung của NMNĐ Vĩnh Tân 4 và Vĩnh Tân 4 mở rộng trước khi xả ra biển Tần suất quan trắc: 03 tháng/lần</t>
        </is>
      </c>
    </row>
    <row r="25">
      <c r="A25" s="2" t="inlineStr">
        <is>
          <t>10</t>
        </is>
      </c>
      <c r="B25" s="2" t="inlineStr">
        <is>
          <t>NT10m5</t>
        </is>
      </c>
      <c r="C25" s="2" t="inlineStr">
        <is>
          <t>II.9</t>
        </is>
      </c>
      <c r="D25" s="2" t="inlineStr">
        <is>
          <t>Nước thải kênh thoát nước làm mát chung</t>
        </is>
      </c>
      <c r="E25" s="2" t="inlineStr">
        <is>
          <t>Tổng Crom</t>
        </is>
      </c>
      <c r="F25" s="2" t="inlineStr">
        <is>
          <t>mg/l</t>
        </is>
      </c>
      <c r="G25" s="2" t="n">
        <v>1</v>
      </c>
      <c r="H25" s="2" t="n">
        <v>4</v>
      </c>
      <c r="I25" s="2" t="n">
        <v>4</v>
      </c>
      <c r="J25" s="2" t="inlineStr">
        <is>
          <t>NT1: Tại cuối kênh hở thoát nước làm mát chung của NMNĐ Vĩnh Tân 4 và Vĩnh Tân 4 mở rộng trước khi xả ra biển Tần suất quan trắc: 03 tháng/lần</t>
        </is>
      </c>
    </row>
    <row r="26">
      <c r="A26" s="3" t="inlineStr">
        <is>
          <t>11</t>
        </is>
      </c>
      <c r="B26" s="3" t="inlineStr">
        <is>
          <t>NT10m1</t>
        </is>
      </c>
      <c r="C26" s="3" t="inlineStr">
        <is>
          <t>II.9</t>
        </is>
      </c>
      <c r="D26" s="3" t="inlineStr">
        <is>
          <t>Nước thải kênh thoát nước làm mát chung</t>
        </is>
      </c>
      <c r="E26" s="3" t="inlineStr">
        <is>
          <t>Đồng</t>
        </is>
      </c>
      <c r="F26" s="3" t="inlineStr">
        <is>
          <t>mg/l</t>
        </is>
      </c>
      <c r="G26" s="3" t="n">
        <v>1</v>
      </c>
      <c r="H26" s="3" t="n">
        <v>4</v>
      </c>
      <c r="I26" s="3" t="n">
        <v>4</v>
      </c>
      <c r="J26" s="3" t="inlineStr">
        <is>
          <t>NT1: Tại cuối kênh hở thoát nước làm mát chung của NMNĐ Vĩnh Tân 4 và Vĩnh Tân 4 mở rộng trước khi xả ra biển Tần suất quan trắc: 03 tháng/lần</t>
        </is>
      </c>
    </row>
    <row r="27">
      <c r="A27" s="2" t="inlineStr">
        <is>
          <t>12</t>
        </is>
      </c>
      <c r="B27" s="2" t="inlineStr">
        <is>
          <t>NT10m2</t>
        </is>
      </c>
      <c r="C27" s="2" t="inlineStr">
        <is>
          <t>II.9</t>
        </is>
      </c>
      <c r="D27" s="2" t="inlineStr">
        <is>
          <t>Nước thải kênh thoát nước làm mát chung</t>
        </is>
      </c>
      <c r="E27" s="2" t="inlineStr">
        <is>
          <t>Kẽm</t>
        </is>
      </c>
      <c r="F27" s="2" t="inlineStr">
        <is>
          <t>mg/l</t>
        </is>
      </c>
      <c r="G27" s="2" t="n">
        <v>1</v>
      </c>
      <c r="H27" s="2" t="n">
        <v>4</v>
      </c>
      <c r="I27" s="2" t="n">
        <v>4</v>
      </c>
      <c r="J27" s="2" t="inlineStr">
        <is>
          <t>NT1: Tại cuối kênh hở thoát nước làm mát chung của NMNĐ Vĩnh Tân 4 và Vĩnh Tân 4 mở rộng trước khi xả ra biển Tần suất quan trắc: 03 tháng/lần</t>
        </is>
      </c>
    </row>
    <row r="28">
      <c r="A28" s="3" t="inlineStr">
        <is>
          <t>13</t>
        </is>
      </c>
      <c r="B28" s="3" t="inlineStr">
        <is>
          <t>NT10m3</t>
        </is>
      </c>
      <c r="C28" s="3" t="inlineStr">
        <is>
          <t>II.9</t>
        </is>
      </c>
      <c r="D28" s="3" t="inlineStr">
        <is>
          <t>Nước thải kênh thoát nước làm mát chung</t>
        </is>
      </c>
      <c r="E28" s="3" t="inlineStr">
        <is>
          <t>Mangan</t>
        </is>
      </c>
      <c r="F28" s="3" t="inlineStr">
        <is>
          <t>mg/l</t>
        </is>
      </c>
      <c r="G28" s="3" t="n">
        <v>1</v>
      </c>
      <c r="H28" s="3" t="n">
        <v>4</v>
      </c>
      <c r="I28" s="3" t="n">
        <v>4</v>
      </c>
      <c r="J28" s="3" t="inlineStr">
        <is>
          <t>NT1: Tại cuối kênh hở thoát nước làm mát chung của NMNĐ Vĩnh Tân 4 và Vĩnh Tân 4 mở rộng trước khi xả ra biển Tần suất quan trắc: 03 tháng/lần</t>
        </is>
      </c>
    </row>
    <row r="29">
      <c r="A29" s="2" t="inlineStr">
        <is>
          <t>14</t>
        </is>
      </c>
      <c r="B29" s="2" t="inlineStr">
        <is>
          <t>NT10m4</t>
        </is>
      </c>
      <c r="C29" s="2" t="inlineStr">
        <is>
          <t>II.9</t>
        </is>
      </c>
      <c r="D29" s="2" t="inlineStr">
        <is>
          <t>Nước thải kênh thoát nước làm mát chung</t>
        </is>
      </c>
      <c r="E29" s="2" t="inlineStr">
        <is>
          <t>Sắt</t>
        </is>
      </c>
      <c r="F29" s="2" t="inlineStr">
        <is>
          <t>mg/l</t>
        </is>
      </c>
      <c r="G29" s="2" t="n">
        <v>1</v>
      </c>
      <c r="H29" s="2" t="n">
        <v>4</v>
      </c>
      <c r="I29" s="2" t="n">
        <v>4</v>
      </c>
      <c r="J29" s="2" t="inlineStr">
        <is>
          <t>NT1: Tại cuối kênh hở thoát nước làm mát chung của NMNĐ Vĩnh Tân 4 và Vĩnh Tân 4 mở rộng trước khi xả ra biển Tần suất quan trắc: 03 tháng/lần</t>
        </is>
      </c>
    </row>
    <row r="30">
      <c r="A30" s="3" t="inlineStr">
        <is>
          <t>15</t>
        </is>
      </c>
      <c r="B30" s="3" t="inlineStr">
        <is>
          <t>NT9</t>
        </is>
      </c>
      <c r="C30" s="3" t="inlineStr">
        <is>
          <t>II.9</t>
        </is>
      </c>
      <c r="D30" s="3" t="inlineStr">
        <is>
          <t>Nước thải kênh thoát nước làm mát chung</t>
        </is>
      </c>
      <c r="E30" s="3" t="inlineStr">
        <is>
          <t>Xyanua</t>
        </is>
      </c>
      <c r="F30" s="3" t="inlineStr">
        <is>
          <t>mg/l</t>
        </is>
      </c>
      <c r="G30" s="3" t="n">
        <v>1</v>
      </c>
      <c r="H30" s="3" t="n">
        <v>4</v>
      </c>
      <c r="I30" s="3" t="n">
        <v>4</v>
      </c>
      <c r="J30" s="3" t="inlineStr">
        <is>
          <t>NT1: Tại cuối kênh hở thoát nước làm mát chung của NMNĐ Vĩnh Tân 4 và Vĩnh Tân 4 mở rộng trước khi xả ra biển Tần suất quan trắc: 03 tháng/lần</t>
        </is>
      </c>
    </row>
    <row r="31">
      <c r="A31" s="2" t="inlineStr">
        <is>
          <t>16</t>
        </is>
      </c>
      <c r="B31" s="2" t="inlineStr">
        <is>
          <t>NT8</t>
        </is>
      </c>
      <c r="C31" s="2" t="inlineStr">
        <is>
          <t>II.9</t>
        </is>
      </c>
      <c r="D31" s="2" t="inlineStr">
        <is>
          <t>Nước thải kênh thoát nước làm mát chung</t>
        </is>
      </c>
      <c r="E31" s="2" t="inlineStr">
        <is>
          <t>Dầu mỡ khoáng</t>
        </is>
      </c>
      <c r="F31" s="2" t="inlineStr">
        <is>
          <t>mg/l</t>
        </is>
      </c>
      <c r="G31" s="2" t="n">
        <v>1</v>
      </c>
      <c r="H31" s="2" t="n">
        <v>4</v>
      </c>
      <c r="I31" s="2" t="n">
        <v>4</v>
      </c>
      <c r="J31" s="2" t="inlineStr">
        <is>
          <t>NT1: Tại cuối kênh hở thoát nước làm mát chung của NMNĐ Vĩnh Tân 4 và Vĩnh Tân 4 mở rộng trước khi xả ra biển Tần suất quan trắc: 03 tháng/lần</t>
        </is>
      </c>
    </row>
    <row r="32">
      <c r="A32" s="3" t="inlineStr">
        <is>
          <t>17</t>
        </is>
      </c>
      <c r="B32" s="3" t="inlineStr">
        <is>
          <t>NT2</t>
        </is>
      </c>
      <c r="C32" s="3" t="inlineStr">
        <is>
          <t>II.9</t>
        </is>
      </c>
      <c r="D32" s="3" t="inlineStr">
        <is>
          <t>Nước thải kênh thoát nước làm mát chung</t>
        </is>
      </c>
      <c r="E32" s="3" t="inlineStr">
        <is>
          <t>Tổng phenol</t>
        </is>
      </c>
      <c r="F32" s="3" t="inlineStr">
        <is>
          <t>mg/l</t>
        </is>
      </c>
      <c r="G32" s="3" t="n">
        <v>1</v>
      </c>
      <c r="H32" s="3" t="n">
        <v>4</v>
      </c>
      <c r="I32" s="3" t="n">
        <v>4</v>
      </c>
      <c r="J32" s="3" t="inlineStr">
        <is>
          <t>NT1: Tại cuối kênh hở thoát nước làm mát chung của NMNĐ Vĩnh Tân 4 và Vĩnh Tân 4 mở rộng trước khi xả ra biển Tần suất quan trắc: 03 tháng/lần</t>
        </is>
      </c>
    </row>
    <row r="33">
      <c r="A33" s="2" t="inlineStr">
        <is>
          <t>18</t>
        </is>
      </c>
      <c r="B33" s="2" t="inlineStr">
        <is>
          <t>NT7a</t>
        </is>
      </c>
      <c r="C33" s="2" t="inlineStr">
        <is>
          <t>II.9</t>
        </is>
      </c>
      <c r="D33" s="2" t="inlineStr">
        <is>
          <t>Nước thải kênh thoát nước làm mát chung</t>
        </is>
      </c>
      <c r="E33" s="2" t="inlineStr">
        <is>
          <t>Coliform</t>
        </is>
      </c>
      <c r="F33" s="2" t="inlineStr">
        <is>
          <t>Vi khuẩn/ 100ml</t>
        </is>
      </c>
      <c r="G33" s="2" t="n">
        <v>1</v>
      </c>
      <c r="H33" s="2" t="n">
        <v>4</v>
      </c>
      <c r="I33" s="2" t="n">
        <v>4</v>
      </c>
      <c r="J33" s="2" t="inlineStr">
        <is>
          <t>NT1: Tại cuối kênh hở thoát nước làm mát chung của NMNĐ Vĩnh Tân 4 và Vĩnh Tân 4 mở rộng trước khi xả ra biển Tần suất quan trắc: 03 tháng/lần</t>
        </is>
      </c>
    </row>
    <row r="34">
      <c r="A34" s="3" t="inlineStr">
        <is>
          <t>1</t>
        </is>
      </c>
      <c r="B34" s="3" t="inlineStr">
        <is>
          <t>NT4b</t>
        </is>
      </c>
      <c r="C34" s="3" t="inlineStr">
        <is>
          <t>II.9</t>
        </is>
      </c>
      <c r="D34" s="3" t="inlineStr">
        <is>
          <t>Giám sát nước thải HTXLNT tập trung</t>
        </is>
      </c>
      <c r="E34" s="3" t="inlineStr">
        <is>
          <t>Màu</t>
        </is>
      </c>
      <c r="F34" s="3" t="inlineStr">
        <is>
          <t>mg/l</t>
        </is>
      </c>
      <c r="G34" s="3" t="n">
        <v>1</v>
      </c>
      <c r="H34" s="3" t="n">
        <v>4</v>
      </c>
      <c r="I34" s="3" t="n">
        <v>4</v>
      </c>
      <c r="J34" s="3" t="inlineStr">
        <is>
          <t>NT2: Tại bể chứa nước thải sau xử lý từ hệ thống xử lý nước thải tập trung</t>
        </is>
      </c>
    </row>
    <row r="35">
      <c r="A35" s="2" t="inlineStr">
        <is>
          <t>2</t>
        </is>
      </c>
      <c r="B35" s="2" t="inlineStr">
        <is>
          <t>NT5a</t>
        </is>
      </c>
      <c r="C35" s="2" t="inlineStr">
        <is>
          <t>II.9</t>
        </is>
      </c>
      <c r="D35" s="2" t="inlineStr">
        <is>
          <t>Giám sát nước thải HTXLNT tập trung</t>
        </is>
      </c>
      <c r="E35" s="2" t="inlineStr">
        <is>
          <t>BOD5 (20°C)</t>
        </is>
      </c>
      <c r="F35" s="2" t="inlineStr">
        <is>
          <t>mg/l</t>
        </is>
      </c>
      <c r="G35" s="2" t="n">
        <v>1</v>
      </c>
      <c r="H35" s="2" t="n">
        <v>4</v>
      </c>
      <c r="I35" s="2" t="n">
        <v>4</v>
      </c>
      <c r="J35" s="2" t="inlineStr">
        <is>
          <t>NT2: Tại bể chứa nước thải sau xử lý từ hệ thống xử lý nước thải tập trung</t>
        </is>
      </c>
    </row>
    <row r="36">
      <c r="A36" s="3" t="inlineStr">
        <is>
          <t>3</t>
        </is>
      </c>
      <c r="B36" s="3" t="inlineStr">
        <is>
          <t>NT10l1</t>
        </is>
      </c>
      <c r="C36" s="3" t="inlineStr">
        <is>
          <t>II.9</t>
        </is>
      </c>
      <c r="D36" s="3" t="inlineStr">
        <is>
          <t>Giám sát nước thải HTXLNT tập trung</t>
        </is>
      </c>
      <c r="E36" s="3" t="inlineStr">
        <is>
          <t>Asen</t>
        </is>
      </c>
      <c r="F36" s="3" t="inlineStr">
        <is>
          <t>mg/l</t>
        </is>
      </c>
      <c r="G36" s="3" t="n">
        <v>1</v>
      </c>
      <c r="H36" s="3" t="n">
        <v>4</v>
      </c>
      <c r="I36" s="3" t="n">
        <v>4</v>
      </c>
      <c r="J36" s="3" t="inlineStr">
        <is>
          <t>NT2: Tại bể chứa nước thải sau xử lý từ hệ thống xử lý nước thải tập trung</t>
        </is>
      </c>
    </row>
    <row r="37">
      <c r="A37" s="2" t="inlineStr">
        <is>
          <t>4</t>
        </is>
      </c>
      <c r="B37" s="2" t="inlineStr">
        <is>
          <t>NT10l2</t>
        </is>
      </c>
      <c r="C37" s="2" t="inlineStr">
        <is>
          <t>II.9</t>
        </is>
      </c>
      <c r="D37" s="2" t="inlineStr">
        <is>
          <t>Giám sát nước thải HTXLNT tập trung</t>
        </is>
      </c>
      <c r="E37" s="2" t="inlineStr">
        <is>
          <t>Thủy ngân</t>
        </is>
      </c>
      <c r="F37" s="2" t="inlineStr">
        <is>
          <t>mg/l</t>
        </is>
      </c>
      <c r="G37" s="2" t="n">
        <v>1</v>
      </c>
      <c r="H37" s="2" t="n">
        <v>4</v>
      </c>
      <c r="I37" s="2" t="n">
        <v>4</v>
      </c>
      <c r="J37" s="2" t="inlineStr">
        <is>
          <t>Tần suất quan trắc: 03 tháng/lần</t>
        </is>
      </c>
    </row>
    <row r="38">
      <c r="A38" s="3" t="inlineStr">
        <is>
          <t>5</t>
        </is>
      </c>
      <c r="B38" s="3" t="inlineStr">
        <is>
          <t>NT10k1</t>
        </is>
      </c>
      <c r="C38" s="3" t="inlineStr">
        <is>
          <t>II.9</t>
        </is>
      </c>
      <c r="D38" s="3" t="inlineStr">
        <is>
          <t>Giám sát nước thải HTXLNT tập trung</t>
        </is>
      </c>
      <c r="E38" s="3" t="inlineStr">
        <is>
          <t>Chì</t>
        </is>
      </c>
      <c r="F38" s="3" t="inlineStr">
        <is>
          <t>mg/l</t>
        </is>
      </c>
      <c r="G38" s="3" t="n">
        <v>1</v>
      </c>
      <c r="H38" s="3" t="n">
        <v>4</v>
      </c>
      <c r="I38" s="3" t="n">
        <v>4</v>
      </c>
      <c r="J38" s="3" t="inlineStr">
        <is>
          <t>Tần suất quan trắc: 03 tháng/lần</t>
        </is>
      </c>
    </row>
    <row r="39">
      <c r="A39" s="2" t="inlineStr">
        <is>
          <t>6</t>
        </is>
      </c>
      <c r="B39" s="2" t="inlineStr">
        <is>
          <t>NT10k2</t>
        </is>
      </c>
      <c r="C39" s="2" t="inlineStr">
        <is>
          <t>II.9</t>
        </is>
      </c>
      <c r="D39" s="2" t="inlineStr">
        <is>
          <t>Giám sát nước thải HTXLNT tập trung</t>
        </is>
      </c>
      <c r="E39" s="2" t="inlineStr">
        <is>
          <t>Cadimi</t>
        </is>
      </c>
      <c r="F39" s="2" t="inlineStr">
        <is>
          <t>mg/l</t>
        </is>
      </c>
      <c r="G39" s="2" t="n">
        <v>1</v>
      </c>
      <c r="H39" s="2" t="n">
        <v>4</v>
      </c>
      <c r="I39" s="2" t="n">
        <v>4</v>
      </c>
      <c r="J39" s="2" t="inlineStr">
        <is>
          <t>Tần suất quan trắc: 03 tháng/lần</t>
        </is>
      </c>
    </row>
    <row r="40">
      <c r="A40" s="3" t="inlineStr">
        <is>
          <t>7</t>
        </is>
      </c>
      <c r="B40" s="3" t="inlineStr">
        <is>
          <t>NT10m5</t>
        </is>
      </c>
      <c r="C40" s="3" t="inlineStr">
        <is>
          <t>II.9</t>
        </is>
      </c>
      <c r="D40" s="3" t="inlineStr">
        <is>
          <t>Giám sát nước thải HTXLNT tập trung</t>
        </is>
      </c>
      <c r="E40" s="3" t="inlineStr">
        <is>
          <t>Crom (III)</t>
        </is>
      </c>
      <c r="F40" s="3" t="inlineStr">
        <is>
          <t>mg/l</t>
        </is>
      </c>
      <c r="G40" s="3" t="n">
        <v>1</v>
      </c>
      <c r="H40" s="3" t="n">
        <v>4</v>
      </c>
      <c r="I40" s="3" t="n">
        <v>4</v>
      </c>
      <c r="J40" s="3" t="inlineStr">
        <is>
          <t>Tần suất quan trắc: 03 tháng/lần</t>
        </is>
      </c>
    </row>
    <row r="41">
      <c r="A41" s="2" t="inlineStr">
        <is>
          <t>8</t>
        </is>
      </c>
      <c r="B41" s="2" t="inlineStr">
        <is>
          <t>NT10đ</t>
        </is>
      </c>
      <c r="C41" s="2" t="inlineStr">
        <is>
          <t>II.9</t>
        </is>
      </c>
      <c r="D41" s="2" t="inlineStr">
        <is>
          <t>Giám sát nước thải HTXLNT tập trung</t>
        </is>
      </c>
      <c r="E41" s="2" t="inlineStr">
        <is>
          <t>Crom (VI)</t>
        </is>
      </c>
      <c r="F41" s="2" t="inlineStr">
        <is>
          <t>mg/l</t>
        </is>
      </c>
      <c r="G41" s="2" t="n">
        <v>1</v>
      </c>
      <c r="H41" s="2" t="n">
        <v>4</v>
      </c>
      <c r="I41" s="2" t="n">
        <v>4</v>
      </c>
      <c r="J41" s="2" t="inlineStr">
        <is>
          <t>Tần suất quan trắc: 03 tháng/lần</t>
        </is>
      </c>
    </row>
    <row r="42">
      <c r="A42" s="3" t="inlineStr">
        <is>
          <t>9</t>
        </is>
      </c>
      <c r="B42" s="3" t="inlineStr">
        <is>
          <t>NT10m1</t>
        </is>
      </c>
      <c r="C42" s="3" t="inlineStr">
        <is>
          <t>II.9</t>
        </is>
      </c>
      <c r="D42" s="3" t="inlineStr">
        <is>
          <t>Giám sát nước thải HTXLNT tập trung</t>
        </is>
      </c>
      <c r="E42" s="3" t="inlineStr">
        <is>
          <t>Đồng</t>
        </is>
      </c>
      <c r="F42" s="3" t="inlineStr">
        <is>
          <t>mg/l</t>
        </is>
      </c>
      <c r="G42" s="3" t="n">
        <v>1</v>
      </c>
      <c r="H42" s="3" t="n">
        <v>4</v>
      </c>
      <c r="I42" s="3" t="n">
        <v>4</v>
      </c>
      <c r="J42" s="3" t="inlineStr">
        <is>
          <t>Tần suất quan trắc: 03 tháng/lần</t>
        </is>
      </c>
    </row>
    <row r="43">
      <c r="A43" s="2" t="inlineStr">
        <is>
          <t>10</t>
        </is>
      </c>
      <c r="B43" s="2" t="inlineStr">
        <is>
          <t>NT10m2</t>
        </is>
      </c>
      <c r="C43" s="2" t="inlineStr">
        <is>
          <t>II.9</t>
        </is>
      </c>
      <c r="D43" s="2" t="inlineStr">
        <is>
          <t>Giám sát nước thải HTXLNT tập trung</t>
        </is>
      </c>
      <c r="E43" s="2" t="inlineStr">
        <is>
          <t>Kẽm</t>
        </is>
      </c>
      <c r="F43" s="2" t="inlineStr">
        <is>
          <t>mg/l</t>
        </is>
      </c>
      <c r="G43" s="2" t="n">
        <v>1</v>
      </c>
      <c r="H43" s="2" t="n">
        <v>4</v>
      </c>
      <c r="I43" s="2" t="n">
        <v>4</v>
      </c>
      <c r="J43" s="2" t="inlineStr">
        <is>
          <t>Tần suất quan trắc: 03 tháng/lần</t>
        </is>
      </c>
    </row>
    <row r="44">
      <c r="A44" s="3" t="inlineStr">
        <is>
          <t>11</t>
        </is>
      </c>
      <c r="B44" s="3" t="inlineStr">
        <is>
          <t>NT10m6</t>
        </is>
      </c>
      <c r="C44" s="3" t="inlineStr">
        <is>
          <t>II.9</t>
        </is>
      </c>
      <c r="D44" s="3" t="inlineStr">
        <is>
          <t>Giám sát nước thải HTXLNT tập trung</t>
        </is>
      </c>
      <c r="E44" s="3" t="inlineStr">
        <is>
          <t>Niken</t>
        </is>
      </c>
      <c r="F44" s="3" t="inlineStr">
        <is>
          <t>mg/l</t>
        </is>
      </c>
      <c r="G44" s="3" t="n">
        <v>1</v>
      </c>
      <c r="H44" s="3" t="n">
        <v>4</v>
      </c>
      <c r="I44" s="3" t="n">
        <v>4</v>
      </c>
      <c r="J44" s="3" t="inlineStr">
        <is>
          <t>Tần suất quan trắc: 03 tháng/lần</t>
        </is>
      </c>
    </row>
    <row r="45">
      <c r="A45" s="2" t="inlineStr">
        <is>
          <t>12</t>
        </is>
      </c>
      <c r="B45" s="2" t="inlineStr">
        <is>
          <t>NT10m3</t>
        </is>
      </c>
      <c r="C45" s="2" t="inlineStr">
        <is>
          <t>II.9</t>
        </is>
      </c>
      <c r="D45" s="2" t="inlineStr">
        <is>
          <t>Giám sát nước thải HTXLNT tập trung</t>
        </is>
      </c>
      <c r="E45" s="2" t="inlineStr">
        <is>
          <t>Mangan</t>
        </is>
      </c>
      <c r="F45" s="2" t="inlineStr">
        <is>
          <t>mg/l</t>
        </is>
      </c>
      <c r="G45" s="2" t="n">
        <v>1</v>
      </c>
      <c r="H45" s="2" t="n">
        <v>4</v>
      </c>
      <c r="I45" s="2" t="n">
        <v>4</v>
      </c>
      <c r="J45" s="2" t="inlineStr">
        <is>
          <t>Tần suất quan trắc: 03 tháng/lần</t>
        </is>
      </c>
    </row>
    <row r="46">
      <c r="A46" s="3" t="inlineStr">
        <is>
          <t>13</t>
        </is>
      </c>
      <c r="B46" s="3" t="inlineStr">
        <is>
          <t>NT10m4</t>
        </is>
      </c>
      <c r="C46" s="3" t="inlineStr">
        <is>
          <t>II.9</t>
        </is>
      </c>
      <c r="D46" s="3" t="inlineStr">
        <is>
          <t>Giám sát nước thải HTXLNT tập trung</t>
        </is>
      </c>
      <c r="E46" s="3" t="inlineStr">
        <is>
          <t>Sắt</t>
        </is>
      </c>
      <c r="F46" s="3" t="inlineStr">
        <is>
          <t>mg/l</t>
        </is>
      </c>
      <c r="G46" s="3" t="n">
        <v>1</v>
      </c>
      <c r="H46" s="3" t="n">
        <v>4</v>
      </c>
      <c r="I46" s="3" t="n">
        <v>4</v>
      </c>
      <c r="J46" s="3" t="inlineStr">
        <is>
          <t>Tần suất quan trắc: 03 tháng/lần</t>
        </is>
      </c>
    </row>
    <row r="47">
      <c r="A47" s="2" t="inlineStr">
        <is>
          <t>14</t>
        </is>
      </c>
      <c r="B47" s="2" t="inlineStr">
        <is>
          <t>NT9</t>
        </is>
      </c>
      <c r="C47" s="2" t="inlineStr">
        <is>
          <t>II.9</t>
        </is>
      </c>
      <c r="D47" s="2" t="inlineStr">
        <is>
          <t>Giám sát nước thải HTXLNT tập trung</t>
        </is>
      </c>
      <c r="E47" s="2" t="inlineStr">
        <is>
          <t>Tổng xyanua</t>
        </is>
      </c>
      <c r="F47" s="2" t="inlineStr">
        <is>
          <t>mg/l</t>
        </is>
      </c>
      <c r="G47" s="2" t="n">
        <v>1</v>
      </c>
      <c r="H47" s="2" t="n">
        <v>4</v>
      </c>
      <c r="I47" s="2" t="n">
        <v>4</v>
      </c>
      <c r="J47" s="2" t="inlineStr">
        <is>
          <t>Tần suất quan trắc: 03 tháng/lần</t>
        </is>
      </c>
    </row>
    <row r="48">
      <c r="A48" s="3" t="inlineStr">
        <is>
          <t>15</t>
        </is>
      </c>
      <c r="B48" s="3" t="inlineStr">
        <is>
          <t>NT8</t>
        </is>
      </c>
      <c r="C48" s="3" t="inlineStr">
        <is>
          <t>II.9</t>
        </is>
      </c>
      <c r="D48" s="3" t="inlineStr">
        <is>
          <t>Giám sát nước thải HTXLNT tập trung</t>
        </is>
      </c>
      <c r="E48" s="3" t="inlineStr">
        <is>
          <t>Tổng dầu mỡ khoáng</t>
        </is>
      </c>
      <c r="F48" s="3" t="inlineStr">
        <is>
          <t>mg/l</t>
        </is>
      </c>
      <c r="G48" s="3" t="n">
        <v>1</v>
      </c>
      <c r="H48" s="3" t="n">
        <v>4</v>
      </c>
      <c r="I48" s="3" t="n">
        <v>4</v>
      </c>
      <c r="J48" s="3" t="inlineStr">
        <is>
          <t>Tần suất quan trắc: 03 tháng/lần</t>
        </is>
      </c>
    </row>
    <row r="49">
      <c r="A49" s="2" t="inlineStr">
        <is>
          <t>16</t>
        </is>
      </c>
      <c r="B49" s="2" t="inlineStr">
        <is>
          <t>NT10d</t>
        </is>
      </c>
      <c r="C49" s="2" t="inlineStr">
        <is>
          <t>II.9</t>
        </is>
      </c>
      <c r="D49" s="2" t="inlineStr">
        <is>
          <t>Giám sát nước thải HTXLNT tập trung</t>
        </is>
      </c>
      <c r="E49" s="2" t="inlineStr">
        <is>
          <t>Sunfua</t>
        </is>
      </c>
      <c r="F49" s="2" t="inlineStr">
        <is>
          <t>mg/l</t>
        </is>
      </c>
      <c r="G49" s="2" t="n">
        <v>1</v>
      </c>
      <c r="H49" s="2" t="n">
        <v>4</v>
      </c>
      <c r="I49" s="2" t="n">
        <v>4</v>
      </c>
      <c r="J49" s="2" t="inlineStr">
        <is>
          <t>Tần suất quan trắc: 03 tháng/lần</t>
        </is>
      </c>
    </row>
    <row r="50">
      <c r="A50" s="3" t="inlineStr">
        <is>
          <t>17</t>
        </is>
      </c>
      <c r="B50" s="3" t="inlineStr">
        <is>
          <t>NT10b</t>
        </is>
      </c>
      <c r="C50" s="3" t="inlineStr">
        <is>
          <t>II.9</t>
        </is>
      </c>
      <c r="D50" s="3" t="inlineStr">
        <is>
          <t>Giám sát nước thải HTXLNT tập trung</t>
        </is>
      </c>
      <c r="E50" s="3" t="inlineStr">
        <is>
          <t>Tổng Nitơ</t>
        </is>
      </c>
      <c r="F50" s="3" t="inlineStr">
        <is>
          <t>mg/l</t>
        </is>
      </c>
      <c r="G50" s="3" t="n">
        <v>1</v>
      </c>
      <c r="H50" s="3" t="n">
        <v>4</v>
      </c>
      <c r="I50" s="3" t="n">
        <v>4</v>
      </c>
      <c r="J50" s="3" t="inlineStr">
        <is>
          <t>Tần suất quan trắc: 03 tháng/lần</t>
        </is>
      </c>
    </row>
    <row r="51">
      <c r="A51" s="2" t="inlineStr">
        <is>
          <t>18</t>
        </is>
      </c>
      <c r="B51" s="2" t="inlineStr">
        <is>
          <t>NT2</t>
        </is>
      </c>
      <c r="C51" s="2" t="inlineStr">
        <is>
          <t>II.9</t>
        </is>
      </c>
      <c r="D51" s="2" t="inlineStr">
        <is>
          <t>Giám sát nước thải HTXLNT tập trung</t>
        </is>
      </c>
      <c r="E51" s="2" t="inlineStr">
        <is>
          <t>Tổng photpho (tính theo P)</t>
        </is>
      </c>
      <c r="F51" s="2" t="inlineStr">
        <is>
          <t>mg/l</t>
        </is>
      </c>
      <c r="G51" s="2" t="n">
        <v>1</v>
      </c>
      <c r="H51" s="2" t="n">
        <v>4</v>
      </c>
      <c r="I51" s="2" t="n">
        <v>4</v>
      </c>
      <c r="J51" s="2" t="inlineStr">
        <is>
          <t>Tần suất quan trắc: 03 tháng/lần</t>
        </is>
      </c>
    </row>
    <row r="52">
      <c r="A52" s="3" t="inlineStr">
        <is>
          <t>19</t>
        </is>
      </c>
      <c r="B52" s="3" t="inlineStr">
        <is>
          <t>NT10j</t>
        </is>
      </c>
      <c r="C52" s="3" t="inlineStr">
        <is>
          <t>II.9</t>
        </is>
      </c>
      <c r="D52" s="3" t="inlineStr">
        <is>
          <t>Giám sát nước thải HTXLNT tập trung</t>
        </is>
      </c>
      <c r="E52" s="3" t="inlineStr">
        <is>
          <t>Clo dư</t>
        </is>
      </c>
      <c r="F52" s="3" t="inlineStr">
        <is>
          <t>mg/l</t>
        </is>
      </c>
      <c r="G52" s="3" t="n">
        <v>1</v>
      </c>
      <c r="H52" s="3" t="n">
        <v>4</v>
      </c>
      <c r="I52" s="3" t="n">
        <v>4</v>
      </c>
      <c r="J52" s="3" t="inlineStr">
        <is>
          <t>Tần suất quan trắc: 03 tháng/lần</t>
        </is>
      </c>
    </row>
    <row r="53">
      <c r="A53" s="2" t="inlineStr">
        <is>
          <t>20</t>
        </is>
      </c>
      <c r="B53" s="2" t="inlineStr">
        <is>
          <t>NT7a</t>
        </is>
      </c>
      <c r="C53" s="2" t="inlineStr">
        <is>
          <t>II.9</t>
        </is>
      </c>
      <c r="D53" s="2" t="inlineStr">
        <is>
          <t>Giám sát nước thải HTXLNT tập trung</t>
        </is>
      </c>
      <c r="E53" s="2" t="inlineStr">
        <is>
          <t>Coliform</t>
        </is>
      </c>
      <c r="F53" s="2" t="inlineStr">
        <is>
          <t>MPN/100ml</t>
        </is>
      </c>
      <c r="G53" s="2" t="n">
        <v>1</v>
      </c>
      <c r="H53" s="2" t="n">
        <v>4</v>
      </c>
      <c r="I53" s="2" t="n">
        <v>4</v>
      </c>
      <c r="J53" s="2" t="inlineStr">
        <is>
          <t>Tần suất quan trắc: 03 tháng/lần</t>
        </is>
      </c>
    </row>
    <row r="54">
      <c r="A54" s="3" t="inlineStr">
        <is>
          <t>1</t>
        </is>
      </c>
      <c r="B54" s="3" t="inlineStr">
        <is>
          <t>NB16a</t>
        </is>
      </c>
      <c r="C54" s="3" t="inlineStr">
        <is>
          <t>II.6</t>
        </is>
      </c>
      <c r="D54" s="3" t="inlineStr">
        <is>
          <t>Giám sát nước biển trong khu vực nhà máy</t>
        </is>
      </c>
      <c r="E54" s="3" t="inlineStr">
        <is>
          <t>COD</t>
        </is>
      </c>
      <c r="F54" s="3" t="inlineStr">
        <is>
          <t>mg/l</t>
        </is>
      </c>
      <c r="G54" s="3" t="n">
        <v>1</v>
      </c>
      <c r="H54" s="3" t="n">
        <v>4</v>
      </c>
      <c r="I54" s="3" t="n">
        <v>4</v>
      </c>
      <c r="J54" s="3" t="inlineStr">
        <is>
          <t>NB1: Tại công trình khai thác nước biển từ vịnh Vũng Mũ Tần suất quan trắc: 03 tháng/lần</t>
        </is>
      </c>
    </row>
    <row r="55">
      <c r="A55" s="2" t="inlineStr">
        <is>
          <t>2</t>
        </is>
      </c>
      <c r="B55" s="2" t="inlineStr">
        <is>
          <t>NB17a</t>
        </is>
      </c>
      <c r="C55" s="2" t="inlineStr">
        <is>
          <t>II.6</t>
        </is>
      </c>
      <c r="D55" s="2" t="inlineStr">
        <is>
          <t>Giám sát nước biển trong khu vực nhà máy</t>
        </is>
      </c>
      <c r="E55" s="2" t="inlineStr">
        <is>
          <t>TSS</t>
        </is>
      </c>
      <c r="F55" s="2" t="inlineStr">
        <is>
          <t>mg/l</t>
        </is>
      </c>
      <c r="G55" s="2" t="n">
        <v>1</v>
      </c>
      <c r="H55" s="2" t="n">
        <v>4</v>
      </c>
      <c r="I55" s="2" t="n">
        <v>4</v>
      </c>
      <c r="J55" s="2" t="inlineStr">
        <is>
          <t>NB1: Tại công trình khai thác nước biển từ vịnh Vũng Mũ Tần suất quan trắc: 03 tháng/lần</t>
        </is>
      </c>
    </row>
    <row r="56">
      <c r="A56" s="3" t="inlineStr">
        <is>
          <t>3</t>
        </is>
      </c>
      <c r="B56" s="3" t="inlineStr">
        <is>
          <t>NB10</t>
        </is>
      </c>
      <c r="C56" s="3" t="inlineStr">
        <is>
          <t>II.6</t>
        </is>
      </c>
      <c r="D56" s="3" t="inlineStr">
        <is>
          <t>Giám sát nước biển trong khu vực nhà máy</t>
        </is>
      </c>
      <c r="E56" s="3" t="inlineStr">
        <is>
          <t>Phosphat</t>
        </is>
      </c>
      <c r="F56" s="3" t="inlineStr">
        <is>
          <t>mg/l</t>
        </is>
      </c>
      <c r="G56" s="3" t="n">
        <v>1</v>
      </c>
      <c r="H56" s="3" t="n">
        <v>4</v>
      </c>
      <c r="I56" s="3" t="n">
        <v>4</v>
      </c>
      <c r="J56" s="3" t="inlineStr">
        <is>
          <t>NB1: Tại công trình khai thác nước biển từ vịnh Vũng Mũ Tần suất quan trắc: 03 tháng/lần</t>
        </is>
      </c>
    </row>
    <row r="57">
      <c r="A57" s="2" t="inlineStr">
        <is>
          <t>4</t>
        </is>
      </c>
      <c r="B57" s="2" t="inlineStr">
        <is>
          <t>NB15</t>
        </is>
      </c>
      <c r="C57" s="2" t="inlineStr">
        <is>
          <t>II.6</t>
        </is>
      </c>
      <c r="D57" s="2" t="inlineStr">
        <is>
          <t>Giám sát nước biển trong khu vực nhà máy</t>
        </is>
      </c>
      <c r="E57" s="2" t="inlineStr">
        <is>
          <t>Florua</t>
        </is>
      </c>
      <c r="F57" s="2" t="inlineStr">
        <is>
          <t>mg/l</t>
        </is>
      </c>
      <c r="G57" s="2" t="n">
        <v>1</v>
      </c>
      <c r="H57" s="2" t="n">
        <v>4</v>
      </c>
      <c r="I57" s="2" t="n">
        <v>4</v>
      </c>
      <c r="J57" s="2" t="inlineStr">
        <is>
          <t>NB1: Tại công trình khai thác nước biển từ vịnh Vũng Mũ Tần suất quan trắc: 03 tháng/lần</t>
        </is>
      </c>
    </row>
    <row r="58">
      <c r="A58" s="3" t="inlineStr">
        <is>
          <t>5</t>
        </is>
      </c>
      <c r="B58" s="3" t="inlineStr">
        <is>
          <t>NB20</t>
        </is>
      </c>
      <c r="C58" s="3" t="inlineStr">
        <is>
          <t>II.6</t>
        </is>
      </c>
      <c r="D58" s="3" t="inlineStr">
        <is>
          <t>Giám sát nước biển trong khu vực nhà máy</t>
        </is>
      </c>
      <c r="E58" s="3" t="inlineStr">
        <is>
          <t>Xyanua</t>
        </is>
      </c>
      <c r="F58" s="3" t="inlineStr">
        <is>
          <t>mg/l</t>
        </is>
      </c>
      <c r="G58" s="3" t="n">
        <v>1</v>
      </c>
      <c r="H58" s="3" t="n">
        <v>4</v>
      </c>
      <c r="I58" s="3" t="n">
        <v>4</v>
      </c>
      <c r="J58" s="3" t="inlineStr">
        <is>
          <t>NB1: Tại công trình khai thác nước biển từ vịnh Vũng Mũ Tần suất quan trắc: 03 tháng/lần</t>
        </is>
      </c>
    </row>
    <row r="59">
      <c r="A59" s="2" t="inlineStr">
        <is>
          <t>6</t>
        </is>
      </c>
      <c r="B59" s="2" t="inlineStr">
        <is>
          <t>NB21</t>
        </is>
      </c>
      <c r="C59" s="2" t="inlineStr">
        <is>
          <t>II.6</t>
        </is>
      </c>
      <c r="D59" s="2" t="inlineStr">
        <is>
          <t>Giám sát nước biển trong khu vực nhà máy</t>
        </is>
      </c>
      <c r="E59" s="2" t="inlineStr">
        <is>
          <t>Asen</t>
        </is>
      </c>
      <c r="F59" s="2" t="inlineStr">
        <is>
          <t>mg/l</t>
        </is>
      </c>
      <c r="G59" s="2" t="n">
        <v>1</v>
      </c>
      <c r="H59" s="2" t="n">
        <v>4</v>
      </c>
      <c r="I59" s="2" t="n">
        <v>4</v>
      </c>
      <c r="J59" s="2" t="inlineStr">
        <is>
          <t>NB1: Tại công trình khai thác nước biển từ vịnh Vũng Mũ Tần suất quan trắc: 03 tháng/lần</t>
        </is>
      </c>
    </row>
    <row r="60">
      <c r="A60" s="3" t="inlineStr">
        <is>
          <t>7</t>
        </is>
      </c>
      <c r="B60" s="3" t="inlineStr">
        <is>
          <t>NB21</t>
        </is>
      </c>
      <c r="C60" s="3" t="inlineStr">
        <is>
          <t>II.6</t>
        </is>
      </c>
      <c r="D60" s="3" t="inlineStr">
        <is>
          <t>Giám sát nước biển trong khu vực nhà máy</t>
        </is>
      </c>
      <c r="E60" s="3" t="inlineStr">
        <is>
          <t>Cadimi</t>
        </is>
      </c>
      <c r="F60" s="3" t="inlineStr">
        <is>
          <t>mg/l</t>
        </is>
      </c>
      <c r="G60" s="3" t="n">
        <v>1</v>
      </c>
      <c r="H60" s="3" t="n">
        <v>4</v>
      </c>
      <c r="I60" s="3" t="n">
        <v>4</v>
      </c>
      <c r="J60" s="3" t="inlineStr">
        <is>
          <t>NB1: Tại công trình khai thác nước biển từ vịnh Vũng Mũ Tần suất quan trắc: 03 tháng/lần</t>
        </is>
      </c>
    </row>
    <row r="61">
      <c r="A61" s="2" t="inlineStr">
        <is>
          <t>8</t>
        </is>
      </c>
      <c r="B61" s="2" t="inlineStr">
        <is>
          <t>NB21</t>
        </is>
      </c>
      <c r="C61" s="2" t="inlineStr">
        <is>
          <t>II.6</t>
        </is>
      </c>
      <c r="D61" s="2" t="inlineStr">
        <is>
          <t>Giám sát nước biển trong khu vực nhà máy</t>
        </is>
      </c>
      <c r="E61" s="2" t="inlineStr">
        <is>
          <t>Chì</t>
        </is>
      </c>
      <c r="F61" s="2" t="inlineStr">
        <is>
          <t>mg/l</t>
        </is>
      </c>
      <c r="G61" s="2" t="n">
        <v>1</v>
      </c>
      <c r="H61" s="2" t="n">
        <v>4</v>
      </c>
      <c r="I61" s="2" t="n">
        <v>4</v>
      </c>
      <c r="J61" s="2" t="inlineStr">
        <is>
          <t>NB1: Tại công trình khai thác nước biển từ vịnh Vũng Mũ Tần suất quan trắc: 03 tháng/lần</t>
        </is>
      </c>
    </row>
    <row r="62">
      <c r="A62" s="3" t="inlineStr">
        <is>
          <t>9</t>
        </is>
      </c>
      <c r="B62" s="3" t="inlineStr">
        <is>
          <t>NB15h</t>
        </is>
      </c>
      <c r="C62" s="3" t="inlineStr">
        <is>
          <t>II.6</t>
        </is>
      </c>
      <c r="D62" s="3" t="inlineStr">
        <is>
          <t>Giám sát nước biển trong khu vực nhà máy</t>
        </is>
      </c>
      <c r="E62" s="3" t="inlineStr">
        <is>
          <t>Crom (VI)</t>
        </is>
      </c>
      <c r="F62" s="3" t="inlineStr">
        <is>
          <t>mg/l</t>
        </is>
      </c>
      <c r="G62" s="3" t="n">
        <v>1</v>
      </c>
      <c r="H62" s="3" t="n">
        <v>4</v>
      </c>
      <c r="I62" s="3" t="n">
        <v>4</v>
      </c>
      <c r="J62" s="3" t="inlineStr">
        <is>
          <t>NB1: Tại công trình khai thác nước biển từ vịnh Vũng Mũ Tần suất quan trắc: 03 tháng/lần</t>
        </is>
      </c>
    </row>
    <row r="63">
      <c r="A63" s="2" t="inlineStr">
        <is>
          <t>10</t>
        </is>
      </c>
      <c r="B63" s="2" t="inlineStr">
        <is>
          <t>NB21</t>
        </is>
      </c>
      <c r="C63" s="2" t="inlineStr">
        <is>
          <t>II.6</t>
        </is>
      </c>
      <c r="D63" s="2" t="inlineStr">
        <is>
          <t>Giám sát nước biển trong khu vực nhà máy</t>
        </is>
      </c>
      <c r="E63" s="2" t="inlineStr">
        <is>
          <t>Tổng Cr</t>
        </is>
      </c>
      <c r="F63" s="2" t="inlineStr">
        <is>
          <t>mg/l</t>
        </is>
      </c>
      <c r="G63" s="2" t="n">
        <v>1</v>
      </c>
      <c r="H63" s="2" t="n">
        <v>4</v>
      </c>
      <c r="I63" s="2" t="n">
        <v>4</v>
      </c>
      <c r="J63" s="2" t="inlineStr">
        <is>
          <t>NB1: Tại công trình khai thác nước biển từ vịnh Vũng Mũ Tần suất quan trắc: 03 tháng/lần</t>
        </is>
      </c>
    </row>
    <row r="64">
      <c r="A64" s="3" t="inlineStr">
        <is>
          <t>11</t>
        </is>
      </c>
      <c r="B64" s="3" t="inlineStr">
        <is>
          <t>NB21</t>
        </is>
      </c>
      <c r="C64" s="3" t="inlineStr">
        <is>
          <t>II.6</t>
        </is>
      </c>
      <c r="D64" s="3" t="inlineStr">
        <is>
          <t>Giám sát nước biển trong khu vực nhà máy</t>
        </is>
      </c>
      <c r="E64" s="3" t="inlineStr">
        <is>
          <t>Đồng</t>
        </is>
      </c>
      <c r="F64" s="3" t="inlineStr">
        <is>
          <t>mg/l</t>
        </is>
      </c>
      <c r="G64" s="3" t="n">
        <v>1</v>
      </c>
      <c r="H64" s="3" t="n">
        <v>4</v>
      </c>
      <c r="I64" s="3" t="n">
        <v>4</v>
      </c>
      <c r="J64" s="3" t="inlineStr">
        <is>
          <t>NB1: Tại công trình khai thác nước biển từ vịnh Vũng Mũ Tần suất quan trắc: 03 tháng/lần</t>
        </is>
      </c>
    </row>
    <row r="65">
      <c r="A65" s="2" t="inlineStr">
        <is>
          <t>12</t>
        </is>
      </c>
      <c r="B65" s="2" t="inlineStr">
        <is>
          <t>NB21</t>
        </is>
      </c>
      <c r="C65" s="2" t="inlineStr">
        <is>
          <t>II.6</t>
        </is>
      </c>
      <c r="D65" s="2" t="inlineStr">
        <is>
          <t>Giám sát nước biển trong khu vực nhà máy</t>
        </is>
      </c>
      <c r="E65" s="2" t="inlineStr">
        <is>
          <t>Kẽm</t>
        </is>
      </c>
      <c r="F65" s="2" t="inlineStr">
        <is>
          <t>mg/l</t>
        </is>
      </c>
      <c r="G65" s="2" t="n">
        <v>1</v>
      </c>
      <c r="H65" s="2" t="n">
        <v>4</v>
      </c>
      <c r="I65" s="2" t="n">
        <v>4</v>
      </c>
      <c r="J65" s="2" t="inlineStr">
        <is>
          <t>NB1: Tại công trình khai thác nước biển từ vịnh Vũng Mũ Tần suất quan trắc: 03 tháng/lần</t>
        </is>
      </c>
    </row>
    <row r="66">
      <c r="A66" s="3" t="inlineStr">
        <is>
          <t>13</t>
        </is>
      </c>
      <c r="B66" s="3" t="inlineStr">
        <is>
          <t>NB21</t>
        </is>
      </c>
      <c r="C66" s="3" t="inlineStr">
        <is>
          <t>II.6</t>
        </is>
      </c>
      <c r="D66" s="3" t="inlineStr">
        <is>
          <t>Giám sát nước biển trong khu vực nhà máy</t>
        </is>
      </c>
      <c r="E66" s="3" t="inlineStr">
        <is>
          <t>Mangan</t>
        </is>
      </c>
      <c r="F66" s="3" t="inlineStr">
        <is>
          <t>mg/l</t>
        </is>
      </c>
      <c r="G66" s="3" t="n">
        <v>1</v>
      </c>
      <c r="H66" s="3" t="n">
        <v>4</v>
      </c>
      <c r="I66" s="3" t="n">
        <v>4</v>
      </c>
      <c r="J66" s="3" t="inlineStr">
        <is>
          <t>NB1: Tại công trình khai thác nước biển từ vịnh Vũng Mũ Tần suất quan trắc: 03 tháng/lần</t>
        </is>
      </c>
    </row>
    <row r="67">
      <c r="A67" s="2" t="inlineStr">
        <is>
          <t>14</t>
        </is>
      </c>
      <c r="B67" s="2" t="inlineStr">
        <is>
          <t>NB21</t>
        </is>
      </c>
      <c r="C67" s="2" t="inlineStr">
        <is>
          <t>II.6</t>
        </is>
      </c>
      <c r="D67" s="2" t="inlineStr">
        <is>
          <t>Giám sát nước biển trong khu vực nhà máy</t>
        </is>
      </c>
      <c r="E67" s="2" t="inlineStr">
        <is>
          <t>Sắt</t>
        </is>
      </c>
      <c r="F67" s="2" t="inlineStr">
        <is>
          <t>mg/l</t>
        </is>
      </c>
      <c r="G67" s="2" t="n">
        <v>1</v>
      </c>
      <c r="H67" s="2" t="n">
        <v>4</v>
      </c>
      <c r="I67" s="2" t="n">
        <v>4</v>
      </c>
      <c r="J67" s="2" t="inlineStr">
        <is>
          <t>NB1: Tại công trình khai thác nước biển từ vịnh Vũng Mũ Tần suất quan trắc: 03 tháng/lần</t>
        </is>
      </c>
    </row>
    <row r="68">
      <c r="A68" s="3" t="inlineStr">
        <is>
          <t>15</t>
        </is>
      </c>
      <c r="B68" s="3" t="inlineStr">
        <is>
          <t>NB21</t>
        </is>
      </c>
      <c r="C68" s="3" t="inlineStr">
        <is>
          <t>II.6</t>
        </is>
      </c>
      <c r="D68" s="3" t="inlineStr">
        <is>
          <t>Giám sát nước biển trong khu vực nhà máy</t>
        </is>
      </c>
      <c r="E68" s="3" t="inlineStr">
        <is>
          <t>Thủy ngân</t>
        </is>
      </c>
      <c r="F68" s="3" t="inlineStr">
        <is>
          <t>mg/l</t>
        </is>
      </c>
      <c r="G68" s="3" t="n">
        <v>1</v>
      </c>
      <c r="H68" s="3" t="n">
        <v>4</v>
      </c>
      <c r="I68" s="3" t="n">
        <v>4</v>
      </c>
      <c r="J68" s="3" t="inlineStr">
        <is>
          <t>NB1: Tại công trình khai thác nước biển từ vịnh Vũng Mũ Tần suất quan trắc: 03 tháng/lần</t>
        </is>
      </c>
    </row>
    <row r="69">
      <c r="A69" s="2" t="inlineStr">
        <is>
          <t>16</t>
        </is>
      </c>
      <c r="B69" s="2" t="inlineStr">
        <is>
          <t>NB10</t>
        </is>
      </c>
      <c r="C69" s="2" t="inlineStr">
        <is>
          <t>II.6</t>
        </is>
      </c>
      <c r="D69" s="2" t="inlineStr">
        <is>
          <t>Giám sát nước biển trong khu vực nhà máy</t>
        </is>
      </c>
      <c r="E69" s="2" t="inlineStr">
        <is>
          <t>Tổng Phenol</t>
        </is>
      </c>
      <c r="F69" s="2" t="inlineStr">
        <is>
          <t>mg/l</t>
        </is>
      </c>
      <c r="G69" s="2" t="n">
        <v>1</v>
      </c>
      <c r="H69" s="2" t="n">
        <v>4</v>
      </c>
      <c r="I69" s="2" t="n">
        <v>4</v>
      </c>
      <c r="J69" s="2" t="inlineStr">
        <is>
          <t>NB1: Tại công trình khai thác nước biển từ vịnh Vũng Mũ Tần suất quan trắc: 03 tháng/lần</t>
        </is>
      </c>
    </row>
    <row r="70">
      <c r="A70" s="3" t="inlineStr">
        <is>
          <t>17</t>
        </is>
      </c>
      <c r="B70" s="3" t="inlineStr">
        <is>
          <t>NB22</t>
        </is>
      </c>
      <c r="C70" s="3" t="inlineStr">
        <is>
          <t>II.6</t>
        </is>
      </c>
      <c r="D70" s="3" t="inlineStr">
        <is>
          <t>Giám sát nước biển trong khu vực nhà máy</t>
        </is>
      </c>
      <c r="E70" s="3" t="inlineStr">
        <is>
          <t>Tổng dầu mỡ khoáng</t>
        </is>
      </c>
      <c r="F70" s="3" t="inlineStr">
        <is>
          <t>mg/l</t>
        </is>
      </c>
      <c r="G70" s="3" t="n">
        <v>1</v>
      </c>
      <c r="H70" s="3" t="n">
        <v>4</v>
      </c>
      <c r="I70" s="3" t="n">
        <v>4</v>
      </c>
      <c r="J70" s="3" t="inlineStr">
        <is>
          <t>NB1: Tại công trình khai thác nước biển từ vịnh Vũng Mũ Tần suất quan trắc: 03 tháng/lần</t>
        </is>
      </c>
    </row>
    <row r="71">
      <c r="A71" s="2" t="inlineStr">
        <is>
          <t>18</t>
        </is>
      </c>
      <c r="B71" s="2" t="inlineStr">
        <is>
          <t>NB18</t>
        </is>
      </c>
      <c r="C71" s="2" t="inlineStr">
        <is>
          <t>II.6</t>
        </is>
      </c>
      <c r="D71" s="2" t="inlineStr">
        <is>
          <t>Giám sát nước biển trong khu vực nhà máy</t>
        </is>
      </c>
      <c r="E71" s="2" t="inlineStr">
        <is>
          <t>Coliform</t>
        </is>
      </c>
      <c r="F71" s="2" t="inlineStr">
        <is>
          <t>MPN/100ml</t>
        </is>
      </c>
      <c r="G71" s="2" t="n">
        <v>1</v>
      </c>
      <c r="H71" s="2" t="n">
        <v>4</v>
      </c>
      <c r="I71" s="2" t="n">
        <v>4</v>
      </c>
      <c r="J71" s="2" t="inlineStr">
        <is>
          <t>NB1: Tại công trình khai thác nước biển từ vịnh Vũng Mũ Tần suất quan trắc: 03 tháng/lần</t>
        </is>
      </c>
    </row>
    <row r="72">
      <c r="A72" s="3" t="inlineStr">
        <is>
          <t>1</t>
        </is>
      </c>
      <c r="B72" s="3" t="inlineStr">
        <is>
          <t>NB10</t>
        </is>
      </c>
      <c r="C72" s="3" t="inlineStr">
        <is>
          <t>II.6</t>
        </is>
      </c>
      <c r="D72" s="3" t="inlineStr">
        <is>
          <t>Giám sát nước biển ven bờ</t>
        </is>
      </c>
      <c r="E72" s="3" t="inlineStr">
        <is>
          <t>pH</t>
        </is>
      </c>
      <c r="F72" s="3" t="inlineStr">
        <is>
          <t>-</t>
        </is>
      </c>
      <c r="G72" s="3" t="n">
        <v>5</v>
      </c>
      <c r="H72" s="3" t="n">
        <v>2</v>
      </c>
      <c r="I72" s="3" t="n">
        <v>10</v>
      </c>
      <c r="J72" s="3" t="inlineStr">
        <is>
          <t>NM1 – Tại khu vực cảng NM2 – Tại điểm xả nước làm mát ra biển của nhà máy NM3 – Trên biển đông cách điểm</t>
        </is>
      </c>
    </row>
    <row r="73">
      <c r="A73" s="2" t="inlineStr">
        <is>
          <t>2</t>
        </is>
      </c>
      <c r="B73" s="2" t="inlineStr">
        <is>
          <t>NB5</t>
        </is>
      </c>
      <c r="C73" s="2" t="inlineStr">
        <is>
          <t>II.6</t>
        </is>
      </c>
      <c r="D73" s="2" t="inlineStr">
        <is>
          <t>Giám sát nước biển ven bờ</t>
        </is>
      </c>
      <c r="E73" s="2" t="inlineStr">
        <is>
          <t>Nhiệt độ</t>
        </is>
      </c>
      <c r="F73" s="2" t="inlineStr">
        <is>
          <t>0C</t>
        </is>
      </c>
      <c r="G73" s="2" t="n">
        <v>5</v>
      </c>
      <c r="H73" s="2" t="n">
        <v>2</v>
      </c>
      <c r="I73" s="2" t="n">
        <v>10</v>
      </c>
      <c r="J73" s="2" t="inlineStr">
        <is>
          <t>NM1 – Tại khu vực cảng NM2 – Tại điểm xả nước làm mát ra biển của nhà máy NM3 – Trên biển đông cách điểm</t>
        </is>
      </c>
    </row>
    <row r="74">
      <c r="A74" s="3" t="inlineStr">
        <is>
          <t>3</t>
        </is>
      </c>
      <c r="B74" s="3" t="inlineStr">
        <is>
          <t>NB11</t>
        </is>
      </c>
      <c r="C74" s="3" t="inlineStr">
        <is>
          <t>II.6</t>
        </is>
      </c>
      <c r="D74" s="3" t="inlineStr">
        <is>
          <t>Giám sát nước biển ven bờ</t>
        </is>
      </c>
      <c r="E74" s="3" t="inlineStr">
        <is>
          <t>DO</t>
        </is>
      </c>
      <c r="F74" s="3" t="inlineStr">
        <is>
          <t>mg/l</t>
        </is>
      </c>
      <c r="G74" s="3" t="n">
        <v>5</v>
      </c>
      <c r="H74" s="3" t="n">
        <v>2</v>
      </c>
      <c r="I74" s="3" t="n">
        <v>10</v>
      </c>
      <c r="J74" s="3" t="inlineStr">
        <is>
          <t>NM1 – Tại khu vực cảng NM2 – Tại điểm xả nước làm mát ra biển của nhà máy NM3 – Trên biển đông cách điểm</t>
        </is>
      </c>
    </row>
    <row r="75">
      <c r="A75" s="2" t="inlineStr">
        <is>
          <t>4</t>
        </is>
      </c>
      <c r="B75" s="2" t="inlineStr">
        <is>
          <t>NB17a</t>
        </is>
      </c>
      <c r="C75" s="2" t="inlineStr">
        <is>
          <t>II.6</t>
        </is>
      </c>
      <c r="D75" s="2" t="inlineStr">
        <is>
          <t>Giám sát nước biển ven bờ</t>
        </is>
      </c>
      <c r="E75" s="2" t="inlineStr">
        <is>
          <t>Tổng chất rắn lơ</t>
        </is>
      </c>
      <c r="F75" s="2" t="inlineStr">
        <is>
          <t>mg/l</t>
        </is>
      </c>
      <c r="G75" s="2" t="n">
        <v>5</v>
      </c>
      <c r="H75" s="2" t="n">
        <v>2</v>
      </c>
      <c r="I75" s="2" t="n">
        <v>10</v>
      </c>
      <c r="J75" s="2" t="inlineStr">
        <is>
          <t>NM1 – Tại khu vực cảng NM2 – Tại điểm xả nước làm mát ra biển của nhà máy NM3 – Trên biển đông cách điểm</t>
        </is>
      </c>
    </row>
    <row r="76">
      <c r="A76" s="3" t="inlineStr">
        <is>
          <t>5</t>
        </is>
      </c>
      <c r="B76" s="3" t="inlineStr">
        <is>
          <t>NB15</t>
        </is>
      </c>
      <c r="C76" s="3" t="inlineStr">
        <is>
          <t>II.6</t>
        </is>
      </c>
      <c r="D76" s="3" t="inlineStr">
        <is>
          <t>Giám sát nước biển ven bờ</t>
        </is>
      </c>
      <c r="E76" s="3" t="inlineStr">
        <is>
          <t>Amoni (tính theo N)</t>
        </is>
      </c>
      <c r="F76" s="3" t="inlineStr">
        <is>
          <t>mg/l</t>
        </is>
      </c>
      <c r="G76" s="3" t="n">
        <v>5</v>
      </c>
      <c r="H76" s="3" t="n">
        <v>2</v>
      </c>
      <c r="I76" s="3" t="n">
        <v>10</v>
      </c>
      <c r="J76" s="3" t="inlineStr">
        <is>
          <t>NM1 – Tại khu vực cảng NM2 – Tại điểm xả nước làm mát ra biển của nhà máy NM3 – Trên biển đông cách điểm</t>
        </is>
      </c>
    </row>
    <row r="77">
      <c r="A77" s="2" t="inlineStr">
        <is>
          <t>6</t>
        </is>
      </c>
      <c r="B77" s="2" t="inlineStr">
        <is>
          <t>NB10</t>
        </is>
      </c>
      <c r="C77" s="2" t="inlineStr">
        <is>
          <t>II.6</t>
        </is>
      </c>
      <c r="D77" s="2" t="inlineStr">
        <is>
          <t>Giám sát nước biển ven bờ</t>
        </is>
      </c>
      <c r="E77" s="2" t="inlineStr">
        <is>
          <t>Phosphat</t>
        </is>
      </c>
      <c r="F77" s="2" t="inlineStr">
        <is>
          <t>mg/l</t>
        </is>
      </c>
      <c r="G77" s="2" t="n">
        <v>5</v>
      </c>
      <c r="H77" s="2" t="n">
        <v>2</v>
      </c>
      <c r="I77" s="2" t="n">
        <v>10</v>
      </c>
      <c r="J77" s="2" t="inlineStr">
        <is>
          <t>NM1 – Tại khu vực cảng NM2 – Tại điểm xả nước làm mát ra biển của nhà máy NM3 – Trên biển đông cách điểm</t>
        </is>
      </c>
    </row>
    <row r="78">
      <c r="A78" s="3" t="inlineStr">
        <is>
          <t>7</t>
        </is>
      </c>
      <c r="B78" s="3" t="inlineStr">
        <is>
          <t>NB15</t>
        </is>
      </c>
      <c r="C78" s="3" t="inlineStr">
        <is>
          <t>II.6</t>
        </is>
      </c>
      <c r="D78" s="3" t="inlineStr">
        <is>
          <t>Giám sát nước biển ven bờ</t>
        </is>
      </c>
      <c r="E78" s="3" t="inlineStr">
        <is>
          <t>Florua</t>
        </is>
      </c>
      <c r="F78" s="3" t="inlineStr">
        <is>
          <t>mg/l</t>
        </is>
      </c>
      <c r="G78" s="3" t="n">
        <v>5</v>
      </c>
      <c r="H78" s="3" t="n">
        <v>2</v>
      </c>
      <c r="I78" s="3" t="n">
        <v>10</v>
      </c>
      <c r="J78" s="3" t="inlineStr">
        <is>
          <t>NM1 – Tại khu vực cảng NM2 – Tại điểm xả nước làm mát ra biển của nhà máy NM3 – Trên biển đông cách điểm</t>
        </is>
      </c>
    </row>
    <row r="79">
      <c r="A79" s="2" t="inlineStr">
        <is>
          <t>8</t>
        </is>
      </c>
      <c r="B79" s="2" t="inlineStr">
        <is>
          <t>NB20</t>
        </is>
      </c>
      <c r="C79" s="2" t="inlineStr">
        <is>
          <t>II.6</t>
        </is>
      </c>
      <c r="D79" s="2" t="inlineStr">
        <is>
          <t>Giám sát nước biển ven bờ</t>
        </is>
      </c>
      <c r="E79" s="2" t="inlineStr">
        <is>
          <t>Xyanua</t>
        </is>
      </c>
      <c r="F79" s="2" t="inlineStr">
        <is>
          <t>mg/l</t>
        </is>
      </c>
      <c r="G79" s="2" t="n">
        <v>5</v>
      </c>
      <c r="H79" s="2" t="n">
        <v>2</v>
      </c>
      <c r="I79" s="2" t="n">
        <v>10</v>
      </c>
      <c r="J79" s="2" t="inlineStr">
        <is>
          <t>NM1 – Tại khu vực cảng NM2 – Tại điểm xả nước làm mát ra biển của nhà máy NM3 – Trên biển đông cách điểm</t>
        </is>
      </c>
    </row>
    <row r="80">
      <c r="A80" s="3" t="inlineStr">
        <is>
          <t>9</t>
        </is>
      </c>
      <c r="B80" s="3" t="inlineStr">
        <is>
          <t>NB21</t>
        </is>
      </c>
      <c r="C80" s="3" t="inlineStr">
        <is>
          <t>II.6</t>
        </is>
      </c>
      <c r="D80" s="3" t="inlineStr">
        <is>
          <t>Giám sát nước biển ven bờ</t>
        </is>
      </c>
      <c r="E80" s="3" t="inlineStr">
        <is>
          <t>Cd</t>
        </is>
      </c>
      <c r="F80" s="3" t="inlineStr">
        <is>
          <t>mg/l</t>
        </is>
      </c>
      <c r="G80" s="3" t="n">
        <v>5</v>
      </c>
      <c r="H80" s="3" t="n">
        <v>2</v>
      </c>
      <c r="I80" s="3" t="n">
        <v>10</v>
      </c>
      <c r="J80" s="3" t="inlineStr">
        <is>
          <t>NM1 – Tại khu vực cảng NM2 – Tại điểm xả nước làm mát ra biển của nhà máy NM3 – Trên biển đông cách điểm</t>
        </is>
      </c>
    </row>
    <row r="81">
      <c r="A81" s="2" t="inlineStr">
        <is>
          <t>10</t>
        </is>
      </c>
      <c r="B81" s="2" t="inlineStr">
        <is>
          <t>NB21</t>
        </is>
      </c>
      <c r="C81" s="2" t="inlineStr">
        <is>
          <t>II.6</t>
        </is>
      </c>
      <c r="D81" s="2" t="inlineStr">
        <is>
          <t>Giám sát nước biển ven bờ</t>
        </is>
      </c>
      <c r="E81" s="2" t="inlineStr">
        <is>
          <t>As</t>
        </is>
      </c>
      <c r="F81" s="2" t="inlineStr">
        <is>
          <t>mg/l</t>
        </is>
      </c>
      <c r="G81" s="2" t="n">
        <v>5</v>
      </c>
      <c r="H81" s="2" t="n">
        <v>2</v>
      </c>
      <c r="I81" s="2" t="n">
        <v>10</v>
      </c>
      <c r="J81" s="2" t="inlineStr">
        <is>
          <t>NM1 – Tại khu vực cảng NM2 – Tại điểm xả nước làm mát ra biển của nhà máy NM3 – Trên biển đông cách điểm</t>
        </is>
      </c>
    </row>
    <row r="82">
      <c r="A82" s="3" t="inlineStr">
        <is>
          <t>11</t>
        </is>
      </c>
      <c r="B82" s="3" t="inlineStr">
        <is>
          <t>NB21</t>
        </is>
      </c>
      <c r="C82" s="3" t="inlineStr">
        <is>
          <t>II.6</t>
        </is>
      </c>
      <c r="D82" s="3" t="inlineStr">
        <is>
          <t>Giám sát nước biển ven bờ</t>
        </is>
      </c>
      <c r="E82" s="3" t="inlineStr">
        <is>
          <t>Hg</t>
        </is>
      </c>
      <c r="F82" s="3" t="inlineStr">
        <is>
          <t>mg/l</t>
        </is>
      </c>
      <c r="G82" s="3" t="n">
        <v>5</v>
      </c>
      <c r="H82" s="3" t="n">
        <v>2</v>
      </c>
      <c r="I82" s="3" t="n">
        <v>10</v>
      </c>
      <c r="J82" s="3" t="inlineStr">
        <is>
          <t>NM1 – Tại khu vực cảng NM2 – Tại điểm xả nước làm mát ra biển của nhà máy NM3 – Trên biển đông cách điểm</t>
        </is>
      </c>
    </row>
    <row r="83">
      <c r="A83" s="2" t="inlineStr">
        <is>
          <t>12</t>
        </is>
      </c>
      <c r="B83" s="2" t="inlineStr">
        <is>
          <t>NB21</t>
        </is>
      </c>
      <c r="C83" s="2" t="inlineStr">
        <is>
          <t>II.6</t>
        </is>
      </c>
      <c r="D83" s="2" t="inlineStr">
        <is>
          <t>Giám sát nước biển ven bờ</t>
        </is>
      </c>
      <c r="E83" s="2" t="inlineStr">
        <is>
          <t>Cu</t>
        </is>
      </c>
      <c r="F83" s="2" t="inlineStr">
        <is>
          <t>mg/l</t>
        </is>
      </c>
      <c r="G83" s="2" t="n">
        <v>5</v>
      </c>
      <c r="H83" s="2" t="n">
        <v>2</v>
      </c>
      <c r="I83" s="2" t="n">
        <v>10</v>
      </c>
      <c r="J83" s="2" t="inlineStr">
        <is>
          <t>NM1 – Tại khu vực cảng NM2 – Tại điểm xả nước làm mát ra biển của nhà máy NM3 – Trên biển đông cách điểm</t>
        </is>
      </c>
    </row>
    <row r="84">
      <c r="A84" s="3" t="inlineStr">
        <is>
          <t>13</t>
        </is>
      </c>
      <c r="B84" s="3" t="inlineStr">
        <is>
          <t>NB21</t>
        </is>
      </c>
      <c r="C84" s="3" t="inlineStr">
        <is>
          <t>II.6</t>
        </is>
      </c>
      <c r="D84" s="3" t="inlineStr">
        <is>
          <t>Giám sát nước biển ven bờ</t>
        </is>
      </c>
      <c r="E84" s="3" t="inlineStr">
        <is>
          <t>Pb</t>
        </is>
      </c>
      <c r="F84" s="3" t="inlineStr">
        <is>
          <t>mg/l</t>
        </is>
      </c>
      <c r="G84" s="3" t="n">
        <v>5</v>
      </c>
      <c r="H84" s="3" t="n">
        <v>2</v>
      </c>
      <c r="I84" s="3" t="n">
        <v>10</v>
      </c>
      <c r="J84" s="3" t="inlineStr">
        <is>
          <t>NM1 – Tại khu vực cảng NM2 – Tại điểm xả nước làm mát ra biển của nhà máy NM3 – Trên biển đông cách điểm</t>
        </is>
      </c>
    </row>
    <row r="85">
      <c r="A85" s="2" t="inlineStr">
        <is>
          <t>14</t>
        </is>
      </c>
      <c r="B85" s="2" t="inlineStr">
        <is>
          <t>NB21</t>
        </is>
      </c>
      <c r="C85" s="2" t="inlineStr">
        <is>
          <t>II.6</t>
        </is>
      </c>
      <c r="D85" s="2" t="inlineStr">
        <is>
          <t>Giám sát nước biển ven bờ</t>
        </is>
      </c>
      <c r="E85" s="2" t="inlineStr">
        <is>
          <t>Fe</t>
        </is>
      </c>
      <c r="F85" s="2" t="inlineStr">
        <is>
          <t>mg/l</t>
        </is>
      </c>
      <c r="G85" s="2" t="n">
        <v>5</v>
      </c>
      <c r="H85" s="2" t="n">
        <v>2</v>
      </c>
      <c r="I85" s="2" t="n">
        <v>10</v>
      </c>
      <c r="J85" s="2" t="inlineStr">
        <is>
          <t>NM1 – Tại khu vực cảng NM2 – Tại điểm xả nước làm mát ra biển của nhà máy NM3 – Trên biển đông cách điểm</t>
        </is>
      </c>
    </row>
    <row r="86">
      <c r="A86" s="3" t="inlineStr">
        <is>
          <t>15</t>
        </is>
      </c>
      <c r="B86" s="3" t="inlineStr">
        <is>
          <t>NB21</t>
        </is>
      </c>
      <c r="C86" s="3" t="inlineStr">
        <is>
          <t>II.6</t>
        </is>
      </c>
      <c r="D86" s="3" t="inlineStr">
        <is>
          <t>Giám sát nước biển ven bờ</t>
        </is>
      </c>
      <c r="E86" s="3" t="inlineStr">
        <is>
          <t>Zn</t>
        </is>
      </c>
      <c r="F86" s="3" t="inlineStr">
        <is>
          <t>mg/l</t>
        </is>
      </c>
      <c r="G86" s="3" t="n">
        <v>5</v>
      </c>
      <c r="H86" s="3" t="n">
        <v>2</v>
      </c>
      <c r="I86" s="3" t="n">
        <v>10</v>
      </c>
      <c r="J86" s="3" t="inlineStr">
        <is>
          <t>NM1 – Tại khu vực cảng NM2 – Tại điểm xả nước làm mát ra biển của nhà máy NM3 – Trên biển đông cách điểm</t>
        </is>
      </c>
    </row>
    <row r="87">
      <c r="A87" s="2" t="inlineStr">
        <is>
          <t>16</t>
        </is>
      </c>
      <c r="B87" s="2" t="inlineStr">
        <is>
          <t>NB21</t>
        </is>
      </c>
      <c r="C87" s="2" t="inlineStr">
        <is>
          <t>II.6</t>
        </is>
      </c>
      <c r="D87" s="2" t="inlineStr">
        <is>
          <t>Giám sát nước biển ven bờ</t>
        </is>
      </c>
      <c r="E87" s="2" t="inlineStr">
        <is>
          <t>Tổng Cr</t>
        </is>
      </c>
      <c r="F87" s="2" t="inlineStr">
        <is>
          <t>mg/l</t>
        </is>
      </c>
      <c r="G87" s="2" t="n">
        <v>5</v>
      </c>
      <c r="H87" s="2" t="n">
        <v>2</v>
      </c>
      <c r="I87" s="2" t="n">
        <v>10</v>
      </c>
      <c r="J87" s="2" t="inlineStr">
        <is>
          <t>NM1 – Tại khu vực cảng NM2 – Tại điểm xả nước làm mát ra biển của nhà máy NM3 – Trên biển đông cách điểm</t>
        </is>
      </c>
    </row>
    <row r="88">
      <c r="A88" s="3" t="inlineStr">
        <is>
          <t>17</t>
        </is>
      </c>
      <c r="B88" s="3" t="inlineStr">
        <is>
          <t>NB21</t>
        </is>
      </c>
      <c r="C88" s="3" t="inlineStr">
        <is>
          <t>II.6</t>
        </is>
      </c>
      <c r="D88" s="3" t="inlineStr">
        <is>
          <t>Giám sát nước biển ven bờ</t>
        </is>
      </c>
      <c r="E88" s="3" t="inlineStr">
        <is>
          <t>Mn</t>
        </is>
      </c>
      <c r="F88" s="3" t="inlineStr">
        <is>
          <t>mg/l</t>
        </is>
      </c>
      <c r="G88" s="3" t="n">
        <v>5</v>
      </c>
      <c r="H88" s="3" t="n">
        <v>2</v>
      </c>
      <c r="I88" s="3" t="n">
        <v>10</v>
      </c>
      <c r="J88" s="3" t="inlineStr">
        <is>
          <t>NM1 – Tại khu vực cảng NM2 – Tại điểm xả nước làm mát ra biển của nhà máy NM3 – Trên biển đông cách điểm</t>
        </is>
      </c>
    </row>
    <row r="89">
      <c r="A89" s="2" t="inlineStr">
        <is>
          <t>18</t>
        </is>
      </c>
      <c r="B89" s="2" t="inlineStr">
        <is>
          <t>NB21</t>
        </is>
      </c>
      <c r="C89" s="2" t="inlineStr">
        <is>
          <t>II.6</t>
        </is>
      </c>
      <c r="D89" s="2" t="inlineStr">
        <is>
          <t>Giám sát nước biển ven bờ</t>
        </is>
      </c>
      <c r="E89" s="2" t="inlineStr">
        <is>
          <t>Cr VI</t>
        </is>
      </c>
      <c r="F89" s="2" t="inlineStr">
        <is>
          <t>mg/l</t>
        </is>
      </c>
      <c r="G89" s="2" t="n">
        <v>5</v>
      </c>
      <c r="H89" s="2" t="n">
        <v>2</v>
      </c>
      <c r="I89" s="2" t="n">
        <v>10</v>
      </c>
      <c r="J89" s="2" t="inlineStr">
        <is>
          <t>NM1 – Tại khu vực cảng NM2 – Tại điểm xả nước làm mát ra biển của nhà máy NM3 – Trên biển đông cách điểm</t>
        </is>
      </c>
    </row>
    <row r="90">
      <c r="A90" s="3" t="inlineStr">
        <is>
          <t>19</t>
        </is>
      </c>
      <c r="B90" s="3" t="inlineStr">
        <is>
          <t>NB10</t>
        </is>
      </c>
      <c r="C90" s="3" t="inlineStr">
        <is>
          <t>II.6</t>
        </is>
      </c>
      <c r="D90" s="3" t="inlineStr">
        <is>
          <t>Giám sát nước biển ven bờ</t>
        </is>
      </c>
      <c r="E90" s="3" t="inlineStr">
        <is>
          <t>Tổng Phenol</t>
        </is>
      </c>
      <c r="F90" s="3" t="inlineStr">
        <is>
          <t>mg/l</t>
        </is>
      </c>
      <c r="G90" s="3" t="n">
        <v>5</v>
      </c>
      <c r="H90" s="3" t="n">
        <v>2</v>
      </c>
      <c r="I90" s="3" t="n">
        <v>10</v>
      </c>
      <c r="J90" s="3" t="inlineStr">
        <is>
          <t>NM1 – Tại khu vực cảng NM2 – Tại điểm xả nước làm mát ra biển của nhà máy NM3 – Trên biển đông cách điểm</t>
        </is>
      </c>
    </row>
    <row r="91">
      <c r="A91" s="2" t="inlineStr">
        <is>
          <t>20</t>
        </is>
      </c>
      <c r="B91" s="2" t="inlineStr">
        <is>
          <t>NB22</t>
        </is>
      </c>
      <c r="C91" s="2" t="inlineStr">
        <is>
          <t>II.6</t>
        </is>
      </c>
      <c r="D91" s="2" t="inlineStr">
        <is>
          <t>Giám sát nước biển ven bờ</t>
        </is>
      </c>
      <c r="E91" s="2" t="inlineStr">
        <is>
          <t>Tổng dầu mỡ khoáng</t>
        </is>
      </c>
      <c r="F91" s="2" t="inlineStr">
        <is>
          <t>mg/l</t>
        </is>
      </c>
      <c r="G91" s="2" t="n">
        <v>5</v>
      </c>
      <c r="H91" s="2" t="n">
        <v>2</v>
      </c>
      <c r="I91" s="2" t="n">
        <v>10</v>
      </c>
      <c r="J91" s="2" t="inlineStr">
        <is>
          <t>NM1 – Tại khu vực cảng NM2 – Tại điểm xả nước làm mát ra biển của nhà máy NM3 – Trên biển đông cách điểm</t>
        </is>
      </c>
    </row>
    <row r="92">
      <c r="A92" s="3" t="inlineStr">
        <is>
          <t>21</t>
        </is>
      </c>
      <c r="B92" s="3" t="inlineStr">
        <is>
          <t>NB18</t>
        </is>
      </c>
      <c r="C92" s="3" t="inlineStr">
        <is>
          <t>II.6</t>
        </is>
      </c>
      <c r="D92" s="3" t="inlineStr">
        <is>
          <t>Giám sát nước biển ven bờ</t>
        </is>
      </c>
      <c r="E92" s="3" t="inlineStr">
        <is>
          <t>Coliform</t>
        </is>
      </c>
      <c r="F92" s="3" t="inlineStr">
        <is>
          <t>MPN/100ml</t>
        </is>
      </c>
      <c r="G92" s="3" t="n">
        <v>5</v>
      </c>
      <c r="H92" s="3" t="n">
        <v>2</v>
      </c>
      <c r="I92" s="3" t="n">
        <v>10</v>
      </c>
      <c r="J92" s="3" t="inlineStr">
        <is>
          <t>NM1 – Tại khu vực cảng NM2 – Tại điểm xả nước làm mát ra biển của nhà máy NM3 – Trên biển đông cách điểm</t>
        </is>
      </c>
    </row>
    <row r="93">
      <c r="A93" s="2" t="inlineStr">
        <is>
          <t>1</t>
        </is>
      </c>
      <c r="B93" s="2" t="inlineStr">
        <is>
          <t>NB10</t>
        </is>
      </c>
      <c r="C93" s="2" t="inlineStr">
        <is>
          <t>II.6</t>
        </is>
      </c>
      <c r="D93" s="2" t="inlineStr">
        <is>
          <t>Giám sát hệ sinh thái thủy sinh</t>
        </is>
      </c>
      <c r="E93" s="2" t="inlineStr">
        <is>
          <t>Phiêu sinh thực vật</t>
        </is>
      </c>
      <c r="F93" s="2" t="inlineStr"/>
      <c r="G93" s="2" t="n">
        <v>5</v>
      </c>
      <c r="H93" s="2" t="n">
        <v>1</v>
      </c>
      <c r="I93" s="2" t="n">
        <v>5</v>
      </c>
      <c r="J93" s="2" t="inlineStr">
        <is>
          <t>NM1 - Tại khu vực cảng NM2 - Tại điểm xả nước làm mát ra biển của nhà máy NM3 - Trên biển đông cách điểm xả nước làm mát 700m về phía Tây Nam NM4 - Tại cảng 3000 DWT của địa phương cách bờ 700m NM5 - Tại luồng tàu Tần suất quan trắc: 12 tháng/lần</t>
        </is>
      </c>
    </row>
    <row r="94">
      <c r="A94" s="3" t="inlineStr">
        <is>
          <t>2</t>
        </is>
      </c>
      <c r="B94" s="3" t="inlineStr">
        <is>
          <t>NB10</t>
        </is>
      </c>
      <c r="C94" s="3" t="inlineStr">
        <is>
          <t>II.6</t>
        </is>
      </c>
      <c r="D94" s="3" t="inlineStr">
        <is>
          <t>Giám sát hệ sinh thái thủy sinh</t>
        </is>
      </c>
      <c r="E94" s="3" t="inlineStr">
        <is>
          <t>Phiêu sinh động vật</t>
        </is>
      </c>
      <c r="F94" s="3" t="inlineStr"/>
      <c r="G94" s="3" t="n">
        <v>5</v>
      </c>
      <c r="H94" s="3" t="n">
        <v>1</v>
      </c>
      <c r="I94" s="3" t="n">
        <v>5</v>
      </c>
      <c r="J94" s="3" t="inlineStr">
        <is>
          <t>NM1 - Tại khu vực cảng NM2 - Tại điểm xả nước làm mát ra biển của nhà máy NM3 - Trên biển đông cách điểm xả nước làm mát 700m về phía Tây Nam NM4 - Tại cảng 3000 DWT của địa phương cách bờ 700m NM5 - Tại luồng tàu Tần suất quan trắc: 12 tháng/lần</t>
        </is>
      </c>
    </row>
    <row r="95">
      <c r="A95" s="2" t="inlineStr">
        <is>
          <t>3</t>
        </is>
      </c>
      <c r="B95" s="2" t="inlineStr">
        <is>
          <t>NB19c</t>
        </is>
      </c>
      <c r="C95" s="2" t="inlineStr">
        <is>
          <t>II.6</t>
        </is>
      </c>
      <c r="D95" s="2" t="inlineStr">
        <is>
          <t>Giám sát hệ sinh thái thủy sinh</t>
        </is>
      </c>
      <c r="E95" s="2" t="inlineStr">
        <is>
          <t>Động vật đáy</t>
        </is>
      </c>
      <c r="F95" s="2" t="inlineStr"/>
      <c r="G95" s="2" t="n">
        <v>5</v>
      </c>
      <c r="H95" s="2" t="n">
        <v>1</v>
      </c>
      <c r="I95" s="2" t="n">
        <v>5</v>
      </c>
      <c r="J95" s="2" t="inlineStr">
        <is>
          <t>NM1 - Tại khu vực cảng NM2 - Tại điểm xả nước làm mát ra biển của nhà máy NM3 - Trên biển đông cách điểm xả nước làm mát 700m về phía Tây Nam NM4 - Tại cảng 3000 DWT của địa phương cách bờ 700m NM5 - Tại luồng tàu Tần suất quan trắc: 12 tháng/lần</t>
        </is>
      </c>
    </row>
    <row r="96">
      <c r="A96" s="3" t="inlineStr">
        <is>
          <t>1</t>
        </is>
      </c>
      <c r="B96" s="3" t="inlineStr">
        <is>
          <t>NT4b</t>
        </is>
      </c>
      <c r="C96" s="3" t="inlineStr">
        <is>
          <t>II.9</t>
        </is>
      </c>
      <c r="D96" s="3" t="inlineStr">
        <is>
          <t>Giám sát nước thải</t>
        </is>
      </c>
      <c r="E96" s="3" t="inlineStr">
        <is>
          <t>Màu</t>
        </is>
      </c>
      <c r="F96" s="3" t="inlineStr">
        <is>
          <t>mg/l</t>
        </is>
      </c>
      <c r="G96" s="3" t="n">
        <v>1</v>
      </c>
      <c r="H96" s="3" t="n">
        <v>4</v>
      </c>
      <c r="I96" s="3" t="n">
        <v>4</v>
      </c>
      <c r="J96" s="3" t="inlineStr">
        <is>
          <t>NT3: Tại bể chứa nước thải sau xử lý từ hệ thống xử lý nước thải tập trung Tần suất quan trắc: 03 tháng/lần</t>
        </is>
      </c>
    </row>
    <row r="97">
      <c r="A97" s="2" t="inlineStr">
        <is>
          <t>2</t>
        </is>
      </c>
      <c r="B97" s="2" t="inlineStr">
        <is>
          <t>NT5a</t>
        </is>
      </c>
      <c r="C97" s="2" t="inlineStr">
        <is>
          <t>II.9</t>
        </is>
      </c>
      <c r="D97" s="2" t="inlineStr">
        <is>
          <t>Giám sát nước thải</t>
        </is>
      </c>
      <c r="E97" s="2" t="inlineStr">
        <is>
          <t>BOD5</t>
        </is>
      </c>
      <c r="F97" s="2" t="inlineStr">
        <is>
          <t>mg/l</t>
        </is>
      </c>
      <c r="G97" s="2" t="n">
        <v>1</v>
      </c>
      <c r="H97" s="2" t="n">
        <v>4</v>
      </c>
      <c r="I97" s="2" t="n">
        <v>4</v>
      </c>
      <c r="J97" s="2" t="inlineStr">
        <is>
          <t>NT3: Tại bể chứa nước thải sau xử lý từ hệ thống xử lý nước thải tập trung Tần suất quan trắc: 03 tháng/lần</t>
        </is>
      </c>
    </row>
    <row r="98">
      <c r="A98" s="3" t="inlineStr">
        <is>
          <t>3</t>
        </is>
      </c>
      <c r="B98" s="3" t="inlineStr">
        <is>
          <t>NT10l1</t>
        </is>
      </c>
      <c r="C98" s="3" t="inlineStr">
        <is>
          <t>II.9</t>
        </is>
      </c>
      <c r="D98" s="3" t="inlineStr">
        <is>
          <t>Giám sát nước thải</t>
        </is>
      </c>
      <c r="E98" s="3" t="inlineStr">
        <is>
          <t>Asen</t>
        </is>
      </c>
      <c r="F98" s="3" t="inlineStr">
        <is>
          <t>mg/l</t>
        </is>
      </c>
      <c r="G98" s="3" t="n">
        <v>1</v>
      </c>
      <c r="H98" s="3" t="n">
        <v>4</v>
      </c>
      <c r="I98" s="3" t="n">
        <v>4</v>
      </c>
      <c r="J98" s="3" t="inlineStr">
        <is>
          <t>NT3: Tại bể chứa nước thải sau xử lý từ hệ thống xử lý nước thải tập trung Tần suất quan trắc: 03 tháng/lần</t>
        </is>
      </c>
    </row>
    <row r="99">
      <c r="A99" s="2" t="inlineStr">
        <is>
          <t>4</t>
        </is>
      </c>
      <c r="B99" s="2" t="inlineStr">
        <is>
          <t>NT10l2</t>
        </is>
      </c>
      <c r="C99" s="2" t="inlineStr">
        <is>
          <t>II.9</t>
        </is>
      </c>
      <c r="D99" s="2" t="inlineStr">
        <is>
          <t>Giám sát nước thải</t>
        </is>
      </c>
      <c r="E99" s="2" t="inlineStr">
        <is>
          <t>Thủy ngân</t>
        </is>
      </c>
      <c r="F99" s="2" t="inlineStr">
        <is>
          <t>mg/l</t>
        </is>
      </c>
      <c r="G99" s="2" t="n">
        <v>1</v>
      </c>
      <c r="H99" s="2" t="n">
        <v>4</v>
      </c>
      <c r="I99" s="2" t="n">
        <v>4</v>
      </c>
      <c r="J99" s="2" t="inlineStr">
        <is>
          <t>NT3: Tại bể chứa nước thải sau xử lý từ hệ thống xử lý nước thải tập trung Tần suất quan trắc: 03 tháng/lần</t>
        </is>
      </c>
    </row>
    <row r="100">
      <c r="A100" s="3" t="inlineStr">
        <is>
          <t>5</t>
        </is>
      </c>
      <c r="B100" s="3" t="inlineStr">
        <is>
          <t>NT10k1</t>
        </is>
      </c>
      <c r="C100" s="3" t="inlineStr">
        <is>
          <t>II.9</t>
        </is>
      </c>
      <c r="D100" s="3" t="inlineStr">
        <is>
          <t>Giám sát nước thải</t>
        </is>
      </c>
      <c r="E100" s="3" t="inlineStr">
        <is>
          <t>Chì</t>
        </is>
      </c>
      <c r="F100" s="3" t="inlineStr">
        <is>
          <t>mg/l</t>
        </is>
      </c>
      <c r="G100" s="3" t="n">
        <v>1</v>
      </c>
      <c r="H100" s="3" t="n">
        <v>4</v>
      </c>
      <c r="I100" s="3" t="n">
        <v>4</v>
      </c>
      <c r="J100" s="3" t="inlineStr">
        <is>
          <t>NT3: Tại bể chứa nước thải sau xử lý từ hệ thống xử lý nước thải tập trung Tần suất quan trắc: 03 tháng/lần</t>
        </is>
      </c>
    </row>
    <row r="101">
      <c r="A101" s="2" t="inlineStr">
        <is>
          <t>6</t>
        </is>
      </c>
      <c r="B101" s="2" t="inlineStr">
        <is>
          <t>NT10k2</t>
        </is>
      </c>
      <c r="C101" s="2" t="inlineStr">
        <is>
          <t>II.9</t>
        </is>
      </c>
      <c r="D101" s="2" t="inlineStr">
        <is>
          <t>Giám sát nước thải</t>
        </is>
      </c>
      <c r="E101" s="2" t="inlineStr">
        <is>
          <t>Cadimi</t>
        </is>
      </c>
      <c r="F101" s="2" t="inlineStr">
        <is>
          <t>mg/l</t>
        </is>
      </c>
      <c r="G101" s="2" t="n">
        <v>1</v>
      </c>
      <c r="H101" s="2" t="n">
        <v>4</v>
      </c>
      <c r="I101" s="2" t="n">
        <v>4</v>
      </c>
      <c r="J101" s="2" t="inlineStr">
        <is>
          <t>NT3: Tại bể chứa nước thải sau xử lý từ hệ thống xử lý nước thải tập trung Tần suất quan trắc: 03 tháng/lần</t>
        </is>
      </c>
    </row>
    <row r="102">
      <c r="A102" s="3" t="inlineStr">
        <is>
          <t>7</t>
        </is>
      </c>
      <c r="B102" s="3" t="inlineStr">
        <is>
          <t>NT10m5</t>
        </is>
      </c>
      <c r="C102" s="3" t="inlineStr">
        <is>
          <t>II.9</t>
        </is>
      </c>
      <c r="D102" s="3" t="inlineStr">
        <is>
          <t>Giám sát nước thải</t>
        </is>
      </c>
      <c r="E102" s="3" t="inlineStr">
        <is>
          <t>Crom (III)</t>
        </is>
      </c>
      <c r="F102" s="3" t="inlineStr">
        <is>
          <t>mg/l</t>
        </is>
      </c>
      <c r="G102" s="3" t="n">
        <v>1</v>
      </c>
      <c r="H102" s="3" t="n">
        <v>4</v>
      </c>
      <c r="I102" s="3" t="n">
        <v>4</v>
      </c>
      <c r="J102" s="3" t="inlineStr">
        <is>
          <t>NT3: Tại bể chứa nước thải sau xử lý từ hệ thống xử lý nước thải tập trung Tần suất quan trắc: 03 tháng/lần</t>
        </is>
      </c>
    </row>
    <row r="103">
      <c r="A103" s="2" t="inlineStr">
        <is>
          <t>8</t>
        </is>
      </c>
      <c r="B103" s="2" t="inlineStr">
        <is>
          <t>NT10đ</t>
        </is>
      </c>
      <c r="C103" s="2" t="inlineStr">
        <is>
          <t>II.9</t>
        </is>
      </c>
      <c r="D103" s="2" t="inlineStr">
        <is>
          <t>Giám sát nước thải</t>
        </is>
      </c>
      <c r="E103" s="2" t="inlineStr">
        <is>
          <t>Crom (VI)</t>
        </is>
      </c>
      <c r="F103" s="2" t="inlineStr">
        <is>
          <t>mg/l</t>
        </is>
      </c>
      <c r="G103" s="2" t="n">
        <v>1</v>
      </c>
      <c r="H103" s="2" t="n">
        <v>4</v>
      </c>
      <c r="I103" s="2" t="n">
        <v>4</v>
      </c>
      <c r="J103" s="2" t="inlineStr">
        <is>
          <t>NT3: Tại bể chứa nước thải sau xử lý từ hệ thống xử lý nước thải tập trung Tần suất quan trắc: 03 tháng/lần</t>
        </is>
      </c>
    </row>
    <row r="104">
      <c r="A104" s="3" t="inlineStr">
        <is>
          <t>9</t>
        </is>
      </c>
      <c r="B104" s="3" t="inlineStr">
        <is>
          <t>NT10m1</t>
        </is>
      </c>
      <c r="C104" s="3" t="inlineStr">
        <is>
          <t>II.9</t>
        </is>
      </c>
      <c r="D104" s="3" t="inlineStr">
        <is>
          <t>Giám sát nước thải</t>
        </is>
      </c>
      <c r="E104" s="3" t="inlineStr">
        <is>
          <t>Đồng</t>
        </is>
      </c>
      <c r="F104" s="3" t="inlineStr">
        <is>
          <t>mg/l</t>
        </is>
      </c>
      <c r="G104" s="3" t="n">
        <v>1</v>
      </c>
      <c r="H104" s="3" t="n">
        <v>4</v>
      </c>
      <c r="I104" s="3" t="n">
        <v>4</v>
      </c>
      <c r="J104" s="3" t="inlineStr">
        <is>
          <t>NT3: Tại bể chứa nước thải sau xử lý từ hệ thống xử lý nước thải tập trung Tần suất quan trắc: 03 tháng/lần</t>
        </is>
      </c>
    </row>
    <row r="105">
      <c r="A105" s="2" t="inlineStr">
        <is>
          <t>10</t>
        </is>
      </c>
      <c r="B105" s="2" t="inlineStr">
        <is>
          <t>NT10m2</t>
        </is>
      </c>
      <c r="C105" s="2" t="inlineStr">
        <is>
          <t>II.9</t>
        </is>
      </c>
      <c r="D105" s="2" t="inlineStr">
        <is>
          <t>Giám sát nước thải</t>
        </is>
      </c>
      <c r="E105" s="2" t="inlineStr">
        <is>
          <t>Kẽm</t>
        </is>
      </c>
      <c r="F105" s="2" t="inlineStr">
        <is>
          <t>mg/l</t>
        </is>
      </c>
      <c r="G105" s="2" t="n">
        <v>1</v>
      </c>
      <c r="H105" s="2" t="n">
        <v>4</v>
      </c>
      <c r="I105" s="2" t="n">
        <v>4</v>
      </c>
      <c r="J105" s="2" t="inlineStr">
        <is>
          <t>NT3: Tại bể chứa nước thải sau xử lý từ hệ thống xử lý nước thải tập trung Tần suất quan trắc: 03 tháng/lần</t>
        </is>
      </c>
    </row>
    <row r="106">
      <c r="A106" s="3" t="inlineStr">
        <is>
          <t>11</t>
        </is>
      </c>
      <c r="B106" s="3" t="inlineStr">
        <is>
          <t>NT10m6</t>
        </is>
      </c>
      <c r="C106" s="3" t="inlineStr">
        <is>
          <t>II.9</t>
        </is>
      </c>
      <c r="D106" s="3" t="inlineStr">
        <is>
          <t>Giám sát nước thải</t>
        </is>
      </c>
      <c r="E106" s="3" t="inlineStr">
        <is>
          <t>Niken</t>
        </is>
      </c>
      <c r="F106" s="3" t="inlineStr">
        <is>
          <t>mg/l</t>
        </is>
      </c>
      <c r="G106" s="3" t="n">
        <v>1</v>
      </c>
      <c r="H106" s="3" t="n">
        <v>4</v>
      </c>
      <c r="I106" s="3" t="n">
        <v>4</v>
      </c>
      <c r="J106" s="3" t="inlineStr">
        <is>
          <t>NT3: Tại bể chứa nước thải sau xử lý từ hệ thống xử lý nước thải tập trung Tần suất quan trắc: 03 tháng/lần</t>
        </is>
      </c>
    </row>
    <row r="107">
      <c r="A107" s="2" t="inlineStr">
        <is>
          <t>12</t>
        </is>
      </c>
      <c r="B107" s="2" t="inlineStr">
        <is>
          <t>NT10m3</t>
        </is>
      </c>
      <c r="C107" s="2" t="inlineStr">
        <is>
          <t>II.9</t>
        </is>
      </c>
      <c r="D107" s="2" t="inlineStr">
        <is>
          <t>Giám sát nước thải</t>
        </is>
      </c>
      <c r="E107" s="2" t="inlineStr">
        <is>
          <t>Mangan</t>
        </is>
      </c>
      <c r="F107" s="2" t="inlineStr">
        <is>
          <t>mg/l</t>
        </is>
      </c>
      <c r="G107" s="2" t="n">
        <v>1</v>
      </c>
      <c r="H107" s="2" t="n">
        <v>4</v>
      </c>
      <c r="I107" s="2" t="n">
        <v>4</v>
      </c>
      <c r="J107" s="2" t="inlineStr">
        <is>
          <t>NT3: Tại bể chứa nước thải sau xử lý từ hệ thống xử lý nước thải tập trung Tần suất quan trắc: 03 tháng/lần</t>
        </is>
      </c>
    </row>
    <row r="108">
      <c r="A108" s="3" t="inlineStr">
        <is>
          <t>13</t>
        </is>
      </c>
      <c r="B108" s="3" t="inlineStr">
        <is>
          <t>NT10m4</t>
        </is>
      </c>
      <c r="C108" s="3" t="inlineStr">
        <is>
          <t>II.9</t>
        </is>
      </c>
      <c r="D108" s="3" t="inlineStr">
        <is>
          <t>Giám sát nước thải</t>
        </is>
      </c>
      <c r="E108" s="3" t="inlineStr">
        <is>
          <t>Sắt</t>
        </is>
      </c>
      <c r="F108" s="3" t="inlineStr">
        <is>
          <t>mg/l</t>
        </is>
      </c>
      <c r="G108" s="3" t="n">
        <v>1</v>
      </c>
      <c r="H108" s="3" t="n">
        <v>4</v>
      </c>
      <c r="I108" s="3" t="n">
        <v>4</v>
      </c>
      <c r="J108" s="3" t="inlineStr">
        <is>
          <t>NT3: Tại bể chứa nước thải sau xử lý từ hệ thống xử lý nước thải tập trung Tần suất quan trắc: 03 tháng/lần</t>
        </is>
      </c>
    </row>
    <row r="109">
      <c r="A109" s="2" t="inlineStr">
        <is>
          <t>14</t>
        </is>
      </c>
      <c r="B109" s="2" t="inlineStr">
        <is>
          <t>NT9</t>
        </is>
      </c>
      <c r="C109" s="2" t="inlineStr">
        <is>
          <t>II.9</t>
        </is>
      </c>
      <c r="D109" s="2" t="inlineStr">
        <is>
          <t>Giám sát nước thải</t>
        </is>
      </c>
      <c r="E109" s="2" t="inlineStr">
        <is>
          <t>Tổng Xyanua</t>
        </is>
      </c>
      <c r="F109" s="2" t="inlineStr">
        <is>
          <t>mg/l</t>
        </is>
      </c>
      <c r="G109" s="2" t="n">
        <v>1</v>
      </c>
      <c r="H109" s="2" t="n">
        <v>4</v>
      </c>
      <c r="I109" s="2" t="n">
        <v>4</v>
      </c>
      <c r="J109" s="2" t="inlineStr">
        <is>
          <t>NT3: Tại bể chứa nước thải sau xử lý từ hệ thống xử lý nước thải tập trung Tần suất quan trắc: 03 tháng/lần</t>
        </is>
      </c>
    </row>
    <row r="110">
      <c r="A110" s="3" t="inlineStr">
        <is>
          <t>15</t>
        </is>
      </c>
      <c r="B110" s="3" t="inlineStr">
        <is>
          <t>NT8</t>
        </is>
      </c>
      <c r="C110" s="3" t="inlineStr">
        <is>
          <t>II.9</t>
        </is>
      </c>
      <c r="D110" s="3" t="inlineStr">
        <is>
          <t>Giám sát nước thải</t>
        </is>
      </c>
      <c r="E110" s="3" t="inlineStr">
        <is>
          <t>Tổng dầu mỡ khoáng</t>
        </is>
      </c>
      <c r="F110" s="3" t="inlineStr">
        <is>
          <t>mg/l</t>
        </is>
      </c>
      <c r="G110" s="3" t="n">
        <v>1</v>
      </c>
      <c r="H110" s="3" t="n">
        <v>4</v>
      </c>
      <c r="I110" s="3" t="n">
        <v>4</v>
      </c>
      <c r="J110" s="3" t="inlineStr">
        <is>
          <t>NT3: Tại bể chứa nước thải sau xử lý từ hệ thống xử lý nước thải tập trung Tần suất quan trắc: 03 tháng/lần</t>
        </is>
      </c>
    </row>
    <row r="111">
      <c r="A111" s="2" t="inlineStr">
        <is>
          <t>16</t>
        </is>
      </c>
      <c r="B111" s="2" t="inlineStr">
        <is>
          <t>NT10d</t>
        </is>
      </c>
      <c r="C111" s="2" t="inlineStr">
        <is>
          <t>II.9</t>
        </is>
      </c>
      <c r="D111" s="2" t="inlineStr">
        <is>
          <t>Giám sát nước thải</t>
        </is>
      </c>
      <c r="E111" s="2" t="inlineStr">
        <is>
          <t>Sunfua</t>
        </is>
      </c>
      <c r="F111" s="2" t="inlineStr">
        <is>
          <t>mg/l</t>
        </is>
      </c>
      <c r="G111" s="2" t="n">
        <v>1</v>
      </c>
      <c r="H111" s="2" t="n">
        <v>4</v>
      </c>
      <c r="I111" s="2" t="n">
        <v>4</v>
      </c>
      <c r="J111" s="2" t="inlineStr">
        <is>
          <t>NT3: Tại bể chứa nước thải sau xử lý từ hệ thống xử lý nước thải tập trung Tần suất quan trắc: 03 tháng/lần</t>
        </is>
      </c>
    </row>
    <row r="112">
      <c r="A112" s="3" t="inlineStr">
        <is>
          <t>17</t>
        </is>
      </c>
      <c r="B112" s="3" t="inlineStr">
        <is>
          <t>NT10b</t>
        </is>
      </c>
      <c r="C112" s="3" t="inlineStr">
        <is>
          <t>II.9</t>
        </is>
      </c>
      <c r="D112" s="3" t="inlineStr">
        <is>
          <t>Giám sát nước thải</t>
        </is>
      </c>
      <c r="E112" s="3" t="inlineStr">
        <is>
          <t>Tổng N</t>
        </is>
      </c>
      <c r="F112" s="3" t="inlineStr">
        <is>
          <t>mg/l</t>
        </is>
      </c>
      <c r="G112" s="3" t="n">
        <v>1</v>
      </c>
      <c r="H112" s="3" t="n">
        <v>4</v>
      </c>
      <c r="I112" s="3" t="n">
        <v>4</v>
      </c>
      <c r="J112" s="3" t="inlineStr">
        <is>
          <t>NT3: Tại bể chứa nước thải sau xử lý từ hệ thống xử lý nước thải tập trung Tần suất quan trắc: 03 tháng/lần</t>
        </is>
      </c>
    </row>
    <row r="113">
      <c r="A113" s="2" t="inlineStr">
        <is>
          <t>18</t>
        </is>
      </c>
      <c r="B113" s="2" t="inlineStr">
        <is>
          <t>NT10a</t>
        </is>
      </c>
      <c r="C113" s="2" t="inlineStr">
        <is>
          <t>II.9</t>
        </is>
      </c>
      <c r="D113" s="2" t="inlineStr">
        <is>
          <t>Giám sát nước thải</t>
        </is>
      </c>
      <c r="E113" s="2" t="inlineStr">
        <is>
          <t>Tổng P</t>
        </is>
      </c>
      <c r="F113" s="2" t="inlineStr">
        <is>
          <t>mg/l</t>
        </is>
      </c>
      <c r="G113" s="2" t="n">
        <v>1</v>
      </c>
      <c r="H113" s="2" t="n">
        <v>4</v>
      </c>
      <c r="I113" s="2" t="n">
        <v>4</v>
      </c>
      <c r="J113" s="2" t="inlineStr">
        <is>
          <t>NT3: Tại bể chứa nước thải sau xử lý từ hệ thống xử lý nước thải tập trung Tần suất quan trắc: 03 tháng/lần</t>
        </is>
      </c>
    </row>
    <row r="114">
      <c r="A114" s="3" t="inlineStr">
        <is>
          <t>19</t>
        </is>
      </c>
      <c r="B114" s="3" t="inlineStr">
        <is>
          <t>NT10j</t>
        </is>
      </c>
      <c r="C114" s="3" t="inlineStr">
        <is>
          <t>II.9</t>
        </is>
      </c>
      <c r="D114" s="3" t="inlineStr">
        <is>
          <t>Giám sát nước thải</t>
        </is>
      </c>
      <c r="E114" s="3" t="inlineStr">
        <is>
          <t>Clo dư</t>
        </is>
      </c>
      <c r="F114" s="3" t="inlineStr">
        <is>
          <t>mg/l</t>
        </is>
      </c>
      <c r="G114" s="3" t="n">
        <v>1</v>
      </c>
      <c r="H114" s="3" t="n">
        <v>4</v>
      </c>
      <c r="I114" s="3" t="n">
        <v>4</v>
      </c>
      <c r="J114" s="3" t="inlineStr">
        <is>
          <t>NT3: Tại bể chứa nước thải sau xử lý từ hệ thống xử lý nước thải tập trung Tần suất quan trắc: 03 tháng/lần</t>
        </is>
      </c>
    </row>
    <row r="115">
      <c r="A115" s="2" t="inlineStr">
        <is>
          <t>20</t>
        </is>
      </c>
      <c r="B115" s="2" t="inlineStr">
        <is>
          <t>NT7a</t>
        </is>
      </c>
      <c r="C115" s="2" t="inlineStr">
        <is>
          <t>II.9</t>
        </is>
      </c>
      <c r="D115" s="2" t="inlineStr">
        <is>
          <t>Giám sát nước thải</t>
        </is>
      </c>
      <c r="E115" s="2" t="inlineStr">
        <is>
          <t>Coliform</t>
        </is>
      </c>
      <c r="F115" s="2" t="inlineStr">
        <is>
          <t>MPN/ 100ml</t>
        </is>
      </c>
      <c r="G115" s="2" t="n">
        <v>1</v>
      </c>
      <c r="H115" s="2" t="n">
        <v>4</v>
      </c>
      <c r="I115" s="2" t="n">
        <v>4</v>
      </c>
      <c r="J115" s="2" t="inlineStr">
        <is>
          <t>NT3: Tại bể chứa nước thải sau xử lý từ hệ thống xử lý nước thải tập trung Tần suất quan trắc: 03 tháng/lần</t>
        </is>
      </c>
    </row>
    <row r="116">
      <c r="A116" s="3" t="inlineStr">
        <is>
          <t>1</t>
        </is>
      </c>
      <c r="B116" s="3" t="inlineStr">
        <is>
          <t>KT9c</t>
        </is>
      </c>
      <c r="C116" s="3" t="inlineStr">
        <is>
          <t>II.8</t>
        </is>
      </c>
      <c r="D116" s="3" t="inlineStr">
        <is>
          <t>Giám sát khí thải</t>
        </is>
      </c>
      <c r="E116" s="3" t="inlineStr">
        <is>
          <t>Amoniac</t>
        </is>
      </c>
      <c r="F116" s="3" t="inlineStr">
        <is>
          <t>mg/Nm3</t>
        </is>
      </c>
      <c r="G116" s="3" t="n">
        <v>1</v>
      </c>
      <c r="H116" s="3" t="n">
        <v>4</v>
      </c>
      <c r="I116" s="3" t="n">
        <v>4</v>
      </c>
      <c r="J116" s="3" t="inlineStr">
        <is>
          <t>KT1 – Ống khói sau hệ thống xử lý khí thải của NMNĐ Vĩnh Tân 4 mở rộng</t>
        </is>
      </c>
    </row>
    <row r="117">
      <c r="A117" s="2" t="inlineStr">
        <is>
          <t>1</t>
        </is>
      </c>
      <c r="B117" s="2" t="inlineStr">
        <is>
          <t>KK1a</t>
        </is>
      </c>
      <c r="C117" s="2" t="inlineStr">
        <is>
          <t>II.1</t>
        </is>
      </c>
      <c r="D117" s="2" t="inlineStr">
        <is>
          <t>Giám sát không khí xung quanh</t>
        </is>
      </c>
      <c r="E117" s="2" t="inlineStr">
        <is>
          <t>Nhiệt độ</t>
        </is>
      </c>
      <c r="F117" s="2" t="inlineStr">
        <is>
          <t>0C</t>
        </is>
      </c>
      <c r="G117" s="2" t="n">
        <v>5</v>
      </c>
      <c r="H117" s="2" t="n">
        <v>2</v>
      </c>
      <c r="I117" s="2" t="n">
        <v>10</v>
      </c>
      <c r="J117" s="2" t="inlineStr">
        <is>
          <t>K1 – Tại trung tâm nhà máy K2 – Tại khu dân cư xóm 7, phía Tây khu vực dự án K3 – Tại UBND xã Vĩnh Tân K4 – Trên đường Quốc Lộ 1A K5 – Tại đường vào Bãi xỉ số 1</t>
        </is>
      </c>
    </row>
    <row r="118">
      <c r="A118" s="3" t="inlineStr">
        <is>
          <t>2</t>
        </is>
      </c>
      <c r="B118" s="3" t="inlineStr">
        <is>
          <t>KK1b</t>
        </is>
      </c>
      <c r="C118" s="3" t="inlineStr">
        <is>
          <t>II.1</t>
        </is>
      </c>
      <c r="D118" s="3" t="inlineStr">
        <is>
          <t>Giám sát không khí xung quanh</t>
        </is>
      </c>
      <c r="E118" s="3" t="inlineStr">
        <is>
          <t>Độ ẩm</t>
        </is>
      </c>
      <c r="F118" s="3" t="inlineStr">
        <is>
          <t>%</t>
        </is>
      </c>
      <c r="G118" s="3" t="n">
        <v>5</v>
      </c>
      <c r="H118" s="3" t="n">
        <v>2</v>
      </c>
      <c r="I118" s="3" t="n">
        <v>10</v>
      </c>
      <c r="J118" s="3" t="inlineStr">
        <is>
          <t>K1 – Tại trung tâm nhà máy K2 – Tại khu dân cư xóm 7, phía Tây khu vực dự án K3 – Tại UBND xã Vĩnh Tân K4 – Trên đường Quốc Lộ 1A K5 – Tại đường vào Bãi xỉ số 1</t>
        </is>
      </c>
    </row>
    <row r="119">
      <c r="A119" s="2" t="inlineStr">
        <is>
          <t>3</t>
        </is>
      </c>
      <c r="B119" s="2" t="inlineStr">
        <is>
          <t>KK2b</t>
        </is>
      </c>
      <c r="C119" s="2" t="inlineStr">
        <is>
          <t>II.1</t>
        </is>
      </c>
      <c r="D119" s="2" t="inlineStr">
        <is>
          <t>Giám sát không khí xung quanh</t>
        </is>
      </c>
      <c r="E119" s="2" t="inlineStr">
        <is>
          <t>Hướng gió</t>
        </is>
      </c>
      <c r="F119" s="2" t="inlineStr">
        <is>
          <t>-</t>
        </is>
      </c>
      <c r="G119" s="2" t="n">
        <v>5</v>
      </c>
      <c r="H119" s="2" t="n">
        <v>2</v>
      </c>
      <c r="I119" s="2" t="n">
        <v>10</v>
      </c>
      <c r="J119" s="2" t="inlineStr">
        <is>
          <t>K1 – Tại trung tâm nhà máy K2 – Tại khu dân cư xóm 7, phía Tây khu vực dự án K3 – Tại UBND xã Vĩnh Tân K4 – Trên đường Quốc Lộ 1A K5 – Tại đường vào Bãi xỉ số 1</t>
        </is>
      </c>
    </row>
    <row r="120">
      <c r="A120" s="3" t="inlineStr">
        <is>
          <t>4</t>
        </is>
      </c>
      <c r="B120" s="3" t="inlineStr">
        <is>
          <t>KK2a</t>
        </is>
      </c>
      <c r="C120" s="3" t="inlineStr">
        <is>
          <t>II.1</t>
        </is>
      </c>
      <c r="D120" s="3" t="inlineStr">
        <is>
          <t>Giám sát không khí xung quanh</t>
        </is>
      </c>
      <c r="E120" s="3" t="inlineStr">
        <is>
          <t>Tốc độ gió</t>
        </is>
      </c>
      <c r="F120" s="3" t="inlineStr">
        <is>
          <t>m/s</t>
        </is>
      </c>
      <c r="G120" s="3" t="n">
        <v>5</v>
      </c>
      <c r="H120" s="3" t="n">
        <v>2</v>
      </c>
      <c r="I120" s="3" t="n">
        <v>10</v>
      </c>
      <c r="J120" s="3" t="inlineStr">
        <is>
          <t>K1 – Tại trung tâm nhà máy K2 – Tại khu dân cư xóm 7, phía Tây khu vực dự án K3 – Tại UBND xã Vĩnh Tân K4 – Trên đường Quốc Lộ 1A K5 – Tại đường vào Bãi xỉ số 1</t>
        </is>
      </c>
    </row>
    <row r="121">
      <c r="A121" s="2" t="inlineStr">
        <is>
          <t>5</t>
        </is>
      </c>
      <c r="B121" s="2" t="inlineStr">
        <is>
          <t>TO1a</t>
        </is>
      </c>
      <c r="C121" s="2" t="inlineStr">
        <is>
          <t>II.1</t>
        </is>
      </c>
      <c r="D121" s="2" t="inlineStr">
        <is>
          <t>Giám sát không khí xung quanh</t>
        </is>
      </c>
      <c r="E121" s="2" t="inlineStr">
        <is>
          <t>Tiếng ồn</t>
        </is>
      </c>
      <c r="F121" s="2" t="inlineStr">
        <is>
          <t>dBA</t>
        </is>
      </c>
      <c r="G121" s="2" t="n">
        <v>5</v>
      </c>
      <c r="H121" s="2" t="n">
        <v>2</v>
      </c>
      <c r="I121" s="2" t="n">
        <v>10</v>
      </c>
      <c r="J121" s="2" t="inlineStr">
        <is>
          <t>K1 – Tại trung tâm nhà máy K2 – Tại khu dân cư xóm 7, phía Tây khu vực dự án K3 – Tại UBND xã Vĩnh Tân K4 – Trên đường Quốc Lộ 1A K5 – Tại đường vào Bãi xỉ số 1</t>
        </is>
      </c>
    </row>
    <row r="122">
      <c r="A122" s="3" t="inlineStr">
        <is>
          <t>6</t>
        </is>
      </c>
      <c r="B122" s="3" t="inlineStr">
        <is>
          <t>ĐR01</t>
        </is>
      </c>
      <c r="C122" s="3" t="inlineStr">
        <is>
          <t>II.1</t>
        </is>
      </c>
      <c r="D122" s="3" t="inlineStr">
        <is>
          <t>Giám sát không khí xung quanh</t>
        </is>
      </c>
      <c r="E122" s="3" t="inlineStr">
        <is>
          <t>Độ rung</t>
        </is>
      </c>
      <c r="F122" s="3" t="inlineStr">
        <is>
          <t>dB</t>
        </is>
      </c>
      <c r="G122" s="3" t="n">
        <v>5</v>
      </c>
      <c r="H122" s="3" t="n">
        <v>2</v>
      </c>
      <c r="I122" s="3" t="n">
        <v>10</v>
      </c>
      <c r="J122" s="3" t="inlineStr">
        <is>
          <t>K1 – Tại trung tâm nhà máy K2 – Tại khu dân cư xóm 7, phía Tây khu vực dự án K3 – Tại UBND xã Vĩnh Tân K4 – Trên đường Quốc Lộ 1A K5 – Tại đường vào Bãi xỉ số 1</t>
        </is>
      </c>
    </row>
    <row r="123">
      <c r="A123" s="2" t="inlineStr">
        <is>
          <t>7</t>
        </is>
      </c>
      <c r="B123" s="2" t="inlineStr">
        <is>
          <t>KK4a</t>
        </is>
      </c>
      <c r="C123" s="2" t="inlineStr">
        <is>
          <t>II.1</t>
        </is>
      </c>
      <c r="D123" s="2" t="inlineStr">
        <is>
          <t>Giám sát không khí xung quanh</t>
        </is>
      </c>
      <c r="E123" s="2" t="inlineStr">
        <is>
          <t>Tổng bụi lơ lửng</t>
        </is>
      </c>
      <c r="F123" s="2" t="inlineStr">
        <is>
          <t>µg/Nm3</t>
        </is>
      </c>
      <c r="G123" s="2" t="n">
        <v>5</v>
      </c>
      <c r="H123" s="2" t="n">
        <v>2</v>
      </c>
      <c r="I123" s="2" t="n">
        <v>10</v>
      </c>
      <c r="J123" s="2" t="inlineStr">
        <is>
          <t>K1 – Tại trung tâm nhà máy K2 – Tại khu dân cư xóm 7, phía Tây khu vực dự án K3 – Tại UBND xã Vĩnh Tân K4 – Trên đường Quốc Lộ 1A K5 – Tại đường vào Bãi xỉ số 1</t>
        </is>
      </c>
    </row>
    <row r="124">
      <c r="A124" s="3" t="inlineStr">
        <is>
          <t>8</t>
        </is>
      </c>
      <c r="B124" s="3" t="inlineStr">
        <is>
          <t>KK4c</t>
        </is>
      </c>
      <c r="C124" s="3" t="inlineStr">
        <is>
          <t>II.1</t>
        </is>
      </c>
      <c r="D124" s="3" t="inlineStr">
        <is>
          <t>Giám sát không khí xung quanh</t>
        </is>
      </c>
      <c r="E124" s="3" t="inlineStr">
        <is>
          <t>Bụi PM10</t>
        </is>
      </c>
      <c r="F124" s="3" t="inlineStr">
        <is>
          <t>µg/Nm3</t>
        </is>
      </c>
      <c r="G124" s="3" t="n">
        <v>5</v>
      </c>
      <c r="H124" s="3" t="n">
        <v>2</v>
      </c>
      <c r="I124" s="3" t="n">
        <v>10</v>
      </c>
      <c r="J124" s="3" t="inlineStr">
        <is>
          <t>K1 – Tại trung tâm nhà máy K2 – Tại khu dân cư xóm 7, phía Tây khu vực dự án K3 – Tại UBND xã Vĩnh Tân K4 – Trên đường Quốc Lộ 1A K5 – Tại đường vào Bãi xỉ số 1</t>
        </is>
      </c>
    </row>
    <row r="125">
      <c r="A125" s="2" t="inlineStr">
        <is>
          <t>9</t>
        </is>
      </c>
      <c r="B125" s="2" t="inlineStr">
        <is>
          <t>KK7</t>
        </is>
      </c>
      <c r="C125" s="2" t="inlineStr">
        <is>
          <t>II.1</t>
        </is>
      </c>
      <c r="D125" s="2" t="inlineStr">
        <is>
          <t>Giám sát không khí xung quanh</t>
        </is>
      </c>
      <c r="E125" s="2" t="inlineStr">
        <is>
          <t>SO 2</t>
        </is>
      </c>
      <c r="F125" s="2" t="inlineStr">
        <is>
          <t>µg/Nm3</t>
        </is>
      </c>
      <c r="G125" s="2" t="n">
        <v>5</v>
      </c>
      <c r="H125" s="2" t="n">
        <v>2</v>
      </c>
      <c r="I125" s="2" t="n">
        <v>10</v>
      </c>
      <c r="J125" s="2" t="inlineStr">
        <is>
          <t>K1 – Tại trung tâm nhà máy K2 – Tại khu dân cư xóm 7, phía Tây khu vực dự án K3 – Tại UBND xã Vĩnh Tân K4 – Trên đường Quốc Lộ 1A K5 – Tại đường vào Bãi xỉ số 1</t>
        </is>
      </c>
    </row>
    <row r="126">
      <c r="A126" s="3" t="inlineStr">
        <is>
          <t>10</t>
        </is>
      </c>
      <c r="B126" s="3" t="inlineStr">
        <is>
          <t>KK6</t>
        </is>
      </c>
      <c r="C126" s="3" t="inlineStr">
        <is>
          <t>II.1</t>
        </is>
      </c>
      <c r="D126" s="3" t="inlineStr">
        <is>
          <t>Giám sát không khí xung quanh</t>
        </is>
      </c>
      <c r="E126" s="3" t="inlineStr">
        <is>
          <t>NO 2</t>
        </is>
      </c>
      <c r="F126" s="3" t="inlineStr">
        <is>
          <t>µg/Nm3</t>
        </is>
      </c>
      <c r="G126" s="3" t="n">
        <v>5</v>
      </c>
      <c r="H126" s="3" t="n">
        <v>2</v>
      </c>
      <c r="I126" s="3" t="n">
        <v>10</v>
      </c>
      <c r="J126" s="3" t="inlineStr">
        <is>
          <t>K1 – Tại trung tâm nhà máy K2 – Tại khu dân cư xóm 7, phía Tây khu vực dự án K3 – Tại UBND xã Vĩnh Tân K4 – Trên đường Quốc Lộ 1A K5 – Tại đường vào Bãi xỉ số 1</t>
        </is>
      </c>
    </row>
    <row r="127">
      <c r="A127" s="2" t="inlineStr">
        <is>
          <t>11</t>
        </is>
      </c>
      <c r="B127" s="2" t="inlineStr">
        <is>
          <t>KK5a</t>
        </is>
      </c>
      <c r="C127" s="2" t="inlineStr">
        <is>
          <t>II.1</t>
        </is>
      </c>
      <c r="D127" s="2" t="inlineStr">
        <is>
          <t>Giám sát không khí xung quanh</t>
        </is>
      </c>
      <c r="E127" s="2" t="inlineStr">
        <is>
          <t>CO</t>
        </is>
      </c>
      <c r="F127" s="2" t="inlineStr">
        <is>
          <t>µg/Nm3</t>
        </is>
      </c>
      <c r="G127" s="2" t="n">
        <v>5</v>
      </c>
      <c r="H127" s="2" t="n">
        <v>2</v>
      </c>
      <c r="I127" s="2" t="n">
        <v>10</v>
      </c>
      <c r="J127" s="2" t="inlineStr">
        <is>
          <t>K1 – Tại trung tâm nhà máy K2 – Tại khu dân cư xóm 7, phía Tây khu vực dự án K3 – Tại UBND xã Vĩnh Tân K4 – Trên đường Quốc Lộ 1A K5 – Tại đường vào Bãi xỉ số 1</t>
        </is>
      </c>
    </row>
    <row r="128">
      <c r="A128" s="3" t="inlineStr">
        <is>
          <t>1</t>
        </is>
      </c>
      <c r="B128" s="3" t="inlineStr">
        <is>
          <t>KT16</t>
        </is>
      </c>
      <c r="C128" s="3" t="inlineStr">
        <is>
          <t>II.8</t>
        </is>
      </c>
      <c r="D128" s="3" t="inlineStr">
        <is>
          <t>Giám sát khí thải</t>
        </is>
      </c>
      <c r="E128" s="3" t="inlineStr">
        <is>
          <t>Lưu lượng</t>
        </is>
      </c>
      <c r="F128" s="3" t="inlineStr">
        <is>
          <t>m3/h</t>
        </is>
      </c>
      <c r="G128" s="3" t="n">
        <v>2</v>
      </c>
      <c r="H128" s="3" t="n">
        <v>4</v>
      </c>
      <c r="I128" s="3" t="n">
        <v>8</v>
      </c>
      <c r="J128" s="3" t="inlineStr">
        <is>
          <t>KT1 – Ống khói sau hệ thống xử lý khí thải của tổ máy 1 NMNĐ Vĩnh Tân 4 KT2 – Ống khói sau hệ thống xử lý khí thải của tổ máy 2 NMNĐ Vĩnh Tân 4</t>
        </is>
      </c>
    </row>
    <row r="129">
      <c r="A129" s="2" t="inlineStr">
        <is>
          <t>2</t>
        </is>
      </c>
      <c r="B129" s="2" t="inlineStr">
        <is>
          <t>KT4</t>
        </is>
      </c>
      <c r="C129" s="2" t="inlineStr">
        <is>
          <t>II.8</t>
        </is>
      </c>
      <c r="D129" s="2" t="inlineStr">
        <is>
          <t>Giám sát khí thải</t>
        </is>
      </c>
      <c r="E129" s="2" t="inlineStr">
        <is>
          <t>Nhiệt độ</t>
        </is>
      </c>
      <c r="F129" s="2" t="inlineStr">
        <is>
          <t>0C</t>
        </is>
      </c>
      <c r="G129" s="2" t="n">
        <v>2</v>
      </c>
      <c r="H129" s="2" t="n">
        <v>4</v>
      </c>
      <c r="I129" s="2" t="n">
        <v>8</v>
      </c>
      <c r="J129" s="2" t="inlineStr">
        <is>
          <t>KT1 – Ống khói sau hệ thống xử lý khí thải của tổ máy 1 NMNĐ Vĩnh Tân 4 KT2 – Ống khói sau hệ thống xử lý khí thải của tổ máy 2 NMNĐ Vĩnh Tân 4</t>
        </is>
      </c>
    </row>
    <row r="130">
      <c r="A130" s="3" t="inlineStr">
        <is>
          <t>3</t>
        </is>
      </c>
      <c r="B130" s="3" t="inlineStr">
        <is>
          <t>KT10a</t>
        </is>
      </c>
      <c r="C130" s="3" t="inlineStr">
        <is>
          <t>II.8</t>
        </is>
      </c>
      <c r="D130" s="3" t="inlineStr">
        <is>
          <t>Giám sát khí thải</t>
        </is>
      </c>
      <c r="E130" s="3" t="inlineStr">
        <is>
          <t>Bụi tổng</t>
        </is>
      </c>
      <c r="F130" s="3" t="inlineStr">
        <is>
          <t>mg/Nm3</t>
        </is>
      </c>
      <c r="G130" s="3" t="n">
        <v>2</v>
      </c>
      <c r="H130" s="3" t="n">
        <v>4</v>
      </c>
      <c r="I130" s="3" t="n">
        <v>8</v>
      </c>
      <c r="J130" s="3" t="inlineStr">
        <is>
          <t>KT1 – Ống khói sau hệ thống xử lý khí thải của tổ máy 1 NMNĐ Vĩnh Tân 4 KT2 – Ống khói sau hệ thống xử lý khí thải của tổ máy 2 NMNĐ Vĩnh Tân 4</t>
        </is>
      </c>
    </row>
    <row r="131">
      <c r="A131" s="2" t="inlineStr">
        <is>
          <t>4</t>
        </is>
      </c>
      <c r="B131" s="2" t="inlineStr">
        <is>
          <t>KT9b</t>
        </is>
      </c>
      <c r="C131" s="2" t="inlineStr">
        <is>
          <t>II.8</t>
        </is>
      </c>
      <c r="D131" s="2" t="inlineStr">
        <is>
          <t>Giám sát khí thải</t>
        </is>
      </c>
      <c r="E131" s="2" t="inlineStr">
        <is>
          <t>CO</t>
        </is>
      </c>
      <c r="F131" s="2" t="inlineStr">
        <is>
          <t>mg/Nm3</t>
        </is>
      </c>
      <c r="G131" s="2" t="n">
        <v>2</v>
      </c>
      <c r="H131" s="2" t="n">
        <v>4</v>
      </c>
      <c r="I131" s="2" t="n">
        <v>8</v>
      </c>
      <c r="J131" s="2" t="inlineStr">
        <is>
          <t>KT1 – Ống khói sau hệ thống xử lý khí thải của tổ máy 1 NMNĐ Vĩnh Tân 4 KT2 – Ống khói sau hệ thống xử lý khí thải của tổ máy 2 NMNĐ Vĩnh Tân 4</t>
        </is>
      </c>
    </row>
    <row r="132">
      <c r="A132" s="3" t="inlineStr">
        <is>
          <t>5</t>
        </is>
      </c>
      <c r="B132" s="3" t="inlineStr">
        <is>
          <t>KT9e</t>
        </is>
      </c>
      <c r="C132" s="3" t="inlineStr">
        <is>
          <t>II.8</t>
        </is>
      </c>
      <c r="D132" s="3" t="inlineStr">
        <is>
          <t>Giám sát khí thải</t>
        </is>
      </c>
      <c r="E132" s="3" t="inlineStr">
        <is>
          <t>NOx (tính theo NO2)</t>
        </is>
      </c>
      <c r="F132" s="3" t="inlineStr">
        <is>
          <t>mg/Nm3</t>
        </is>
      </c>
      <c r="G132" s="3" t="n">
        <v>2</v>
      </c>
      <c r="H132" s="3" t="n">
        <v>4</v>
      </c>
      <c r="I132" s="3" t="n">
        <v>8</v>
      </c>
      <c r="J132" s="3" t="inlineStr">
        <is>
          <t>KT1 – Ống khói sau hệ thống xử lý khí thải của tổ máy 1 NMNĐ Vĩnh Tân 4 KT2 – Ống khói sau hệ thống xử lý khí thải của tổ máy 2 NMNĐ Vĩnh Tân 4</t>
        </is>
      </c>
    </row>
    <row r="133">
      <c r="A133" s="2" t="inlineStr">
        <is>
          <t>6</t>
        </is>
      </c>
      <c r="B133" s="2" t="inlineStr">
        <is>
          <t>KT9đ</t>
        </is>
      </c>
      <c r="C133" s="2" t="inlineStr">
        <is>
          <t>II.8</t>
        </is>
      </c>
      <c r="D133" s="2" t="inlineStr">
        <is>
          <t>Giám sát khí thải</t>
        </is>
      </c>
      <c r="E133" s="2" t="inlineStr">
        <is>
          <t>SO 2</t>
        </is>
      </c>
      <c r="F133" s="2" t="inlineStr">
        <is>
          <t>mg/Nm3</t>
        </is>
      </c>
      <c r="G133" s="2" t="n">
        <v>2</v>
      </c>
      <c r="H133" s="2" t="n">
        <v>4</v>
      </c>
      <c r="I133" s="2" t="n">
        <v>8</v>
      </c>
      <c r="J133" s="2" t="inlineStr">
        <is>
          <t>KT1 – Ống khói sau hệ thống xử lý khí thải của tổ máy 1 NMNĐ Vĩnh Tân 4 KT2 – Ống khói sau hệ thống xử lý khí thải của tổ máy 2 NMNĐ Vĩnh Tân 4</t>
        </is>
      </c>
    </row>
    <row r="134">
      <c r="A134" s="3" t="inlineStr">
        <is>
          <t>7</t>
        </is>
      </c>
      <c r="B134" s="3" t="inlineStr">
        <is>
          <t>KT9a</t>
        </is>
      </c>
      <c r="C134" s="3" t="inlineStr">
        <is>
          <t>II.8</t>
        </is>
      </c>
      <c r="D134" s="3" t="inlineStr">
        <is>
          <t>Giám sát khí thải</t>
        </is>
      </c>
      <c r="E134" s="3" t="inlineStr">
        <is>
          <t>O2</t>
        </is>
      </c>
      <c r="F134" s="3" t="inlineStr">
        <is>
          <t>%</t>
        </is>
      </c>
      <c r="G134" s="3" t="n">
        <v>2</v>
      </c>
      <c r="H134" s="3" t="n">
        <v>4</v>
      </c>
      <c r="I134" s="3" t="n">
        <v>8</v>
      </c>
      <c r="J134" s="3" t="inlineStr">
        <is>
          <t>KT1 – Ống khói sau hệ thống xử lý khí thải của tổ máy 1 NMNĐ Vĩnh Tân 4 KT2 – Ống khói sau hệ thống xử lý khí thải của tổ máy 2 NMNĐ Vĩnh Tân 4</t>
        </is>
      </c>
    </row>
    <row r="135">
      <c r="A135" s="2" t="inlineStr">
        <is>
          <t>1</t>
        </is>
      </c>
      <c r="B135" s="2" t="inlineStr">
        <is>
          <t>NT1</t>
        </is>
      </c>
      <c r="C135" s="2" t="inlineStr">
        <is>
          <t>II.9</t>
        </is>
      </c>
      <c r="D135" s="2" t="inlineStr">
        <is>
          <t>Nước làm mát, nước thải từ hệ thống khử lưu huỳnh bằng nước biển, nước thải từ hệ thống lọc nước biển</t>
        </is>
      </c>
      <c r="E135" s="2" t="inlineStr">
        <is>
          <t>Nhiệt độ</t>
        </is>
      </c>
      <c r="F135" s="2" t="inlineStr">
        <is>
          <t>0C</t>
        </is>
      </c>
      <c r="G135" s="2" t="n">
        <v>2</v>
      </c>
      <c r="H135" s="2" t="n">
        <v>4</v>
      </c>
      <c r="I135" s="2" t="n">
        <v>8</v>
      </c>
      <c r="J135" s="2" t="inlineStr">
        <is>
          <t>NT1: Kênh thoát nước làm mát chung (NMNĐ Vĩnh Tân 4 và Vĩnh Tân 4 mở rộng) trước khi xả ra biển NT2: Nước thải từ hệ thống lọc nước biển của NMNĐ Vĩnh Tân 4</t>
        </is>
      </c>
    </row>
    <row r="136">
      <c r="A136" s="3" t="inlineStr">
        <is>
          <t>2</t>
        </is>
      </c>
      <c r="B136" s="3" t="inlineStr">
        <is>
          <t>NT2</t>
        </is>
      </c>
      <c r="C136" s="3" t="inlineStr">
        <is>
          <t>II.9</t>
        </is>
      </c>
      <c r="D136" s="3" t="inlineStr">
        <is>
          <t>Nước làm mát, nước thải từ hệ thống khử lưu huỳnh bằng nước biển, nước thải từ hệ thống lọc nước biển</t>
        </is>
      </c>
      <c r="E136" s="3" t="inlineStr">
        <is>
          <t>pH</t>
        </is>
      </c>
      <c r="F136" s="3" t="inlineStr">
        <is>
          <t>-</t>
        </is>
      </c>
      <c r="G136" s="3" t="n">
        <v>2</v>
      </c>
      <c r="H136" s="3" t="n">
        <v>4</v>
      </c>
      <c r="I136" s="3" t="n">
        <v>8</v>
      </c>
      <c r="J136" s="3" t="inlineStr">
        <is>
          <t>NT1: Kênh thoát nước làm mát chung (NMNĐ Vĩnh Tân 4 và Vĩnh Tân 4 mở rộng) trước khi xả ra biển NT2: Nước thải từ hệ thống lọc nước biển của NMNĐ Vĩnh Tân 4</t>
        </is>
      </c>
    </row>
    <row r="137">
      <c r="A137" s="2" t="inlineStr">
        <is>
          <t>3</t>
        </is>
      </c>
      <c r="B137" s="2" t="inlineStr">
        <is>
          <t>NT10j</t>
        </is>
      </c>
      <c r="C137" s="2" t="inlineStr">
        <is>
          <t>II.9</t>
        </is>
      </c>
      <c r="D137" s="2" t="inlineStr">
        <is>
          <t>Nước làm mát, nước thải từ hệ thống khử lưu huỳnh bằng nước biển, nước thải từ hệ thống lọc nước biển</t>
        </is>
      </c>
      <c r="E137" s="2" t="inlineStr">
        <is>
          <t>Clo dư</t>
        </is>
      </c>
      <c r="F137" s="2" t="inlineStr">
        <is>
          <t>mg/l</t>
        </is>
      </c>
      <c r="G137" s="2" t="n">
        <v>2</v>
      </c>
      <c r="H137" s="2" t="n">
        <v>4</v>
      </c>
      <c r="I137" s="2" t="n">
        <v>8</v>
      </c>
      <c r="J137" s="2" t="inlineStr">
        <is>
          <t>NT1: Kênh thoát nước làm mát chung (NMNĐ Vĩnh Tân 4 và Vĩnh Tân 4 mở rộng) trước khi xả ra biển NT2: Nước thải từ hệ thống lọc nước biển của NMNĐ Vĩnh Tân 4</t>
        </is>
      </c>
    </row>
    <row r="138">
      <c r="A138" s="3" t="inlineStr">
        <is>
          <t>4</t>
        </is>
      </c>
      <c r="B138" s="3" t="inlineStr">
        <is>
          <t>NT5b</t>
        </is>
      </c>
      <c r="C138" s="3" t="inlineStr">
        <is>
          <t>II.9</t>
        </is>
      </c>
      <c r="D138" s="3" t="inlineStr">
        <is>
          <t>Nước làm mát, nước thải từ hệ thống khử lưu huỳnh bằng nước biển, nước thải từ hệ thống lọc nước biển</t>
        </is>
      </c>
      <c r="E138" s="3" t="inlineStr">
        <is>
          <t>COD</t>
        </is>
      </c>
      <c r="F138" s="3" t="inlineStr">
        <is>
          <t>mg/l</t>
        </is>
      </c>
      <c r="G138" s="3" t="n">
        <v>2</v>
      </c>
      <c r="H138" s="3" t="n">
        <v>4</v>
      </c>
      <c r="I138" s="3" t="n">
        <v>8</v>
      </c>
      <c r="J138" s="3" t="inlineStr">
        <is>
          <t>NT1: Kênh thoát nước làm mát chung (NMNĐ Vĩnh Tân 4 và Vĩnh Tân 4 mở rộng) trước khi xả ra biển NT2: Nước thải từ hệ thống lọc nước biển của NMNĐ Vĩnh Tân 4</t>
        </is>
      </c>
    </row>
    <row r="139">
      <c r="A139" s="2" t="inlineStr">
        <is>
          <t>5</t>
        </is>
      </c>
      <c r="B139" s="2" t="inlineStr">
        <is>
          <t>NT6</t>
        </is>
      </c>
      <c r="C139" s="2" t="inlineStr">
        <is>
          <t>II.9</t>
        </is>
      </c>
      <c r="D139" s="2" t="inlineStr">
        <is>
          <t>Nước làm mát, nước thải từ hệ thống khử lưu huỳnh bằng nước biển, nước thải từ hệ thống lọc nước biển</t>
        </is>
      </c>
      <c r="E139" s="2" t="inlineStr">
        <is>
          <t>TSS</t>
        </is>
      </c>
      <c r="F139" s="2" t="inlineStr">
        <is>
          <t>mg/l</t>
        </is>
      </c>
      <c r="G139" s="2" t="n">
        <v>2</v>
      </c>
      <c r="H139" s="2" t="n">
        <v>4</v>
      </c>
      <c r="I139" s="2" t="n">
        <v>8</v>
      </c>
      <c r="J139" s="2" t="inlineStr">
        <is>
          <t>NT1: Kênh thoát nước làm mát chung (NMNĐ Vĩnh Tân 4 và Vĩnh Tân 4 mở rộng) trước khi xả ra biển NT2: Nước thải từ hệ thống lọc nước biển của NMNĐ Vĩnh Tân 4</t>
        </is>
      </c>
    </row>
    <row r="140">
      <c r="A140" s="3" t="inlineStr">
        <is>
          <t>2</t>
        </is>
      </c>
      <c r="B140" s="3" t="inlineStr">
        <is>
          <t>MỤC 2</t>
        </is>
      </c>
      <c r="C140" s="3" t="inlineStr"/>
      <c r="D140" s="3" t="inlineStr">
        <is>
          <t>Nước làm mát, nước thải từ hệ thống khử lưu huỳnh bằng nước biển, nước thải từ hệ thống lọc nước biển</t>
        </is>
      </c>
      <c r="E140" s="3" t="inlineStr">
        <is>
          <t>Tiêu đề: Nước thải sau xử lý của HTXLNT tập trung</t>
        </is>
      </c>
      <c r="F140" s="3" t="inlineStr">
        <is>
          <t>Header</t>
        </is>
      </c>
      <c r="G140" s="3" t="n">
        <v>0</v>
      </c>
      <c r="H140" s="3" t="n">
        <v>0</v>
      </c>
      <c r="I140" s="3" t="n">
        <v>0</v>
      </c>
      <c r="J140" s="3" t="inlineStr">
        <is>
          <t>NT1: Kênh thoát nước làm mát chung (NMNĐ Vĩnh Tân 4 và Vĩnh Tân 4 mở rộng) trước khi xả ra biển NT2: Nước thải từ hệ thống lọc nước biển của NMNĐ Vĩnh Tân 4</t>
        </is>
      </c>
    </row>
    <row r="141">
      <c r="A141" s="2" t="inlineStr">
        <is>
          <t>1</t>
        </is>
      </c>
      <c r="B141" s="2" t="inlineStr">
        <is>
          <t>NT1</t>
        </is>
      </c>
      <c r="C141" s="2" t="inlineStr">
        <is>
          <t>II.9</t>
        </is>
      </c>
      <c r="D141" s="2" t="inlineStr">
        <is>
          <t>Nước làm mát, nước thải từ hệ thống khử lưu huỳnh bằng nước biển, nước thải từ hệ thống lọc nước biển</t>
        </is>
      </c>
      <c r="E141" s="2" t="inlineStr">
        <is>
          <t>Nhiệt độ</t>
        </is>
      </c>
      <c r="F141" s="2" t="inlineStr">
        <is>
          <t>0C</t>
        </is>
      </c>
      <c r="G141" s="2" t="n">
        <v>2</v>
      </c>
      <c r="H141" s="2" t="n">
        <v>4</v>
      </c>
      <c r="I141" s="2" t="n">
        <v>8</v>
      </c>
      <c r="J141" s="2" t="inlineStr">
        <is>
          <t>NT3: Nước thải sau xử lý của hệ thống xử lý nước thải tập trung NMNĐ Vĩnh Tân 4 NT4: Nước lấy tại cửa xả hệ thống thu gom, thoát nước mưa của NMNĐ Vĩnh Tân 4 trước khi thải ra môi trường</t>
        </is>
      </c>
    </row>
    <row r="142">
      <c r="A142" s="3" t="inlineStr">
        <is>
          <t>2</t>
        </is>
      </c>
      <c r="B142" s="3" t="inlineStr">
        <is>
          <t>NT2</t>
        </is>
      </c>
      <c r="C142" s="3" t="inlineStr">
        <is>
          <t>II.9</t>
        </is>
      </c>
      <c r="D142" s="3" t="inlineStr">
        <is>
          <t>Nước làm mát, nước thải từ hệ thống khử lưu huỳnh bằng nước biển, nước thải từ hệ thống lọc nước biển</t>
        </is>
      </c>
      <c r="E142" s="3" t="inlineStr">
        <is>
          <t>pH</t>
        </is>
      </c>
      <c r="F142" s="3" t="inlineStr">
        <is>
          <t>-</t>
        </is>
      </c>
      <c r="G142" s="3" t="n">
        <v>2</v>
      </c>
      <c r="H142" s="3" t="n">
        <v>4</v>
      </c>
      <c r="I142" s="3" t="n">
        <v>8</v>
      </c>
      <c r="J142" s="3" t="inlineStr">
        <is>
          <t>NT3: Nước thải sau xử lý của hệ thống xử lý nước thải tập trung NMNĐ Vĩnh Tân 4 NT4: Nước lấy tại cửa xả hệ thống thu gom, thoát nước mưa của NMNĐ Vĩnh Tân 4 trước khi thải ra môi trường</t>
        </is>
      </c>
    </row>
    <row r="143">
      <c r="A143" s="2" t="inlineStr">
        <is>
          <t>3</t>
        </is>
      </c>
      <c r="B143" s="2" t="inlineStr">
        <is>
          <t>NT4b</t>
        </is>
      </c>
      <c r="C143" s="2" t="inlineStr">
        <is>
          <t>II.9</t>
        </is>
      </c>
      <c r="D143" s="2" t="inlineStr">
        <is>
          <t>Nước làm mát, nước thải từ hệ thống khử lưu huỳnh bằng nước biển, nước thải từ hệ thống lọc nước biển</t>
        </is>
      </c>
      <c r="E143" s="2" t="inlineStr">
        <is>
          <t>Độ màu</t>
        </is>
      </c>
      <c r="F143" s="2" t="inlineStr">
        <is>
          <t>Pt/Co</t>
        </is>
      </c>
      <c r="G143" s="2" t="n">
        <v>2</v>
      </c>
      <c r="H143" s="2" t="n">
        <v>4</v>
      </c>
      <c r="I143" s="2" t="n">
        <v>8</v>
      </c>
      <c r="J143" s="2" t="inlineStr">
        <is>
          <t>NT3: Nước thải sau xử lý của hệ thống xử lý nước thải tập trung NMNĐ Vĩnh Tân 4 NT4: Nước lấy tại cửa xả hệ thống thu gom, thoát nước mưa của NMNĐ Vĩnh Tân 4 trước khi thải ra môi trường</t>
        </is>
      </c>
    </row>
    <row r="144">
      <c r="A144" s="3" t="inlineStr">
        <is>
          <t>4</t>
        </is>
      </c>
      <c r="B144" s="3" t="inlineStr">
        <is>
          <t>NT5a</t>
        </is>
      </c>
      <c r="C144" s="3" t="inlineStr">
        <is>
          <t>II.9</t>
        </is>
      </c>
      <c r="D144" s="3" t="inlineStr">
        <is>
          <t>Nước làm mát, nước thải từ hệ thống khử lưu huỳnh bằng nước biển, nước thải từ hệ thống lọc nước biển</t>
        </is>
      </c>
      <c r="E144" s="3" t="inlineStr">
        <is>
          <t>BOD5</t>
        </is>
      </c>
      <c r="F144" s="3" t="inlineStr">
        <is>
          <t>mg/l</t>
        </is>
      </c>
      <c r="G144" s="3" t="n">
        <v>2</v>
      </c>
      <c r="H144" s="3" t="n">
        <v>4</v>
      </c>
      <c r="I144" s="3" t="n">
        <v>8</v>
      </c>
      <c r="J144" s="3" t="inlineStr">
        <is>
          <t>NT3: Nước thải sau xử lý của hệ thống xử lý nước thải tập trung NMNĐ Vĩnh Tân 4 NT4: Nước lấy tại cửa xả hệ thống thu gom, thoát nước mưa của NMNĐ Vĩnh Tân 4 trước khi thải ra môi trường</t>
        </is>
      </c>
    </row>
    <row r="145">
      <c r="A145" s="2" t="inlineStr">
        <is>
          <t>5</t>
        </is>
      </c>
      <c r="B145" s="2" t="inlineStr">
        <is>
          <t>NT5b</t>
        </is>
      </c>
      <c r="C145" s="2" t="inlineStr">
        <is>
          <t>II.9</t>
        </is>
      </c>
      <c r="D145" s="2" t="inlineStr">
        <is>
          <t>Nước làm mát, nước thải từ hệ thống khử lưu huỳnh bằng nước biển, nước thải từ hệ thống lọc nước biển</t>
        </is>
      </c>
      <c r="E145" s="2" t="inlineStr">
        <is>
          <t>COD</t>
        </is>
      </c>
      <c r="F145" s="2" t="inlineStr">
        <is>
          <t>mg/l</t>
        </is>
      </c>
      <c r="G145" s="2" t="n">
        <v>2</v>
      </c>
      <c r="H145" s="2" t="n">
        <v>4</v>
      </c>
      <c r="I145" s="2" t="n">
        <v>8</v>
      </c>
      <c r="J145" s="2" t="inlineStr">
        <is>
          <t>NT3: Nước thải sau xử lý của hệ thống xử lý nước thải tập trung NMNĐ Vĩnh Tân 4 NT4: Nước lấy tại cửa xả hệ thống thu gom, thoát nước mưa của NMNĐ Vĩnh Tân 4 trước khi thải ra môi trường</t>
        </is>
      </c>
    </row>
    <row r="146">
      <c r="A146" s="3" t="inlineStr">
        <is>
          <t>6</t>
        </is>
      </c>
      <c r="B146" s="3" t="inlineStr">
        <is>
          <t>NT6</t>
        </is>
      </c>
      <c r="C146" s="3" t="inlineStr">
        <is>
          <t>II.9</t>
        </is>
      </c>
      <c r="D146" s="3" t="inlineStr">
        <is>
          <t>Nước làm mát, nước thải từ hệ thống khử lưu huỳnh bằng nước biển, nước thải từ hệ thống lọc nước biển</t>
        </is>
      </c>
      <c r="E146" s="3" t="inlineStr">
        <is>
          <t>TSS</t>
        </is>
      </c>
      <c r="F146" s="3" t="inlineStr">
        <is>
          <t>mg/l</t>
        </is>
      </c>
      <c r="G146" s="3" t="n">
        <v>2</v>
      </c>
      <c r="H146" s="3" t="n">
        <v>4</v>
      </c>
      <c r="I146" s="3" t="n">
        <v>8</v>
      </c>
      <c r="J146" s="3" t="inlineStr">
        <is>
          <t>NT3: Nước thải sau xử lý của hệ thống xử lý nước thải tập trung NMNĐ Vĩnh Tân 4 NT4: Nước lấy tại cửa xả hệ thống thu gom, thoát nước mưa của NMNĐ Vĩnh Tân 4 trước khi thải ra môi trường</t>
        </is>
      </c>
    </row>
    <row r="147">
      <c r="A147" s="2" t="inlineStr">
        <is>
          <t>7</t>
        </is>
      </c>
      <c r="B147" s="2" t="inlineStr">
        <is>
          <t>NT10c</t>
        </is>
      </c>
      <c r="C147" s="2" t="inlineStr">
        <is>
          <t>II.9</t>
        </is>
      </c>
      <c r="D147" s="2" t="inlineStr">
        <is>
          <t>Nước làm mát, nước thải từ hệ thống khử lưu huỳnh bằng nước biển, nước thải từ hệ thống lọc nước biển</t>
        </is>
      </c>
      <c r="E147" s="2" t="inlineStr">
        <is>
          <t>Amoni (tính theo N)</t>
        </is>
      </c>
      <c r="F147" s="2" t="inlineStr">
        <is>
          <t>mg/l</t>
        </is>
      </c>
      <c r="G147" s="2" t="n">
        <v>2</v>
      </c>
      <c r="H147" s="2" t="n">
        <v>4</v>
      </c>
      <c r="I147" s="2" t="n">
        <v>8</v>
      </c>
      <c r="J147" s="2" t="inlineStr">
        <is>
          <t>NT3: Nước thải sau xử lý của hệ thống xử lý nước thải tập trung NMNĐ Vĩnh Tân 4 NT4: Nước lấy tại cửa xả hệ thống thu gom, thoát nước mưa của NMNĐ Vĩnh Tân 4 trước khi thải ra môi trường</t>
        </is>
      </c>
    </row>
    <row r="148">
      <c r="A148" s="3" t="inlineStr">
        <is>
          <t>8</t>
        </is>
      </c>
      <c r="B148" s="3" t="inlineStr">
        <is>
          <t>NT10l1</t>
        </is>
      </c>
      <c r="C148" s="3" t="inlineStr">
        <is>
          <t>II.9</t>
        </is>
      </c>
      <c r="D148" s="3" t="inlineStr">
        <is>
          <t>Nước làm mát, nước thải từ hệ thống khử lưu huỳnh bằng nước biển, nước thải từ hệ thống lọc nước biển</t>
        </is>
      </c>
      <c r="E148" s="3" t="inlineStr">
        <is>
          <t>Asen</t>
        </is>
      </c>
      <c r="F148" s="3" t="inlineStr">
        <is>
          <t>mg/l</t>
        </is>
      </c>
      <c r="G148" s="3" t="n">
        <v>2</v>
      </c>
      <c r="H148" s="3" t="n">
        <v>4</v>
      </c>
      <c r="I148" s="3" t="n">
        <v>8</v>
      </c>
      <c r="J148" s="3" t="inlineStr">
        <is>
          <t>NT3: Nước thải sau xử lý của hệ thống xử lý nước thải tập trung NMNĐ Vĩnh Tân 4 NT4: Nước lấy tại cửa xả hệ thống thu gom, thoát nước mưa của NMNĐ Vĩnh Tân 4 trước khi thải ra môi trường</t>
        </is>
      </c>
    </row>
    <row r="149">
      <c r="A149" s="2" t="inlineStr">
        <is>
          <t>9</t>
        </is>
      </c>
      <c r="B149" s="2" t="inlineStr">
        <is>
          <t>NT10l2</t>
        </is>
      </c>
      <c r="C149" s="2" t="inlineStr">
        <is>
          <t>II.9</t>
        </is>
      </c>
      <c r="D149" s="2" t="inlineStr">
        <is>
          <t>Nước làm mát, nước thải từ hệ thống khử lưu huỳnh bằng nước biển, nước thải từ hệ thống lọc nước biển</t>
        </is>
      </c>
      <c r="E149" s="2" t="inlineStr">
        <is>
          <t>Thủy ngân</t>
        </is>
      </c>
      <c r="F149" s="2" t="inlineStr">
        <is>
          <t>mg/l</t>
        </is>
      </c>
      <c r="G149" s="2" t="n">
        <v>2</v>
      </c>
      <c r="H149" s="2" t="n">
        <v>4</v>
      </c>
      <c r="I149" s="2" t="n">
        <v>8</v>
      </c>
      <c r="J149" s="2" t="inlineStr">
        <is>
          <t>NT3: Nước thải sau xử lý của hệ thống xử lý nước thải tập trung NMNĐ Vĩnh Tân 4 NT4: Nước lấy tại cửa xả hệ thống thu gom, thoát nước mưa của NMNĐ Vĩnh Tân 4 trước khi thải ra môi trường</t>
        </is>
      </c>
    </row>
    <row r="150">
      <c r="A150" s="3" t="inlineStr">
        <is>
          <t>10</t>
        </is>
      </c>
      <c r="B150" s="3" t="inlineStr">
        <is>
          <t>NT10đ</t>
        </is>
      </c>
      <c r="C150" s="3" t="inlineStr">
        <is>
          <t>II.9</t>
        </is>
      </c>
      <c r="D150" s="3" t="inlineStr">
        <is>
          <t>Nước làm mát, nước thải từ hệ thống khử lưu huỳnh bằng nước biển, nước thải từ hệ thống lọc nước biển</t>
        </is>
      </c>
      <c r="E150" s="3" t="inlineStr">
        <is>
          <t>Crom (VI)</t>
        </is>
      </c>
      <c r="F150" s="3" t="inlineStr">
        <is>
          <t>mg/l</t>
        </is>
      </c>
      <c r="G150" s="3" t="n">
        <v>2</v>
      </c>
      <c r="H150" s="3" t="n">
        <v>4</v>
      </c>
      <c r="I150" s="3" t="n">
        <v>8</v>
      </c>
      <c r="J150" s="3" t="inlineStr">
        <is>
          <t>NT3: Nước thải sau xử lý của hệ thống xử lý nước thải tập trung NMNĐ Vĩnh Tân 4 NT4: Nước lấy tại cửa xả hệ thống thu gom, thoát nước mưa của NMNĐ Vĩnh Tân 4 trước khi thải ra môi trường</t>
        </is>
      </c>
    </row>
    <row r="151">
      <c r="A151" s="2" t="inlineStr">
        <is>
          <t>11</t>
        </is>
      </c>
      <c r="B151" s="2" t="inlineStr">
        <is>
          <t>NT10m5</t>
        </is>
      </c>
      <c r="C151" s="2" t="inlineStr">
        <is>
          <t>II.9</t>
        </is>
      </c>
      <c r="D151" s="2" t="inlineStr">
        <is>
          <t>Nước làm mát, nước thải từ hệ thống khử lưu huỳnh bằng nước biển, nước thải từ hệ thống lọc nước biển</t>
        </is>
      </c>
      <c r="E151" s="2" t="inlineStr">
        <is>
          <t>Crom (III)</t>
        </is>
      </c>
      <c r="F151" s="2" t="inlineStr">
        <is>
          <t>mg/l</t>
        </is>
      </c>
      <c r="G151" s="2" t="n">
        <v>2</v>
      </c>
      <c r="H151" s="2" t="n">
        <v>4</v>
      </c>
      <c r="I151" s="2" t="n">
        <v>8</v>
      </c>
      <c r="J151" s="2" t="inlineStr">
        <is>
          <t>NT3: Nước thải sau xử lý của hệ thống xử lý nước thải tập trung NMNĐ Vĩnh Tân 4 NT4: Nước lấy tại cửa xả hệ thống thu gom, thoát nước mưa của NMNĐ Vĩnh Tân 4 trước khi thải ra môi trường</t>
        </is>
      </c>
    </row>
    <row r="152">
      <c r="A152" s="3" t="inlineStr">
        <is>
          <t>12</t>
        </is>
      </c>
      <c r="B152" s="3" t="inlineStr">
        <is>
          <t>NT10k1</t>
        </is>
      </c>
      <c r="C152" s="3" t="inlineStr">
        <is>
          <t>II.9</t>
        </is>
      </c>
      <c r="D152" s="3" t="inlineStr">
        <is>
          <t>Nước làm mát, nước thải từ hệ thống khử lưu huỳnh bằng nước biển, nước thải từ hệ thống lọc nước biển</t>
        </is>
      </c>
      <c r="E152" s="3" t="inlineStr">
        <is>
          <t>Chì</t>
        </is>
      </c>
      <c r="F152" s="3" t="inlineStr">
        <is>
          <t>mg/l</t>
        </is>
      </c>
      <c r="G152" s="3" t="n">
        <v>2</v>
      </c>
      <c r="H152" s="3" t="n">
        <v>4</v>
      </c>
      <c r="I152" s="3" t="n">
        <v>8</v>
      </c>
      <c r="J152" s="3" t="inlineStr">
        <is>
          <t>NT3: Nước thải sau xử lý của hệ thống xử lý nước thải tập trung NMNĐ Vĩnh Tân 4 NT4: Nước lấy tại cửa xả hệ thống thu gom, thoát nước mưa của NMNĐ Vĩnh Tân 4 trước khi thải ra môi trường</t>
        </is>
      </c>
    </row>
    <row r="153">
      <c r="A153" s="2" t="inlineStr">
        <is>
          <t>13</t>
        </is>
      </c>
      <c r="B153" s="2" t="inlineStr">
        <is>
          <t>NT10k2</t>
        </is>
      </c>
      <c r="C153" s="2" t="inlineStr">
        <is>
          <t>II.9</t>
        </is>
      </c>
      <c r="D153" s="2" t="inlineStr">
        <is>
          <t>Nước làm mát, nước thải từ hệ thống khử lưu huỳnh bằng nước biển, nước thải từ hệ thống lọc nước biển</t>
        </is>
      </c>
      <c r="E153" s="2" t="inlineStr">
        <is>
          <t>Cadimi</t>
        </is>
      </c>
      <c r="F153" s="2" t="inlineStr">
        <is>
          <t>mg/l</t>
        </is>
      </c>
      <c r="G153" s="2" t="n">
        <v>2</v>
      </c>
      <c r="H153" s="2" t="n">
        <v>4</v>
      </c>
      <c r="I153" s="2" t="n">
        <v>8</v>
      </c>
      <c r="J153" s="2" t="inlineStr">
        <is>
          <t>NT3: Nước thải sau xử lý của hệ thống xử lý nước thải tập trung NMNĐ Vĩnh Tân 4 NT4: Nước lấy tại cửa xả hệ thống thu gom, thoát nước mưa của NMNĐ Vĩnh Tân 4 trước khi thải ra môi trường</t>
        </is>
      </c>
    </row>
    <row r="154">
      <c r="A154" s="3" t="inlineStr">
        <is>
          <t>14</t>
        </is>
      </c>
      <c r="B154" s="3" t="inlineStr">
        <is>
          <t>NT10m1</t>
        </is>
      </c>
      <c r="C154" s="3" t="inlineStr">
        <is>
          <t>II.9</t>
        </is>
      </c>
      <c r="D154" s="3" t="inlineStr">
        <is>
          <t>Nước làm mát, nước thải từ hệ thống khử lưu huỳnh bằng nước biển, nước thải từ hệ thống lọc nước biển</t>
        </is>
      </c>
      <c r="E154" s="3" t="inlineStr">
        <is>
          <t>Đồng</t>
        </is>
      </c>
      <c r="F154" s="3" t="inlineStr">
        <is>
          <t>mg/l</t>
        </is>
      </c>
      <c r="G154" s="3" t="n">
        <v>2</v>
      </c>
      <c r="H154" s="3" t="n">
        <v>4</v>
      </c>
      <c r="I154" s="3" t="n">
        <v>8</v>
      </c>
      <c r="J154" s="3" t="inlineStr">
        <is>
          <t>NT3: Nước thải sau xử lý của hệ thống xử lý nước thải tập trung NMNĐ Vĩnh Tân 4 NT4: Nước lấy tại cửa xả hệ thống thu gom, thoát nước mưa của NMNĐ Vĩnh Tân 4 trước khi thải ra môi trường</t>
        </is>
      </c>
    </row>
    <row r="155">
      <c r="A155" s="2" t="inlineStr">
        <is>
          <t>15</t>
        </is>
      </c>
      <c r="B155" s="2" t="inlineStr">
        <is>
          <t>NT10m2</t>
        </is>
      </c>
      <c r="C155" s="2" t="inlineStr">
        <is>
          <t>II.9</t>
        </is>
      </c>
      <c r="D155" s="2" t="inlineStr">
        <is>
          <t>Nước làm mát, nước thải từ hệ thống khử lưu huỳnh bằng nước biển, nước thải từ hệ thống lọc nước biển</t>
        </is>
      </c>
      <c r="E155" s="2" t="inlineStr">
        <is>
          <t>Kẽm</t>
        </is>
      </c>
      <c r="F155" s="2" t="inlineStr">
        <is>
          <t>mg/l</t>
        </is>
      </c>
      <c r="G155" s="2" t="n">
        <v>2</v>
      </c>
      <c r="H155" s="2" t="n">
        <v>4</v>
      </c>
      <c r="I155" s="2" t="n">
        <v>8</v>
      </c>
      <c r="J155" s="2" t="inlineStr">
        <is>
          <t>NT3: Nước thải sau xử lý của hệ thống xử lý nước thải tập trung NMNĐ Vĩnh Tân 4 NT4: Nước lấy tại cửa xả hệ thống thu gom, thoát nước mưa của NMNĐ Vĩnh Tân 4 trước khi thải ra môi trường</t>
        </is>
      </c>
    </row>
    <row r="156">
      <c r="A156" s="3" t="inlineStr">
        <is>
          <t>16</t>
        </is>
      </c>
      <c r="B156" s="3" t="inlineStr">
        <is>
          <t>NT10m6</t>
        </is>
      </c>
      <c r="C156" s="3" t="inlineStr">
        <is>
          <t>II.9</t>
        </is>
      </c>
      <c r="D156" s="3" t="inlineStr">
        <is>
          <t>Nước làm mát, nước thải từ hệ thống khử lưu huỳnh bằng nước biển, nước thải từ hệ thống lọc nước biển</t>
        </is>
      </c>
      <c r="E156" s="3" t="inlineStr">
        <is>
          <t>Niken</t>
        </is>
      </c>
      <c r="F156" s="3" t="inlineStr">
        <is>
          <t>mg/l</t>
        </is>
      </c>
      <c r="G156" s="3" t="n">
        <v>2</v>
      </c>
      <c r="H156" s="3" t="n">
        <v>4</v>
      </c>
      <c r="I156" s="3" t="n">
        <v>8</v>
      </c>
      <c r="J156" s="3" t="inlineStr">
        <is>
          <t>NT3: Nước thải sau xử lý của hệ thống xử lý nước thải tập trung NMNĐ Vĩnh Tân 4 NT4: Nước lấy tại cửa xả hệ thống thu gom, thoát nước mưa của NMNĐ Vĩnh Tân 4 trước khi thải ra môi trường</t>
        </is>
      </c>
    </row>
    <row r="157">
      <c r="A157" s="2" t="inlineStr">
        <is>
          <t>17</t>
        </is>
      </c>
      <c r="B157" s="2" t="inlineStr">
        <is>
          <t>NT10m3</t>
        </is>
      </c>
      <c r="C157" s="2" t="inlineStr">
        <is>
          <t>II.9</t>
        </is>
      </c>
      <c r="D157" s="2" t="inlineStr">
        <is>
          <t>Nước làm mát, nước thải từ hệ thống khử lưu huỳnh bằng nước biển, nước thải từ hệ thống lọc nước biển</t>
        </is>
      </c>
      <c r="E157" s="2" t="inlineStr">
        <is>
          <t>Mangan</t>
        </is>
      </c>
      <c r="F157" s="2" t="inlineStr">
        <is>
          <t>mg/l</t>
        </is>
      </c>
      <c r="G157" s="2" t="n">
        <v>2</v>
      </c>
      <c r="H157" s="2" t="n">
        <v>4</v>
      </c>
      <c r="I157" s="2" t="n">
        <v>8</v>
      </c>
      <c r="J157" s="2" t="inlineStr">
        <is>
          <t>NT3: Nước thải sau xử lý của hệ thống xử lý nước thải tập trung NMNĐ Vĩnh Tân 4 NT4: Nước lấy tại cửa xả hệ thống thu gom, thoát nước mưa của NMNĐ Vĩnh Tân 4 trước khi thải ra môi trường</t>
        </is>
      </c>
    </row>
    <row r="158">
      <c r="A158" s="3" t="inlineStr">
        <is>
          <t>18</t>
        </is>
      </c>
      <c r="B158" s="3" t="inlineStr">
        <is>
          <t>NT10m4</t>
        </is>
      </c>
      <c r="C158" s="3" t="inlineStr">
        <is>
          <t>II.9</t>
        </is>
      </c>
      <c r="D158" s="3" t="inlineStr">
        <is>
          <t>Nước làm mát, nước thải từ hệ thống khử lưu huỳnh bằng nước biển, nước thải từ hệ thống lọc nước biển</t>
        </is>
      </c>
      <c r="E158" s="3" t="inlineStr">
        <is>
          <t>Sắt</t>
        </is>
      </c>
      <c r="F158" s="3" t="inlineStr">
        <is>
          <t>mg/l</t>
        </is>
      </c>
      <c r="G158" s="3" t="n">
        <v>2</v>
      </c>
      <c r="H158" s="3" t="n">
        <v>4</v>
      </c>
      <c r="I158" s="3" t="n">
        <v>8</v>
      </c>
      <c r="J158" s="3" t="inlineStr">
        <is>
          <t>NT3: Nước thải sau xử lý của hệ thống xử lý nước thải tập trung NMNĐ Vĩnh Tân 4 NT4: Nước lấy tại cửa xả hệ thống thu gom, thoát nước mưa của NMNĐ Vĩnh Tân 4 trước khi thải ra môi trường</t>
        </is>
      </c>
    </row>
    <row r="159">
      <c r="A159" s="2" t="inlineStr">
        <is>
          <t>19</t>
        </is>
      </c>
      <c r="B159" s="2" t="inlineStr">
        <is>
          <t>NT9</t>
        </is>
      </c>
      <c r="C159" s="2" t="inlineStr">
        <is>
          <t>II.9</t>
        </is>
      </c>
      <c r="D159" s="2" t="inlineStr">
        <is>
          <t>Nước làm mát, nước thải từ hệ thống khử lưu huỳnh bằng nước biển, nước thải từ hệ thống lọc nước biển</t>
        </is>
      </c>
      <c r="E159" s="2" t="inlineStr">
        <is>
          <t>Tổng xianua</t>
        </is>
      </c>
      <c r="F159" s="2" t="inlineStr">
        <is>
          <t>mg/l</t>
        </is>
      </c>
      <c r="G159" s="2" t="n">
        <v>2</v>
      </c>
      <c r="H159" s="2" t="n">
        <v>4</v>
      </c>
      <c r="I159" s="2" t="n">
        <v>8</v>
      </c>
      <c r="J159" s="2" t="inlineStr">
        <is>
          <t>NT3: Nước thải sau xử lý của hệ thống xử lý nước thải tập trung NMNĐ Vĩnh Tân 4 NT4: Nước lấy tại cửa xả hệ thống thu gom, thoát nước mưa của NMNĐ Vĩnh Tân 4 trước khi thải ra môi trường</t>
        </is>
      </c>
    </row>
    <row r="160">
      <c r="A160" s="3" t="inlineStr">
        <is>
          <t>20</t>
        </is>
      </c>
      <c r="B160" s="3" t="inlineStr">
        <is>
          <t>NT2</t>
        </is>
      </c>
      <c r="C160" s="3" t="inlineStr">
        <is>
          <t>II.9</t>
        </is>
      </c>
      <c r="D160" s="3" t="inlineStr">
        <is>
          <t>Nước làm mát, nước thải từ hệ thống khử lưu huỳnh bằng nước biển, nước thải từ hệ thống lọc nước biển</t>
        </is>
      </c>
      <c r="E160" s="3" t="inlineStr">
        <is>
          <t>Tổng Phenol</t>
        </is>
      </c>
      <c r="F160" s="3" t="inlineStr">
        <is>
          <t>mg/l</t>
        </is>
      </c>
      <c r="G160" s="3" t="n">
        <v>2</v>
      </c>
      <c r="H160" s="3" t="n">
        <v>4</v>
      </c>
      <c r="I160" s="3" t="n">
        <v>8</v>
      </c>
      <c r="J160" s="3" t="inlineStr">
        <is>
          <t>NT3: Nước thải sau xử lý của hệ thống xử lý nước thải tập trung NMNĐ Vĩnh Tân 4 NT4: Nước lấy tại cửa xả hệ thống thu gom, thoát nước mưa của NMNĐ Vĩnh Tân 4 trước khi thải ra môi trường</t>
        </is>
      </c>
    </row>
    <row r="161">
      <c r="A161" s="2" t="inlineStr">
        <is>
          <t>21</t>
        </is>
      </c>
      <c r="B161" s="2" t="inlineStr">
        <is>
          <t>NT8</t>
        </is>
      </c>
      <c r="C161" s="2" t="inlineStr">
        <is>
          <t>II.9</t>
        </is>
      </c>
      <c r="D161" s="2" t="inlineStr">
        <is>
          <t>Nước làm mát, nước thải từ hệ thống khử lưu huỳnh bằng nước biển, nước thải từ hệ thống lọc nước biển</t>
        </is>
      </c>
      <c r="E161" s="2" t="inlineStr">
        <is>
          <t>Tổng dầu mỡ khoáng</t>
        </is>
      </c>
      <c r="F161" s="2" t="inlineStr">
        <is>
          <t>mg/l</t>
        </is>
      </c>
      <c r="G161" s="2" t="n">
        <v>2</v>
      </c>
      <c r="H161" s="2" t="n">
        <v>4</v>
      </c>
      <c r="I161" s="2" t="n">
        <v>8</v>
      </c>
      <c r="J161" s="2" t="inlineStr">
        <is>
          <t>NT3: Nước thải sau xử lý của hệ thống xử lý nước thải tập trung NMNĐ Vĩnh Tân 4 NT4: Nước lấy tại cửa xả hệ thống thu gom, thoát nước mưa của NMNĐ Vĩnh Tân 4 trước khi thải ra môi trường</t>
        </is>
      </c>
    </row>
    <row r="162">
      <c r="A162" s="3" t="inlineStr">
        <is>
          <t>22</t>
        </is>
      </c>
      <c r="B162" s="3" t="inlineStr">
        <is>
          <t>NT10d</t>
        </is>
      </c>
      <c r="C162" s="3" t="inlineStr">
        <is>
          <t>II.9</t>
        </is>
      </c>
      <c r="D162" s="3" t="inlineStr">
        <is>
          <t>Nước làm mát, nước thải từ hệ thống khử lưu huỳnh bằng nước biển, nước thải từ hệ thống lọc nước biển</t>
        </is>
      </c>
      <c r="E162" s="3" t="inlineStr">
        <is>
          <t>Sunfua</t>
        </is>
      </c>
      <c r="F162" s="3" t="inlineStr">
        <is>
          <t>mg/l</t>
        </is>
      </c>
      <c r="G162" s="3" t="n">
        <v>2</v>
      </c>
      <c r="H162" s="3" t="n">
        <v>4</v>
      </c>
      <c r="I162" s="3" t="n">
        <v>8</v>
      </c>
      <c r="J162" s="3" t="inlineStr">
        <is>
          <t>NT3: Nước thải sau xử lý của hệ thống xử lý nước thải tập trung NMNĐ Vĩnh Tân 4 NT4: Nước lấy tại cửa xả hệ thống thu gom, thoát nước mưa của NMNĐ Vĩnh Tân 4 trước khi thải ra môi trường</t>
        </is>
      </c>
    </row>
    <row r="163">
      <c r="A163" s="2" t="inlineStr">
        <is>
          <t>23</t>
        </is>
      </c>
      <c r="B163" s="2" t="inlineStr">
        <is>
          <t>NT10h</t>
        </is>
      </c>
      <c r="C163" s="2" t="inlineStr">
        <is>
          <t>II.9</t>
        </is>
      </c>
      <c r="D163" s="2" t="inlineStr">
        <is>
          <t>Nước làm mát, nước thải từ hệ thống khử lưu huỳnh bằng nước biển, nước thải từ hệ thống lọc nước biển</t>
        </is>
      </c>
      <c r="E163" s="2" t="inlineStr">
        <is>
          <t>Florua</t>
        </is>
      </c>
      <c r="F163" s="2" t="inlineStr">
        <is>
          <t>mg/l</t>
        </is>
      </c>
      <c r="G163" s="2" t="n">
        <v>2</v>
      </c>
      <c r="H163" s="2" t="n">
        <v>4</v>
      </c>
      <c r="I163" s="2" t="n">
        <v>8</v>
      </c>
      <c r="J163" s="2" t="inlineStr">
        <is>
          <t>NT3: Nước thải sau xử lý của hệ thống xử lý nước thải tập trung NMNĐ Vĩnh Tân 4 NT4: Nước lấy tại cửa xả hệ thống thu gom, thoát nước mưa của NMNĐ Vĩnh Tân 4 trước khi thải ra môi trường</t>
        </is>
      </c>
    </row>
    <row r="164">
      <c r="A164" s="3" t="inlineStr">
        <is>
          <t>24</t>
        </is>
      </c>
      <c r="B164" s="3" t="inlineStr">
        <is>
          <t>NT10b</t>
        </is>
      </c>
      <c r="C164" s="3" t="inlineStr">
        <is>
          <t>II.9</t>
        </is>
      </c>
      <c r="D164" s="3" t="inlineStr">
        <is>
          <t>Nước làm mát, nước thải từ hệ thống khử lưu huỳnh bằng nước biển, nước thải từ hệ thống lọc nước biển</t>
        </is>
      </c>
      <c r="E164" s="3" t="inlineStr">
        <is>
          <t>Tổng Nitơ</t>
        </is>
      </c>
      <c r="F164" s="3" t="inlineStr">
        <is>
          <t>mg/l</t>
        </is>
      </c>
      <c r="G164" s="3" t="n">
        <v>2</v>
      </c>
      <c r="H164" s="3" t="n">
        <v>4</v>
      </c>
      <c r="I164" s="3" t="n">
        <v>8</v>
      </c>
      <c r="J164" s="3" t="inlineStr">
        <is>
          <t>NT3: Nước thải sau xử lý của hệ thống xử lý nước thải tập trung NMNĐ Vĩnh Tân 4 NT4: Nước lấy tại cửa xả hệ thống thu gom, thoát nước mưa của NMNĐ Vĩnh Tân 4 trước khi thải ra môi trường</t>
        </is>
      </c>
    </row>
    <row r="165">
      <c r="A165" s="2" t="inlineStr">
        <is>
          <t>25</t>
        </is>
      </c>
      <c r="B165" s="2" t="inlineStr">
        <is>
          <t>NT2</t>
        </is>
      </c>
      <c r="C165" s="2" t="inlineStr">
        <is>
          <t>II.9</t>
        </is>
      </c>
      <c r="D165" s="2" t="inlineStr">
        <is>
          <t>Nước làm mát, nước thải từ hệ thống khử lưu huỳnh bằng nước biển, nước thải từ hệ thống lọc nước biển</t>
        </is>
      </c>
      <c r="E165" s="2" t="inlineStr">
        <is>
          <t>Tổng photpho (tính theo P)</t>
        </is>
      </c>
      <c r="F165" s="2" t="inlineStr">
        <is>
          <t>mg/l</t>
        </is>
      </c>
      <c r="G165" s="2" t="n">
        <v>2</v>
      </c>
      <c r="H165" s="2" t="n">
        <v>4</v>
      </c>
      <c r="I165" s="2" t="n">
        <v>8</v>
      </c>
      <c r="J165" s="2" t="inlineStr">
        <is>
          <t>NT3: Nước thải sau xử lý của hệ thống xử lý nước thải tập trung NMNĐ Vĩnh Tân 4 NT4: Nước lấy tại cửa xả hệ thống thu gom, thoát nước mưa của NMNĐ Vĩnh Tân 4 trước khi thải ra môi trường</t>
        </is>
      </c>
    </row>
    <row r="166">
      <c r="A166" s="3" t="inlineStr">
        <is>
          <t>26</t>
        </is>
      </c>
      <c r="B166" s="3" t="inlineStr">
        <is>
          <t>NT10i</t>
        </is>
      </c>
      <c r="C166" s="3" t="inlineStr">
        <is>
          <t>II.9</t>
        </is>
      </c>
      <c r="D166" s="3" t="inlineStr">
        <is>
          <t>Nước làm mát, nước thải từ hệ thống khử lưu huỳnh bằng nước biển, nước thải từ hệ thống lọc nước biển</t>
        </is>
      </c>
      <c r="E166" s="3" t="inlineStr">
        <is>
          <t>Clorua</t>
        </is>
      </c>
      <c r="F166" s="3" t="inlineStr">
        <is>
          <t>mg/l</t>
        </is>
      </c>
      <c r="G166" s="3" t="n">
        <v>2</v>
      </c>
      <c r="H166" s="3" t="n">
        <v>4</v>
      </c>
      <c r="I166" s="3" t="n">
        <v>8</v>
      </c>
      <c r="J166" s="3" t="inlineStr">
        <is>
          <t>NT3: Nước thải sau xử lý của hệ thống xử lý nước thải tập trung NMNĐ Vĩnh Tân 4 NT4: Nước lấy tại cửa xả hệ thống thu gom, thoát nước mưa của NMNĐ Vĩnh Tân 4 trước khi thải ra môi trường</t>
        </is>
      </c>
    </row>
    <row r="167">
      <c r="A167" s="2" t="inlineStr">
        <is>
          <t>27</t>
        </is>
      </c>
      <c r="B167" s="2" t="inlineStr">
        <is>
          <t>NT10j</t>
        </is>
      </c>
      <c r="C167" s="2" t="inlineStr">
        <is>
          <t>II.9</t>
        </is>
      </c>
      <c r="D167" s="2" t="inlineStr">
        <is>
          <t>Nước làm mát, nước thải từ hệ thống khử lưu huỳnh bằng nước biển, nước thải từ hệ thống lọc nước biển</t>
        </is>
      </c>
      <c r="E167" s="2" t="inlineStr">
        <is>
          <t>Clo dư</t>
        </is>
      </c>
      <c r="F167" s="2" t="inlineStr">
        <is>
          <t>mg/l</t>
        </is>
      </c>
      <c r="G167" s="2" t="n">
        <v>2</v>
      </c>
      <c r="H167" s="2" t="n">
        <v>4</v>
      </c>
      <c r="I167" s="2" t="n">
        <v>8</v>
      </c>
      <c r="J167" s="2" t="inlineStr">
        <is>
          <t>NT3: Nước thải sau xử lý của hệ thống xử lý nước thải tập trung NMNĐ Vĩnh Tân 4 NT4: Nước lấy tại cửa xả hệ thống thu gom, thoát nước mưa của NMNĐ Vĩnh Tân 4 trước khi thải ra môi trường</t>
        </is>
      </c>
    </row>
    <row r="168">
      <c r="A168" s="3" t="inlineStr">
        <is>
          <t>28</t>
        </is>
      </c>
      <c r="B168" s="3" t="inlineStr">
        <is>
          <t>NT7a</t>
        </is>
      </c>
      <c r="C168" s="3" t="inlineStr">
        <is>
          <t>II.9</t>
        </is>
      </c>
      <c r="D168" s="3" t="inlineStr">
        <is>
          <t>Nước làm mát, nước thải từ hệ thống khử lưu huỳnh bằng nước biển, nước thải từ hệ thống lọc nước biển</t>
        </is>
      </c>
      <c r="E168" s="3" t="inlineStr">
        <is>
          <t>Coliform</t>
        </is>
      </c>
      <c r="F168" s="3" t="inlineStr">
        <is>
          <t>MPN/100ml</t>
        </is>
      </c>
      <c r="G168" s="3" t="n">
        <v>2</v>
      </c>
      <c r="H168" s="3" t="n">
        <v>4</v>
      </c>
      <c r="I168" s="3" t="n">
        <v>8</v>
      </c>
      <c r="J168" s="3" t="inlineStr">
        <is>
          <t>NT3: Nước thải sau xử lý của hệ thống xử lý nước thải tập trung NMNĐ Vĩnh Tân 4 NT4: Nước lấy tại cửa xả hệ thống thu gom, thoát nước mưa của NMNĐ Vĩnh Tân 4 trước khi thải ra môi trường</t>
        </is>
      </c>
    </row>
    <row r="169">
      <c r="A169" s="2" t="inlineStr">
        <is>
          <t>1</t>
        </is>
      </c>
      <c r="B169" s="2" t="inlineStr">
        <is>
          <t>NB10</t>
        </is>
      </c>
      <c r="C169" s="2" t="inlineStr">
        <is>
          <t>II.6</t>
        </is>
      </c>
      <c r="D169" s="2" t="inlineStr">
        <is>
          <t>Giám sát nước biển</t>
        </is>
      </c>
      <c r="E169" s="2" t="inlineStr">
        <is>
          <t>pH</t>
        </is>
      </c>
      <c r="F169" s="2" t="inlineStr">
        <is>
          <t>-</t>
        </is>
      </c>
      <c r="G169" s="2" t="n">
        <v>5</v>
      </c>
      <c r="H169" s="2" t="n">
        <v>2</v>
      </c>
      <c r="I169" s="2" t="n">
        <v>10</v>
      </c>
      <c r="J169" s="2" t="inlineStr">
        <is>
          <t>NB1: Trên biển Đông cách điểm xả nước làm mát 700m về phía Tây Nam NB2: Trên biển Đông, luồng tàu cách bờ Trung tâm điện lực Vĩnh Tân 1,7km NB3: Tại khu vực cảng Trung tâm điện lực Vĩnh Tân NB4: Tại điểm xả nước làm mát ra biển của NMNĐ Vĩnh Tân 4 và NMNĐ Vĩnh Tân 4 mở rộng NB5: Tại cảng 3.000DWT của địa phương, cách bờ xấp xỉ 400m về hướng biển Đông</t>
        </is>
      </c>
    </row>
    <row r="170">
      <c r="A170" s="3" t="inlineStr">
        <is>
          <t>2</t>
        </is>
      </c>
      <c r="B170" s="3" t="inlineStr">
        <is>
          <t>NB5</t>
        </is>
      </c>
      <c r="C170" s="3" t="inlineStr">
        <is>
          <t>II.6</t>
        </is>
      </c>
      <c r="D170" s="3" t="inlineStr">
        <is>
          <t>Giám sát nước biển</t>
        </is>
      </c>
      <c r="E170" s="3" t="inlineStr">
        <is>
          <t>Nhiệt độ</t>
        </is>
      </c>
      <c r="F170" s="3" t="inlineStr">
        <is>
          <t>0C</t>
        </is>
      </c>
      <c r="G170" s="3" t="n">
        <v>5</v>
      </c>
      <c r="H170" s="3" t="n">
        <v>2</v>
      </c>
      <c r="I170" s="3" t="n">
        <v>10</v>
      </c>
      <c r="J170" s="3" t="inlineStr">
        <is>
          <t>NB1: Trên biển Đông cách điểm xả nước làm mát 700m về phía Tây Nam NB2: Trên biển Đông, luồng tàu cách bờ Trung tâm điện lực Vĩnh Tân 1,7km NB3: Tại khu vực cảng Trung tâm điện lực Vĩnh Tân NB4: Tại điểm xả nước làm mát ra biển của NMNĐ Vĩnh Tân 4 và NMNĐ Vĩnh Tân 4 mở rộng NB5: Tại cảng 3.000DWT của địa phương, cách bờ xấp xỉ 400m về hướng biển Đông</t>
        </is>
      </c>
    </row>
    <row r="171">
      <c r="A171" s="2" t="inlineStr">
        <is>
          <t>3</t>
        </is>
      </c>
      <c r="B171" s="2" t="inlineStr">
        <is>
          <t>NB11</t>
        </is>
      </c>
      <c r="C171" s="2" t="inlineStr">
        <is>
          <t>II.6</t>
        </is>
      </c>
      <c r="D171" s="2" t="inlineStr">
        <is>
          <t>Giám sát nước biển</t>
        </is>
      </c>
      <c r="E171" s="2" t="inlineStr">
        <is>
          <t>DO</t>
        </is>
      </c>
      <c r="F171" s="2" t="inlineStr">
        <is>
          <t>mg/l</t>
        </is>
      </c>
      <c r="G171" s="2" t="n">
        <v>5</v>
      </c>
      <c r="H171" s="2" t="n">
        <v>2</v>
      </c>
      <c r="I171" s="2" t="n">
        <v>10</v>
      </c>
      <c r="J171" s="2" t="inlineStr">
        <is>
          <t>NB1: Trên biển Đông cách điểm xả nước làm mát 700m về phía Tây Nam NB2: Trên biển Đông, luồng tàu cách bờ Trung tâm điện lực Vĩnh Tân 1,7km NB3: Tại khu vực cảng Trung tâm điện lực Vĩnh Tân NB4: Tại điểm xả nước làm mát ra biển của NMNĐ Vĩnh Tân 4 và NMNĐ Vĩnh Tân 4 mở rộng NB5: Tại cảng 3.000DWT của địa phương, cách bờ xấp xỉ 400m về hướng biển Đông</t>
        </is>
      </c>
    </row>
    <row r="172">
      <c r="A172" s="3" t="inlineStr">
        <is>
          <t>4</t>
        </is>
      </c>
      <c r="B172" s="3" t="inlineStr">
        <is>
          <t>NB17a</t>
        </is>
      </c>
      <c r="C172" s="3" t="inlineStr">
        <is>
          <t>II.6</t>
        </is>
      </c>
      <c r="D172" s="3" t="inlineStr">
        <is>
          <t>Giám sát nước biển</t>
        </is>
      </c>
      <c r="E172" s="3" t="inlineStr">
        <is>
          <t>TSS</t>
        </is>
      </c>
      <c r="F172" s="3" t="inlineStr">
        <is>
          <t>mg/l</t>
        </is>
      </c>
      <c r="G172" s="3" t="n">
        <v>5</v>
      </c>
      <c r="H172" s="3" t="n">
        <v>2</v>
      </c>
      <c r="I172" s="3" t="n">
        <v>10</v>
      </c>
      <c r="J172" s="3" t="inlineStr">
        <is>
          <t>NB1: Trên biển Đông cách điểm xả nước làm mát 700m về phía Tây Nam NB2: Trên biển Đông, luồng tàu cách bờ Trung tâm điện lực Vĩnh Tân 1,7km NB3: Tại khu vực cảng Trung tâm điện lực Vĩnh Tân NB4: Tại điểm xả nước làm mát ra biển của NMNĐ Vĩnh Tân 4 và NMNĐ Vĩnh Tân 4 mở rộng NB5: Tại cảng 3.000DWT của địa phương, cách bờ xấp xỉ 400m về hướng biển Đông</t>
        </is>
      </c>
    </row>
    <row r="173">
      <c r="A173" s="2" t="inlineStr">
        <is>
          <t>5</t>
        </is>
      </c>
      <c r="B173" s="2" t="inlineStr">
        <is>
          <t>NB15</t>
        </is>
      </c>
      <c r="C173" s="2" t="inlineStr">
        <is>
          <t>II.6</t>
        </is>
      </c>
      <c r="D173" s="2" t="inlineStr">
        <is>
          <t>Giám sát nước biển</t>
        </is>
      </c>
      <c r="E173" s="2" t="inlineStr">
        <is>
          <t>Amoni (tính theo N)</t>
        </is>
      </c>
      <c r="F173" s="2" t="inlineStr">
        <is>
          <t>mg/l</t>
        </is>
      </c>
      <c r="G173" s="2" t="n">
        <v>5</v>
      </c>
      <c r="H173" s="2" t="n">
        <v>2</v>
      </c>
      <c r="I173" s="2" t="n">
        <v>10</v>
      </c>
      <c r="J173" s="2" t="inlineStr">
        <is>
          <t>NB1: Trên biển Đông cách điểm xả nước làm mát 700m về phía Tây Nam NB2: Trên biển Đông, luồng tàu cách bờ Trung tâm điện lực Vĩnh Tân 1,7km NB3: Tại khu vực cảng Trung tâm điện lực Vĩnh Tân NB4: Tại điểm xả nước làm mát ra biển của NMNĐ Vĩnh Tân 4 và NMNĐ Vĩnh Tân 4 mở rộng NB5: Tại cảng 3.000DWT của địa phương, cách bờ xấp xỉ 400m về hướng biển Đông</t>
        </is>
      </c>
    </row>
    <row r="174">
      <c r="A174" s="3" t="inlineStr">
        <is>
          <t>6</t>
        </is>
      </c>
      <c r="B174" s="3" t="inlineStr">
        <is>
          <t>NB10</t>
        </is>
      </c>
      <c r="C174" s="3" t="inlineStr">
        <is>
          <t>II.6</t>
        </is>
      </c>
      <c r="D174" s="3" t="inlineStr">
        <is>
          <t>Giám sát nước biển</t>
        </is>
      </c>
      <c r="E174" s="3" t="inlineStr">
        <is>
          <t>Phosphat</t>
        </is>
      </c>
      <c r="F174" s="3" t="inlineStr">
        <is>
          <t>mg/l</t>
        </is>
      </c>
      <c r="G174" s="3" t="n">
        <v>5</v>
      </c>
      <c r="H174" s="3" t="n">
        <v>2</v>
      </c>
      <c r="I174" s="3" t="n">
        <v>10</v>
      </c>
      <c r="J174" s="3" t="inlineStr">
        <is>
          <t>NB1: Trên biển Đông cách điểm xả nước làm mát 700m về phía Tây Nam NB2: Trên biển Đông, luồng tàu cách bờ Trung tâm điện lực Vĩnh Tân 1,7km NB3: Tại khu vực cảng Trung tâm điện lực Vĩnh Tân NB4: Tại điểm xả nước làm mát ra biển của NMNĐ Vĩnh Tân 4 và NMNĐ Vĩnh Tân 4 mở rộng NB5: Tại cảng 3.000DWT của địa phương, cách bờ xấp xỉ 400m về hướng biển Đông</t>
        </is>
      </c>
    </row>
    <row r="175">
      <c r="A175" s="2" t="inlineStr">
        <is>
          <t>7</t>
        </is>
      </c>
      <c r="B175" s="2" t="inlineStr">
        <is>
          <t>NB15</t>
        </is>
      </c>
      <c r="C175" s="2" t="inlineStr">
        <is>
          <t>II.6</t>
        </is>
      </c>
      <c r="D175" s="2" t="inlineStr">
        <is>
          <t>Giám sát nước biển</t>
        </is>
      </c>
      <c r="E175" s="2" t="inlineStr">
        <is>
          <t>Florua</t>
        </is>
      </c>
      <c r="F175" s="2" t="inlineStr">
        <is>
          <t>mg/l</t>
        </is>
      </c>
      <c r="G175" s="2" t="n">
        <v>5</v>
      </c>
      <c r="H175" s="2" t="n">
        <v>2</v>
      </c>
      <c r="I175" s="2" t="n">
        <v>10</v>
      </c>
      <c r="J175" s="2" t="inlineStr">
        <is>
          <t>NB1: Trên biển Đông cách điểm xả nước làm mát 700m về phía Tây Nam NB2: Trên biển Đông, luồng tàu cách bờ Trung tâm điện lực Vĩnh Tân 1,7km NB3: Tại khu vực cảng Trung tâm điện lực Vĩnh Tân NB4: Tại điểm xả nước làm mát ra biển của NMNĐ Vĩnh Tân 4 và NMNĐ Vĩnh Tân 4 mở rộng NB5: Tại cảng 3.000DWT của địa phương, cách bờ xấp xỉ 400m về hướng biển Đông</t>
        </is>
      </c>
    </row>
    <row r="176">
      <c r="A176" s="3" t="inlineStr">
        <is>
          <t>8</t>
        </is>
      </c>
      <c r="B176" s="3" t="inlineStr">
        <is>
          <t>NB20</t>
        </is>
      </c>
      <c r="C176" s="3" t="inlineStr">
        <is>
          <t>II.6</t>
        </is>
      </c>
      <c r="D176" s="3" t="inlineStr">
        <is>
          <t>Giám sát nước biển</t>
        </is>
      </c>
      <c r="E176" s="3" t="inlineStr">
        <is>
          <t>Xyanua</t>
        </is>
      </c>
      <c r="F176" s="3" t="inlineStr">
        <is>
          <t>mg/l</t>
        </is>
      </c>
      <c r="G176" s="3" t="n">
        <v>5</v>
      </c>
      <c r="H176" s="3" t="n">
        <v>2</v>
      </c>
      <c r="I176" s="3" t="n">
        <v>10</v>
      </c>
      <c r="J176" s="3" t="inlineStr">
        <is>
          <t>NB1: Trên biển Đông cách điểm xả nước làm mát 700m về phía Tây Nam NB2: Trên biển Đông, luồng tàu cách bờ Trung tâm điện lực Vĩnh Tân 1,7km NB3: Tại khu vực cảng Trung tâm điện lực Vĩnh Tân NB4: Tại điểm xả nước làm mát ra biển của NMNĐ Vĩnh Tân 4 và NMNĐ Vĩnh Tân 4 mở rộng NB5: Tại cảng 3.000DWT của địa phương, cách bờ xấp xỉ 400m về hướng biển Đông</t>
        </is>
      </c>
    </row>
    <row r="177">
      <c r="A177" s="2" t="inlineStr">
        <is>
          <t>9</t>
        </is>
      </c>
      <c r="B177" s="2" t="inlineStr">
        <is>
          <t>NB21</t>
        </is>
      </c>
      <c r="C177" s="2" t="inlineStr">
        <is>
          <t>II.6</t>
        </is>
      </c>
      <c r="D177" s="2" t="inlineStr">
        <is>
          <t>Giám sát nước biển</t>
        </is>
      </c>
      <c r="E177" s="2" t="inlineStr">
        <is>
          <t>Cd</t>
        </is>
      </c>
      <c r="F177" s="2" t="inlineStr">
        <is>
          <t>mg/l</t>
        </is>
      </c>
      <c r="G177" s="2" t="n">
        <v>5</v>
      </c>
      <c r="H177" s="2" t="n">
        <v>2</v>
      </c>
      <c r="I177" s="2" t="n">
        <v>10</v>
      </c>
      <c r="J177" s="2" t="inlineStr">
        <is>
          <t>NB1: Trên biển Đông cách điểm xả nước làm mát 700m về phía Tây Nam NB2: Trên biển Đông, luồng tàu cách bờ Trung tâm điện lực Vĩnh Tân 1,7km NB3: Tại khu vực cảng Trung tâm điện lực Vĩnh Tân NB4: Tại điểm xả nước làm mát ra biển của NMNĐ Vĩnh Tân 4 và NMNĐ Vĩnh Tân 4 mở rộng NB5: Tại cảng 3.000DWT của địa phương, cách bờ xấp xỉ 400m về hướng biển Đông</t>
        </is>
      </c>
    </row>
    <row r="178">
      <c r="A178" s="3" t="inlineStr">
        <is>
          <t>10</t>
        </is>
      </c>
      <c r="B178" s="3" t="inlineStr">
        <is>
          <t>NB21</t>
        </is>
      </c>
      <c r="C178" s="3" t="inlineStr">
        <is>
          <t>II.6</t>
        </is>
      </c>
      <c r="D178" s="3" t="inlineStr">
        <is>
          <t>Giám sát nước biển</t>
        </is>
      </c>
      <c r="E178" s="3" t="inlineStr">
        <is>
          <t>As</t>
        </is>
      </c>
      <c r="F178" s="3" t="inlineStr">
        <is>
          <t>mg/l</t>
        </is>
      </c>
      <c r="G178" s="3" t="n">
        <v>5</v>
      </c>
      <c r="H178" s="3" t="n">
        <v>2</v>
      </c>
      <c r="I178" s="3" t="n">
        <v>10</v>
      </c>
      <c r="J178" s="3" t="inlineStr">
        <is>
          <t>NB1: Trên biển Đông cách điểm xả nước làm mát 700m về phía Tây Nam NB2: Trên biển Đông, luồng tàu cách bờ Trung tâm điện lực Vĩnh Tân 1,7km NB3: Tại khu vực cảng Trung tâm điện lực Vĩnh Tân NB4: Tại điểm xả nước làm mát ra biển của NMNĐ Vĩnh Tân 4 và NMNĐ Vĩnh Tân 4 mở rộng NB5: Tại cảng 3.000DWT của địa phương, cách bờ xấp xỉ 400m về hướng biển Đông</t>
        </is>
      </c>
    </row>
    <row r="179">
      <c r="A179" s="2" t="inlineStr">
        <is>
          <t>11</t>
        </is>
      </c>
      <c r="B179" s="2" t="inlineStr">
        <is>
          <t>NB21</t>
        </is>
      </c>
      <c r="C179" s="2" t="inlineStr">
        <is>
          <t>II.6</t>
        </is>
      </c>
      <c r="D179" s="2" t="inlineStr">
        <is>
          <t>Giám sát nước biển</t>
        </is>
      </c>
      <c r="E179" s="2" t="inlineStr">
        <is>
          <t>Hg</t>
        </is>
      </c>
      <c r="F179" s="2" t="inlineStr">
        <is>
          <t>mg/l</t>
        </is>
      </c>
      <c r="G179" s="2" t="n">
        <v>5</v>
      </c>
      <c r="H179" s="2" t="n">
        <v>2</v>
      </c>
      <c r="I179" s="2" t="n">
        <v>10</v>
      </c>
      <c r="J179" s="2" t="inlineStr">
        <is>
          <t>NB1: Trên biển Đông cách điểm xả nước làm mát 700m về phía Tây Nam NB2: Trên biển Đông, luồng tàu cách bờ Trung tâm điện lực Vĩnh Tân 1,7km NB3: Tại khu vực cảng Trung tâm điện lực Vĩnh Tân NB4: Tại điểm xả nước làm mát ra biển của NMNĐ Vĩnh Tân 4 và NMNĐ Vĩnh Tân 4 mở rộng NB5: Tại cảng 3.000DWT của địa phương, cách bờ xấp xỉ 400m về hướng biển Đông</t>
        </is>
      </c>
    </row>
    <row r="180">
      <c r="A180" s="3" t="inlineStr">
        <is>
          <t>12</t>
        </is>
      </c>
      <c r="B180" s="3" t="inlineStr">
        <is>
          <t>NB21</t>
        </is>
      </c>
      <c r="C180" s="3" t="inlineStr">
        <is>
          <t>II.6</t>
        </is>
      </c>
      <c r="D180" s="3" t="inlineStr">
        <is>
          <t>Giám sát nước biển</t>
        </is>
      </c>
      <c r="E180" s="3" t="inlineStr">
        <is>
          <t>Cu</t>
        </is>
      </c>
      <c r="F180" s="3" t="inlineStr">
        <is>
          <t>mg/l</t>
        </is>
      </c>
      <c r="G180" s="3" t="n">
        <v>5</v>
      </c>
      <c r="H180" s="3" t="n">
        <v>2</v>
      </c>
      <c r="I180" s="3" t="n">
        <v>10</v>
      </c>
      <c r="J180" s="3" t="inlineStr">
        <is>
          <t>NB1: Trên biển Đông cách điểm xả nước làm mát 700m về phía Tây Nam NB2: Trên biển Đông, luồng tàu cách bờ Trung tâm điện lực Vĩnh Tân 1,7km NB3: Tại khu vực cảng Trung tâm điện lực Vĩnh Tân NB4: Tại điểm xả nước làm mát ra biển của NMNĐ Vĩnh Tân 4 và NMNĐ Vĩnh Tân 4 mở rộng NB5: Tại cảng 3.000DWT của địa phương, cách bờ xấp xỉ 400m về hướng biển Đông</t>
        </is>
      </c>
    </row>
    <row r="181">
      <c r="A181" s="2" t="inlineStr">
        <is>
          <t>13</t>
        </is>
      </c>
      <c r="B181" s="2" t="inlineStr">
        <is>
          <t>NB21</t>
        </is>
      </c>
      <c r="C181" s="2" t="inlineStr">
        <is>
          <t>II.6</t>
        </is>
      </c>
      <c r="D181" s="2" t="inlineStr">
        <is>
          <t>Giám sát nước biển</t>
        </is>
      </c>
      <c r="E181" s="2" t="inlineStr">
        <is>
          <t>Pb</t>
        </is>
      </c>
      <c r="F181" s="2" t="inlineStr">
        <is>
          <t>mg/l</t>
        </is>
      </c>
      <c r="G181" s="2" t="n">
        <v>5</v>
      </c>
      <c r="H181" s="2" t="n">
        <v>2</v>
      </c>
      <c r="I181" s="2" t="n">
        <v>10</v>
      </c>
      <c r="J181" s="2" t="inlineStr">
        <is>
          <t>NB1: Trên biển Đông cách điểm xả nước làm mát 700m về phía Tây Nam NB2: Trên biển Đông, luồng tàu cách bờ Trung tâm điện lực Vĩnh Tân 1,7km NB3: Tại khu vực cảng Trung tâm điện lực Vĩnh Tân NB4: Tại điểm xả nước làm mát ra biển của NMNĐ Vĩnh Tân 4 và NMNĐ Vĩnh Tân 4 mở rộng NB5: Tại cảng 3.000DWT của địa phương, cách bờ xấp xỉ 400m về hướng biển Đông</t>
        </is>
      </c>
    </row>
    <row r="182">
      <c r="A182" s="3" t="inlineStr">
        <is>
          <t>14</t>
        </is>
      </c>
      <c r="B182" s="3" t="inlineStr">
        <is>
          <t>NB21</t>
        </is>
      </c>
      <c r="C182" s="3" t="inlineStr">
        <is>
          <t>II.6</t>
        </is>
      </c>
      <c r="D182" s="3" t="inlineStr">
        <is>
          <t>Giám sát nước biển</t>
        </is>
      </c>
      <c r="E182" s="3" t="inlineStr">
        <is>
          <t>Fe</t>
        </is>
      </c>
      <c r="F182" s="3" t="inlineStr">
        <is>
          <t>mg/l</t>
        </is>
      </c>
      <c r="G182" s="3" t="n">
        <v>5</v>
      </c>
      <c r="H182" s="3" t="n">
        <v>2</v>
      </c>
      <c r="I182" s="3" t="n">
        <v>10</v>
      </c>
      <c r="J182" s="3" t="inlineStr">
        <is>
          <t>NB1: Trên biển Đông cách điểm xả nước làm mát 700m về phía Tây Nam NB2: Trên biển Đông, luồng tàu cách bờ Trung tâm điện lực Vĩnh Tân 1,7km NB3: Tại khu vực cảng Trung tâm điện lực Vĩnh Tân NB4: Tại điểm xả nước làm mát ra biển của NMNĐ Vĩnh Tân 4 và NMNĐ Vĩnh Tân 4 mở rộng NB5: Tại cảng 3.000DWT của địa phương, cách bờ xấp xỉ 400m về hướng biển Đông</t>
        </is>
      </c>
    </row>
    <row r="183">
      <c r="A183" s="2" t="inlineStr">
        <is>
          <t>15</t>
        </is>
      </c>
      <c r="B183" s="2" t="inlineStr">
        <is>
          <t>NB21</t>
        </is>
      </c>
      <c r="C183" s="2" t="inlineStr">
        <is>
          <t>II.6</t>
        </is>
      </c>
      <c r="D183" s="2" t="inlineStr">
        <is>
          <t>Giám sát nước biển</t>
        </is>
      </c>
      <c r="E183" s="2" t="inlineStr">
        <is>
          <t>Zn</t>
        </is>
      </c>
      <c r="F183" s="2" t="inlineStr">
        <is>
          <t>mg/l</t>
        </is>
      </c>
      <c r="G183" s="2" t="n">
        <v>5</v>
      </c>
      <c r="H183" s="2" t="n">
        <v>2</v>
      </c>
      <c r="I183" s="2" t="n">
        <v>10</v>
      </c>
      <c r="J183" s="2" t="inlineStr">
        <is>
          <t>NB1: Trên biển Đông cách điểm xả nước làm mát 700m về phía Tây Nam NB2: Trên biển Đông, luồng tàu cách bờ Trung tâm điện lực Vĩnh Tân 1,7km NB3: Tại khu vực cảng Trung tâm điện lực Vĩnh Tân NB4: Tại điểm xả nước làm mát ra biển của NMNĐ Vĩnh Tân 4 và NMNĐ Vĩnh Tân 4 mở rộng NB5: Tại cảng 3.000DWT của địa phương, cách bờ xấp xỉ 400m về hướng biển Đông</t>
        </is>
      </c>
    </row>
    <row r="184">
      <c r="A184" s="3" t="inlineStr">
        <is>
          <t>16</t>
        </is>
      </c>
      <c r="B184" s="3" t="inlineStr">
        <is>
          <t>NB21</t>
        </is>
      </c>
      <c r="C184" s="3" t="inlineStr">
        <is>
          <t>II.6</t>
        </is>
      </c>
      <c r="D184" s="3" t="inlineStr">
        <is>
          <t>Giám sát nước biển</t>
        </is>
      </c>
      <c r="E184" s="3" t="inlineStr">
        <is>
          <t>Tổng Cr</t>
        </is>
      </c>
      <c r="F184" s="3" t="inlineStr">
        <is>
          <t>mg/l</t>
        </is>
      </c>
      <c r="G184" s="3" t="n">
        <v>5</v>
      </c>
      <c r="H184" s="3" t="n">
        <v>2</v>
      </c>
      <c r="I184" s="3" t="n">
        <v>10</v>
      </c>
      <c r="J184" s="3" t="inlineStr">
        <is>
          <t>NB1: Trên biển Đông cách điểm xả nước làm mát 700m về phía Tây Nam NB2: Trên biển Đông, luồng tàu cách bờ Trung tâm điện lực Vĩnh Tân 1,7km NB3: Tại khu vực cảng Trung tâm điện lực Vĩnh Tân NB4: Tại điểm xả nước làm mát ra biển của NMNĐ Vĩnh Tân 4 và NMNĐ Vĩnh Tân 4 mở rộng NB5: Tại cảng 3.000DWT của địa phương, cách bờ xấp xỉ 400m về hướng biển Đông</t>
        </is>
      </c>
    </row>
    <row r="185">
      <c r="A185" s="2" t="inlineStr">
        <is>
          <t>17</t>
        </is>
      </c>
      <c r="B185" s="2" t="inlineStr">
        <is>
          <t>NB21</t>
        </is>
      </c>
      <c r="C185" s="2" t="inlineStr">
        <is>
          <t>II.6</t>
        </is>
      </c>
      <c r="D185" s="2" t="inlineStr">
        <is>
          <t>Giám sát nước biển</t>
        </is>
      </c>
      <c r="E185" s="2" t="inlineStr">
        <is>
          <t>Mn</t>
        </is>
      </c>
      <c r="F185" s="2" t="inlineStr">
        <is>
          <t>mg/l</t>
        </is>
      </c>
      <c r="G185" s="2" t="n">
        <v>5</v>
      </c>
      <c r="H185" s="2" t="n">
        <v>2</v>
      </c>
      <c r="I185" s="2" t="n">
        <v>10</v>
      </c>
      <c r="J185" s="2" t="inlineStr">
        <is>
          <t>NB1: Trên biển Đông cách điểm xả nước làm mát 700m về phía Tây Nam NB2: Trên biển Đông, luồng tàu cách bờ Trung tâm điện lực Vĩnh Tân 1,7km NB3: Tại khu vực cảng Trung tâm điện lực Vĩnh Tân NB4: Tại điểm xả nước làm mát ra biển của NMNĐ Vĩnh Tân 4 và NMNĐ Vĩnh Tân 4 mở rộng NB5: Tại cảng 3.000DWT của địa phương, cách bờ xấp xỉ 400m về hướng biển Đông</t>
        </is>
      </c>
    </row>
    <row r="186">
      <c r="A186" s="3" t="inlineStr">
        <is>
          <t>18</t>
        </is>
      </c>
      <c r="B186" s="3" t="inlineStr">
        <is>
          <t>NB21</t>
        </is>
      </c>
      <c r="C186" s="3" t="inlineStr">
        <is>
          <t>II.6</t>
        </is>
      </c>
      <c r="D186" s="3" t="inlineStr">
        <is>
          <t>Giám sát nước biển</t>
        </is>
      </c>
      <c r="E186" s="3" t="inlineStr">
        <is>
          <t>Cr VI</t>
        </is>
      </c>
      <c r="F186" s="3" t="inlineStr">
        <is>
          <t>mg/l</t>
        </is>
      </c>
      <c r="G186" s="3" t="n">
        <v>5</v>
      </c>
      <c r="H186" s="3" t="n">
        <v>2</v>
      </c>
      <c r="I186" s="3" t="n">
        <v>10</v>
      </c>
      <c r="J186" s="3" t="inlineStr">
        <is>
          <t>NB1: Trên biển Đông cách điểm xả nước làm mát 700m về phía Tây Nam NB2: Trên biển Đông, luồng tàu cách bờ Trung tâm điện lực Vĩnh Tân 1,7km NB3: Tại khu vực cảng Trung tâm điện lực Vĩnh Tân NB4: Tại điểm xả nước làm mát ra biển của NMNĐ Vĩnh Tân 4 và NMNĐ Vĩnh Tân 4 mở rộng NB5: Tại cảng 3.000DWT của địa phương, cách bờ xấp xỉ 400m về hướng biển Đông</t>
        </is>
      </c>
    </row>
    <row r="187">
      <c r="A187" s="2" t="inlineStr">
        <is>
          <t>19</t>
        </is>
      </c>
      <c r="B187" s="2" t="inlineStr">
        <is>
          <t>NB10</t>
        </is>
      </c>
      <c r="C187" s="2" t="inlineStr">
        <is>
          <t>II.6</t>
        </is>
      </c>
      <c r="D187" s="2" t="inlineStr">
        <is>
          <t>Giám sát nước biển</t>
        </is>
      </c>
      <c r="E187" s="2" t="inlineStr">
        <is>
          <t>Tổng Phenol</t>
        </is>
      </c>
      <c r="F187" s="2" t="inlineStr">
        <is>
          <t>mg/l</t>
        </is>
      </c>
      <c r="G187" s="2" t="n">
        <v>5</v>
      </c>
      <c r="H187" s="2" t="n">
        <v>2</v>
      </c>
      <c r="I187" s="2" t="n">
        <v>10</v>
      </c>
      <c r="J187" s="2" t="inlineStr">
        <is>
          <t>NB1: Trên biển Đông cách điểm xả nước làm mát 700m về phía Tây Nam NB2: Trên biển Đông, luồng tàu cách bờ Trung tâm điện lực Vĩnh Tân 1,7km NB3: Tại khu vực cảng Trung tâm điện lực Vĩnh Tân NB4: Tại điểm xả nước làm mát ra biển của NMNĐ Vĩnh Tân 4 và NMNĐ Vĩnh Tân 4 mở rộng NB5: Tại cảng 3.000DWT của địa phương, cách bờ xấp xỉ 400m về hướng biển Đông</t>
        </is>
      </c>
    </row>
    <row r="188">
      <c r="A188" s="3" t="inlineStr">
        <is>
          <t>20</t>
        </is>
      </c>
      <c r="B188" s="3" t="inlineStr">
        <is>
          <t>NB22</t>
        </is>
      </c>
      <c r="C188" s="3" t="inlineStr">
        <is>
          <t>II.6</t>
        </is>
      </c>
      <c r="D188" s="3" t="inlineStr">
        <is>
          <t>Giám sát nước biển</t>
        </is>
      </c>
      <c r="E188" s="3" t="inlineStr">
        <is>
          <t>Tổng dầu mỡ khoáng</t>
        </is>
      </c>
      <c r="F188" s="3" t="inlineStr">
        <is>
          <t>mg/l</t>
        </is>
      </c>
      <c r="G188" s="3" t="n">
        <v>5</v>
      </c>
      <c r="H188" s="3" t="n">
        <v>2</v>
      </c>
      <c r="I188" s="3" t="n">
        <v>10</v>
      </c>
      <c r="J188" s="3" t="inlineStr">
        <is>
          <t>NB1: Trên biển Đông cách điểm xả nước làm mát 700m về phía Tây Nam NB2: Trên biển Đông, luồng tàu cách bờ Trung tâm điện lực Vĩnh Tân 1,7km NB3: Tại khu vực cảng Trung tâm điện lực Vĩnh Tân NB4: Tại điểm xả nước làm mát ra biển của NMNĐ Vĩnh Tân 4 và NMNĐ Vĩnh Tân 4 mở rộng NB5: Tại cảng 3.000DWT của địa phương, cách bờ xấp xỉ 400m về hướng biển Đông</t>
        </is>
      </c>
    </row>
    <row r="189">
      <c r="A189" s="2" t="inlineStr">
        <is>
          <t>21</t>
        </is>
      </c>
      <c r="B189" s="2" t="inlineStr">
        <is>
          <t>NB18</t>
        </is>
      </c>
      <c r="C189" s="2" t="inlineStr">
        <is>
          <t>II.6</t>
        </is>
      </c>
      <c r="D189" s="2" t="inlineStr">
        <is>
          <t>Giám sát nước biển</t>
        </is>
      </c>
      <c r="E189" s="2" t="inlineStr">
        <is>
          <t>Coliform</t>
        </is>
      </c>
      <c r="F189" s="2" t="inlineStr">
        <is>
          <t>MPN/100ml</t>
        </is>
      </c>
      <c r="G189" s="2" t="n">
        <v>5</v>
      </c>
      <c r="H189" s="2" t="n">
        <v>2</v>
      </c>
      <c r="I189" s="2" t="n">
        <v>10</v>
      </c>
      <c r="J189" s="2" t="inlineStr">
        <is>
          <t>NB1: Trên biển Đông cách điểm xả nước làm mát 700m về phía Tây Nam NB2: Trên biển Đông, luồng tàu cách bờ Trung tâm điện lực Vĩnh Tân 1,7km NB3: Tại khu vực cảng Trung tâm điện lực Vĩnh Tân NB4: Tại điểm xả nước làm mát ra biển của NMNĐ Vĩnh Tân 4 và NMNĐ Vĩnh Tân 4 mở rộng NB5: Tại cảng 3.000DWT của địa phương, cách bờ xấp xỉ 400m về hướng biển Đông</t>
        </is>
      </c>
    </row>
    <row r="190">
      <c r="A190" s="3" t="inlineStr">
        <is>
          <t>1</t>
        </is>
      </c>
      <c r="B190" s="3" t="inlineStr">
        <is>
          <t>CT2</t>
        </is>
      </c>
      <c r="C190" s="3" t="inlineStr">
        <is>
          <t>II.11</t>
        </is>
      </c>
      <c r="D190" s="3" t="inlineStr">
        <is>
          <t>Giám sát bùn thải</t>
        </is>
      </c>
      <c r="E190" s="3" t="inlineStr">
        <is>
          <t>pH</t>
        </is>
      </c>
      <c r="F190" s="3" t="inlineStr">
        <is>
          <t>-</t>
        </is>
      </c>
      <c r="G190" s="3" t="n">
        <v>1</v>
      </c>
      <c r="H190" s="3" t="n">
        <v>4</v>
      </c>
      <c r="I190" s="3" t="n">
        <v>4</v>
      </c>
      <c r="J190" s="3" t="inlineStr">
        <is>
          <t>BT1: Sau hệ thống máy ép bùn công nghiệp thuộc hệ thống xử lý nước thải tập trung NMNĐ Vĩnh Tân 4</t>
        </is>
      </c>
    </row>
    <row r="191">
      <c r="A191" s="2" t="inlineStr">
        <is>
          <t>2</t>
        </is>
      </c>
      <c r="B191" s="2" t="inlineStr">
        <is>
          <t>CT3</t>
        </is>
      </c>
      <c r="C191" s="2" t="inlineStr">
        <is>
          <t>II.11</t>
        </is>
      </c>
      <c r="D191" s="2" t="inlineStr">
        <is>
          <t>Giám sát bùn thải</t>
        </is>
      </c>
      <c r="E191" s="2" t="inlineStr">
        <is>
          <t>Cyanua (CN-)</t>
        </is>
      </c>
      <c r="F191" s="2" t="inlineStr">
        <is>
          <t>ppm</t>
        </is>
      </c>
      <c r="G191" s="2" t="n">
        <v>1</v>
      </c>
      <c r="H191" s="2" t="n">
        <v>4</v>
      </c>
      <c r="I191" s="2" t="n">
        <v>4</v>
      </c>
      <c r="J191" s="2" t="inlineStr">
        <is>
          <t>BT1: Sau hệ thống máy ép bùn công nghiệp thuộc hệ thống xử lý nước thải tập trung NMNĐ Vĩnh Tân 4</t>
        </is>
      </c>
    </row>
    <row r="192">
      <c r="A192" s="3" t="inlineStr">
        <is>
          <t>3</t>
        </is>
      </c>
      <c r="B192" s="3" t="inlineStr">
        <is>
          <t>CT4</t>
        </is>
      </c>
      <c r="C192" s="3" t="inlineStr">
        <is>
          <t>II.11</t>
        </is>
      </c>
      <c r="D192" s="3" t="inlineStr">
        <is>
          <t>Giám sát bùn thải</t>
        </is>
      </c>
      <c r="E192" s="3" t="inlineStr">
        <is>
          <t>Crom (VI)</t>
        </is>
      </c>
      <c r="F192" s="3" t="inlineStr">
        <is>
          <t>mg/l</t>
        </is>
      </c>
      <c r="G192" s="3" t="n">
        <v>1</v>
      </c>
      <c r="H192" s="3" t="n">
        <v>4</v>
      </c>
      <c r="I192" s="3" t="n">
        <v>4</v>
      </c>
      <c r="J192" s="3" t="inlineStr">
        <is>
          <t>BT1: Sau hệ thống máy ép bùn công nghiệp thuộc hệ thống xử lý nước thải tập trung NMNĐ Vĩnh Tân 4</t>
        </is>
      </c>
    </row>
    <row r="193">
      <c r="A193" s="2" t="inlineStr">
        <is>
          <t>4</t>
        </is>
      </c>
      <c r="B193" s="2" t="inlineStr">
        <is>
          <t>CT7a</t>
        </is>
      </c>
      <c r="C193" s="2" t="inlineStr">
        <is>
          <t>II.11</t>
        </is>
      </c>
      <c r="D193" s="2" t="inlineStr">
        <is>
          <t>Giám sát bùn thải</t>
        </is>
      </c>
      <c r="E193" s="2" t="inlineStr">
        <is>
          <t>As</t>
        </is>
      </c>
      <c r="F193" s="2" t="inlineStr">
        <is>
          <t>mg/l</t>
        </is>
      </c>
      <c r="G193" s="2" t="n">
        <v>1</v>
      </c>
      <c r="H193" s="2" t="n">
        <v>4</v>
      </c>
      <c r="I193" s="2" t="n">
        <v>4</v>
      </c>
      <c r="J193" s="2" t="inlineStr">
        <is>
          <t>BT1: Sau hệ thống máy ép bùn công nghiệp thuộc hệ thống xử lý nước thải tập trung NMNĐ Vĩnh Tân 4</t>
        </is>
      </c>
    </row>
    <row r="194">
      <c r="A194" s="3" t="inlineStr">
        <is>
          <t>5</t>
        </is>
      </c>
      <c r="B194" s="3" t="inlineStr">
        <is>
          <t>CT7b</t>
        </is>
      </c>
      <c r="C194" s="3" t="inlineStr">
        <is>
          <t>II.11</t>
        </is>
      </c>
      <c r="D194" s="3" t="inlineStr">
        <is>
          <t>Giám sát bùn thải</t>
        </is>
      </c>
      <c r="E194" s="3" t="inlineStr">
        <is>
          <t>Hg</t>
        </is>
      </c>
      <c r="F194" s="3" t="inlineStr">
        <is>
          <t>mg/l</t>
        </is>
      </c>
      <c r="G194" s="3" t="n">
        <v>1</v>
      </c>
      <c r="H194" s="3" t="n">
        <v>4</v>
      </c>
      <c r="I194" s="3" t="n">
        <v>4</v>
      </c>
      <c r="J194" s="3" t="inlineStr">
        <is>
          <t>BT1: Sau hệ thống máy ép bùn công nghiệp thuộc hệ thống xử lý nước thải tập trung NMNĐ Vĩnh Tân 4</t>
        </is>
      </c>
    </row>
    <row r="195">
      <c r="A195" s="2" t="inlineStr">
        <is>
          <t>6</t>
        </is>
      </c>
      <c r="B195" s="2" t="inlineStr">
        <is>
          <t>CT2</t>
        </is>
      </c>
      <c r="C195" s="2" t="inlineStr">
        <is>
          <t>II.11</t>
        </is>
      </c>
      <c r="D195" s="2" t="inlineStr">
        <is>
          <t>Giám sát bùn thải</t>
        </is>
      </c>
      <c r="E195" s="2" t="inlineStr">
        <is>
          <t>Phenol</t>
        </is>
      </c>
      <c r="F195" s="2" t="inlineStr">
        <is>
          <t>mg/l</t>
        </is>
      </c>
      <c r="G195" s="2" t="n">
        <v>1</v>
      </c>
      <c r="H195" s="2" t="n">
        <v>4</v>
      </c>
      <c r="I195" s="2" t="n">
        <v>4</v>
      </c>
      <c r="J195" s="2" t="inlineStr">
        <is>
          <t>BT1: Sau hệ thống máy ép bùn công nghiệp thuộc hệ thống xử lý nước thải tập trung NMNĐ Vĩnh Tân 4</t>
        </is>
      </c>
    </row>
    <row r="196">
      <c r="A196" s="3" t="inlineStr">
        <is>
          <t>7</t>
        </is>
      </c>
      <c r="B196" s="3" t="inlineStr">
        <is>
          <t>CT6a</t>
        </is>
      </c>
      <c r="C196" s="3" t="inlineStr">
        <is>
          <t>II.11</t>
        </is>
      </c>
      <c r="D196" s="3" t="inlineStr">
        <is>
          <t>Giám sát bùn thải</t>
        </is>
      </c>
      <c r="E196" s="3" t="inlineStr">
        <is>
          <t>Pb</t>
        </is>
      </c>
      <c r="F196" s="3" t="inlineStr">
        <is>
          <t>mg/l</t>
        </is>
      </c>
      <c r="G196" s="3" t="n">
        <v>1</v>
      </c>
      <c r="H196" s="3" t="n">
        <v>4</v>
      </c>
      <c r="I196" s="3" t="n">
        <v>4</v>
      </c>
      <c r="J196" s="3" t="inlineStr">
        <is>
          <t>BT1: Sau hệ thống máy ép bùn công nghiệp thuộc hệ thống xử lý nước thải tập trung NMNĐ Vĩnh Tân 4</t>
        </is>
      </c>
    </row>
    <row r="197">
      <c r="A197" s="2" t="inlineStr">
        <is>
          <t>8</t>
        </is>
      </c>
      <c r="B197" s="2" t="inlineStr">
        <is>
          <t>CT6b</t>
        </is>
      </c>
      <c r="C197" s="2" t="inlineStr">
        <is>
          <t>II.11</t>
        </is>
      </c>
      <c r="D197" s="2" t="inlineStr">
        <is>
          <t>Giám sát bùn thải</t>
        </is>
      </c>
      <c r="E197" s="2" t="inlineStr">
        <is>
          <t>Cd</t>
        </is>
      </c>
      <c r="F197" s="2" t="inlineStr">
        <is>
          <t>mg/l</t>
        </is>
      </c>
      <c r="G197" s="2" t="n">
        <v>1</v>
      </c>
      <c r="H197" s="2" t="n">
        <v>4</v>
      </c>
      <c r="I197" s="2" t="n">
        <v>4</v>
      </c>
      <c r="J197" s="2" t="inlineStr">
        <is>
          <t>BT1: Sau hệ thống máy ép bùn công nghiệp thuộc hệ thống xử lý nước thải tập trung NMNĐ Vĩnh Tân 4</t>
        </is>
      </c>
    </row>
    <row r="198">
      <c r="A198" s="3" t="inlineStr">
        <is>
          <t>9</t>
        </is>
      </c>
      <c r="B198" s="3" t="inlineStr">
        <is>
          <t>CT8b</t>
        </is>
      </c>
      <c r="C198" s="3" t="inlineStr">
        <is>
          <t>II.11</t>
        </is>
      </c>
      <c r="D198" s="3" t="inlineStr">
        <is>
          <t>Giám sát bùn thải</t>
        </is>
      </c>
      <c r="E198" s="3" t="inlineStr">
        <is>
          <t>Zn</t>
        </is>
      </c>
      <c r="F198" s="3" t="inlineStr">
        <is>
          <t>mg/l</t>
        </is>
      </c>
      <c r="G198" s="3" t="n">
        <v>1</v>
      </c>
      <c r="H198" s="3" t="n">
        <v>4</v>
      </c>
      <c r="I198" s="3" t="n">
        <v>4</v>
      </c>
      <c r="J198" s="3" t="inlineStr">
        <is>
          <t>BT1: Sau hệ thống máy ép bùn công nghiệp thuộc hệ thống xử lý nước thải tập trung NMNĐ Vĩnh Tân 4</t>
        </is>
      </c>
    </row>
    <row r="199">
      <c r="A199" s="2" t="inlineStr">
        <is>
          <t>10</t>
        </is>
      </c>
      <c r="B199" s="2" t="inlineStr">
        <is>
          <t>CT8e</t>
        </is>
      </c>
      <c r="C199" s="2" t="inlineStr">
        <is>
          <t>II.11</t>
        </is>
      </c>
      <c r="D199" s="2" t="inlineStr">
        <is>
          <t>Giám sát bùn thải</t>
        </is>
      </c>
      <c r="E199" s="2" t="inlineStr">
        <is>
          <t>Ni</t>
        </is>
      </c>
      <c r="F199" s="2" t="inlineStr">
        <is>
          <t>mg/l</t>
        </is>
      </c>
      <c r="G199" s="2" t="n">
        <v>1</v>
      </c>
      <c r="H199" s="2" t="n">
        <v>4</v>
      </c>
      <c r="I199" s="2" t="n">
        <v>4</v>
      </c>
      <c r="J199" s="2" t="inlineStr">
        <is>
          <t>BT1: Sau hệ thống máy ép bùn công nghiệp thuộc hệ thống xử lý nước thải tập trung NMNĐ Vĩnh Tân 4</t>
        </is>
      </c>
    </row>
    <row r="200">
      <c r="A200" s="3" t="inlineStr">
        <is>
          <t>11</t>
        </is>
      </c>
      <c r="B200" s="3" t="inlineStr">
        <is>
          <t>CT8f</t>
        </is>
      </c>
      <c r="C200" s="3" t="inlineStr">
        <is>
          <t>II.11</t>
        </is>
      </c>
      <c r="D200" s="3" t="inlineStr">
        <is>
          <t>Giám sát bùn thải</t>
        </is>
      </c>
      <c r="E200" s="3" t="inlineStr">
        <is>
          <t>Ba</t>
        </is>
      </c>
      <c r="F200" s="3" t="inlineStr">
        <is>
          <t>mg/l</t>
        </is>
      </c>
      <c r="G200" s="3" t="n">
        <v>1</v>
      </c>
      <c r="H200" s="3" t="n">
        <v>4</v>
      </c>
      <c r="I200" s="3" t="n">
        <v>4</v>
      </c>
      <c r="J200" s="3" t="inlineStr">
        <is>
          <t>BT1: Sau hệ thống máy ép bùn công nghiệp thuộc hệ thống xử lý nước thải tập trung NMNĐ Vĩnh Tân 4</t>
        </is>
      </c>
    </row>
    <row r="201">
      <c r="A201" s="2" t="inlineStr">
        <is>
          <t>12</t>
        </is>
      </c>
      <c r="B201" s="2" t="inlineStr">
        <is>
          <t>CT8g</t>
        </is>
      </c>
      <c r="C201" s="2" t="inlineStr">
        <is>
          <t>II.11</t>
        </is>
      </c>
      <c r="D201" s="2" t="inlineStr">
        <is>
          <t>Giám sát bùn thải</t>
        </is>
      </c>
      <c r="E201" s="2" t="inlineStr">
        <is>
          <t>Se</t>
        </is>
      </c>
      <c r="F201" s="2" t="inlineStr">
        <is>
          <t>mg/l</t>
        </is>
      </c>
      <c r="G201" s="2" t="n">
        <v>1</v>
      </c>
      <c r="H201" s="2" t="n">
        <v>4</v>
      </c>
      <c r="I201" s="2" t="n">
        <v>4</v>
      </c>
      <c r="J201" s="2" t="inlineStr">
        <is>
          <t>BT1: Sau hệ thống máy ép bùn công nghiệp thuộc hệ thống xử lý nước thải tập trung NMNĐ Vĩnh Tân 4</t>
        </is>
      </c>
    </row>
    <row r="202">
      <c r="A202" s="3" t="inlineStr">
        <is>
          <t>13</t>
        </is>
      </c>
      <c r="B202" s="3" t="inlineStr">
        <is>
          <t>CT8m</t>
        </is>
      </c>
      <c r="C202" s="3" t="inlineStr">
        <is>
          <t>II.11</t>
        </is>
      </c>
      <c r="D202" s="3" t="inlineStr">
        <is>
          <t>Giám sát bùn thải</t>
        </is>
      </c>
      <c r="E202" s="3" t="inlineStr">
        <is>
          <t>Ag</t>
        </is>
      </c>
      <c r="F202" s="3" t="inlineStr">
        <is>
          <t>mg/l</t>
        </is>
      </c>
      <c r="G202" s="3" t="n">
        <v>1</v>
      </c>
      <c r="H202" s="3" t="n">
        <v>4</v>
      </c>
      <c r="I202" s="3" t="n">
        <v>4</v>
      </c>
      <c r="J202" s="3" t="inlineStr">
        <is>
          <t>BT1: Sau hệ thống máy ép bùn công nghiệp thuộc hệ thống xử lý nước thải tập trung NMNĐ Vĩnh Tân 4</t>
        </is>
      </c>
    </row>
    <row r="203">
      <c r="A203" s="2" t="inlineStr">
        <is>
          <t>1</t>
        </is>
      </c>
      <c r="B203" s="2" t="inlineStr">
        <is>
          <t>KT16</t>
        </is>
      </c>
      <c r="C203" s="2" t="inlineStr">
        <is>
          <t>II.8</t>
        </is>
      </c>
      <c r="D203" s="2" t="inlineStr">
        <is>
          <t>Giám sát khí thải</t>
        </is>
      </c>
      <c r="E203" s="2" t="inlineStr">
        <is>
          <t>Lưu lượng</t>
        </is>
      </c>
      <c r="F203" s="2" t="inlineStr">
        <is>
          <t>m3/h</t>
        </is>
      </c>
      <c r="G203" s="2" t="n">
        <v>1</v>
      </c>
      <c r="H203" s="2" t="n">
        <v>4</v>
      </c>
      <c r="I203" s="2" t="n">
        <v>4</v>
      </c>
      <c r="J203" s="2" t="inlineStr">
        <is>
          <t>KT1 – Ống khói sau hệ thống xử lý khí thải của NMNĐ Vĩnh Tân 4 mở rộng</t>
        </is>
      </c>
    </row>
    <row r="204">
      <c r="A204" s="3" t="inlineStr">
        <is>
          <t>2</t>
        </is>
      </c>
      <c r="B204" s="3" t="inlineStr">
        <is>
          <t>KT4</t>
        </is>
      </c>
      <c r="C204" s="3" t="inlineStr">
        <is>
          <t>II.8</t>
        </is>
      </c>
      <c r="D204" s="3" t="inlineStr">
        <is>
          <t>Giám sát khí thải</t>
        </is>
      </c>
      <c r="E204" s="3" t="inlineStr">
        <is>
          <t>Nhiệt độ</t>
        </is>
      </c>
      <c r="F204" s="3" t="inlineStr">
        <is>
          <t>0C</t>
        </is>
      </c>
      <c r="G204" s="3" t="n">
        <v>1</v>
      </c>
      <c r="H204" s="3" t="n">
        <v>4</v>
      </c>
      <c r="I204" s="3" t="n">
        <v>4</v>
      </c>
      <c r="J204" s="3" t="inlineStr">
        <is>
          <t>KT1 – Ống khói sau hệ thống xử lý khí thải của NMNĐ Vĩnh Tân 4 mở rộng</t>
        </is>
      </c>
    </row>
    <row r="205">
      <c r="A205" s="2" t="inlineStr">
        <is>
          <t>3</t>
        </is>
      </c>
      <c r="B205" s="2" t="inlineStr">
        <is>
          <t>KT10a</t>
        </is>
      </c>
      <c r="C205" s="2" t="inlineStr">
        <is>
          <t>II.8</t>
        </is>
      </c>
      <c r="D205" s="2" t="inlineStr">
        <is>
          <t>Giám sát khí thải</t>
        </is>
      </c>
      <c r="E205" s="2" t="inlineStr">
        <is>
          <t>Bụi tổng</t>
        </is>
      </c>
      <c r="F205" s="2" t="inlineStr">
        <is>
          <t>mg/Nm3</t>
        </is>
      </c>
      <c r="G205" s="2" t="n">
        <v>1</v>
      </c>
      <c r="H205" s="2" t="n">
        <v>4</v>
      </c>
      <c r="I205" s="2" t="n">
        <v>4</v>
      </c>
      <c r="J205" s="2" t="inlineStr">
        <is>
          <t>KT1 – Ống khói sau hệ thống xử lý khí thải của NMNĐ Vĩnh Tân 4 mở rộng</t>
        </is>
      </c>
    </row>
    <row r="206">
      <c r="A206" s="3" t="inlineStr">
        <is>
          <t>4</t>
        </is>
      </c>
      <c r="B206" s="3" t="inlineStr">
        <is>
          <t>KT9b</t>
        </is>
      </c>
      <c r="C206" s="3" t="inlineStr">
        <is>
          <t>II.8</t>
        </is>
      </c>
      <c r="D206" s="3" t="inlineStr">
        <is>
          <t>Giám sát khí thải</t>
        </is>
      </c>
      <c r="E206" s="3" t="inlineStr">
        <is>
          <t>CO</t>
        </is>
      </c>
      <c r="F206" s="3" t="inlineStr">
        <is>
          <t>mg/Nm3</t>
        </is>
      </c>
      <c r="G206" s="3" t="n">
        <v>1</v>
      </c>
      <c r="H206" s="3" t="n">
        <v>4</v>
      </c>
      <c r="I206" s="3" t="n">
        <v>4</v>
      </c>
      <c r="J206" s="3" t="inlineStr">
        <is>
          <t>KT1 – Ống khói sau hệ thống xử lý khí thải của NMNĐ Vĩnh Tân 4 mở rộng</t>
        </is>
      </c>
    </row>
    <row r="207">
      <c r="A207" s="2" t="inlineStr">
        <is>
          <t>5</t>
        </is>
      </c>
      <c r="B207" s="2" t="inlineStr">
        <is>
          <t>KT9e</t>
        </is>
      </c>
      <c r="C207" s="2" t="inlineStr">
        <is>
          <t>II.8</t>
        </is>
      </c>
      <c r="D207" s="2" t="inlineStr">
        <is>
          <t>Giám sát khí thải</t>
        </is>
      </c>
      <c r="E207" s="2" t="inlineStr">
        <is>
          <t>NOx (tính theo NO2)</t>
        </is>
      </c>
      <c r="F207" s="2" t="inlineStr">
        <is>
          <t>mg/Nm3</t>
        </is>
      </c>
      <c r="G207" s="2" t="n">
        <v>1</v>
      </c>
      <c r="H207" s="2" t="n">
        <v>4</v>
      </c>
      <c r="I207" s="2" t="n">
        <v>4</v>
      </c>
      <c r="J207" s="2" t="inlineStr">
        <is>
          <t>KT1 – Ống khói sau hệ thống xử lý khí thải của NMNĐ Vĩnh Tân 4 mở rộng</t>
        </is>
      </c>
    </row>
    <row r="208">
      <c r="A208" s="3" t="inlineStr">
        <is>
          <t>6</t>
        </is>
      </c>
      <c r="B208" s="3" t="inlineStr">
        <is>
          <t>KT9đ</t>
        </is>
      </c>
      <c r="C208" s="3" t="inlineStr">
        <is>
          <t>II.8</t>
        </is>
      </c>
      <c r="D208" s="3" t="inlineStr">
        <is>
          <t>Giám sát khí thải</t>
        </is>
      </c>
      <c r="E208" s="3" t="inlineStr">
        <is>
          <t>SO 2</t>
        </is>
      </c>
      <c r="F208" s="3" t="inlineStr">
        <is>
          <t>mg/Nm3</t>
        </is>
      </c>
      <c r="G208" s="3" t="n">
        <v>1</v>
      </c>
      <c r="H208" s="3" t="n">
        <v>4</v>
      </c>
      <c r="I208" s="3" t="n">
        <v>4</v>
      </c>
      <c r="J208" s="3" t="inlineStr">
        <is>
          <t>KT1 – Ống khói sau hệ thống xử lý khí thải của NMNĐ Vĩnh Tân 4 mở rộng</t>
        </is>
      </c>
    </row>
    <row r="209">
      <c r="A209" s="2" t="inlineStr">
        <is>
          <t>7</t>
        </is>
      </c>
      <c r="B209" s="2" t="inlineStr">
        <is>
          <t>KT9c</t>
        </is>
      </c>
      <c r="C209" s="2" t="inlineStr">
        <is>
          <t>II.8</t>
        </is>
      </c>
      <c r="D209" s="2" t="inlineStr">
        <is>
          <t>Giám sát khí thải</t>
        </is>
      </c>
      <c r="E209" s="2" t="inlineStr">
        <is>
          <t>Amoniac</t>
        </is>
      </c>
      <c r="F209" s="2" t="inlineStr">
        <is>
          <t>mg/Nm3</t>
        </is>
      </c>
      <c r="G209" s="2" t="n">
        <v>1</v>
      </c>
      <c r="H209" s="2" t="n">
        <v>4</v>
      </c>
      <c r="I209" s="2" t="n">
        <v>4</v>
      </c>
      <c r="J209" s="2" t="inlineStr">
        <is>
          <t>KT1 – Ống khói sau hệ thống xử lý khí thải của NMNĐ Vĩnh Tân 4 mở rộng</t>
        </is>
      </c>
    </row>
    <row r="210">
      <c r="A210" s="3" t="inlineStr">
        <is>
          <t>8</t>
        </is>
      </c>
      <c r="B210" s="3" t="inlineStr">
        <is>
          <t>KT9a</t>
        </is>
      </c>
      <c r="C210" s="3" t="inlineStr">
        <is>
          <t>II.8</t>
        </is>
      </c>
      <c r="D210" s="3" t="inlineStr">
        <is>
          <t>Giám sát khí thải</t>
        </is>
      </c>
      <c r="E210" s="3" t="inlineStr">
        <is>
          <t>O2</t>
        </is>
      </c>
      <c r="F210" s="3" t="inlineStr">
        <is>
          <t>%</t>
        </is>
      </c>
      <c r="G210" s="3" t="n">
        <v>1</v>
      </c>
      <c r="H210" s="3" t="n">
        <v>4</v>
      </c>
      <c r="I210" s="3" t="n">
        <v>4</v>
      </c>
      <c r="J210" s="3" t="inlineStr">
        <is>
          <t>KT1 – Ống khói sau hệ thống xử lý khí thải của NMNĐ Vĩnh Tân 4 mở rộng</t>
        </is>
      </c>
    </row>
    <row r="211">
      <c r="A211" s="2" t="inlineStr">
        <is>
          <t>1</t>
        </is>
      </c>
      <c r="B211" s="2" t="inlineStr">
        <is>
          <t>NT1</t>
        </is>
      </c>
      <c r="C211" s="2" t="inlineStr">
        <is>
          <t>II.9</t>
        </is>
      </c>
      <c r="D211" s="2" t="inlineStr">
        <is>
          <t>Nước làm mát, nước thải từ hệ thống khử lưu huỳnh bằng nước biển, nước thải từ hệ thống lọc nước biển</t>
        </is>
      </c>
      <c r="E211" s="2" t="inlineStr">
        <is>
          <t>Nhiệt độ</t>
        </is>
      </c>
      <c r="F211" s="2" t="inlineStr">
        <is>
          <t>0C</t>
        </is>
      </c>
      <c r="G211" s="2" t="n">
        <v>2</v>
      </c>
      <c r="H211" s="2" t="n">
        <v>4</v>
      </c>
      <c r="I211" s="2" t="n">
        <v>8</v>
      </c>
      <c r="J211" s="2" t="inlineStr">
        <is>
          <t>NT1: Phía cuối bể sục khí của NMNĐ Vĩnh Tân 4 mở rộng trước khi xả vào kênh thoát nước làm mát chung (NMNĐ Vĩnh Tân 4 và Vĩnh Tân 4 mở rộng) NT2: Nước thải từ hệ thống lọc nước biển của NMNĐ Vĩnh Tân 4</t>
        </is>
      </c>
    </row>
    <row r="212">
      <c r="A212" s="3" t="inlineStr">
        <is>
          <t>2</t>
        </is>
      </c>
      <c r="B212" s="3" t="inlineStr">
        <is>
          <t>NT2</t>
        </is>
      </c>
      <c r="C212" s="3" t="inlineStr">
        <is>
          <t>II.9</t>
        </is>
      </c>
      <c r="D212" s="3" t="inlineStr">
        <is>
          <t>Nước làm mát, nước thải từ hệ thống khử lưu huỳnh bằng nước biển, nước thải từ hệ thống lọc nước biển</t>
        </is>
      </c>
      <c r="E212" s="3" t="inlineStr">
        <is>
          <t>pH</t>
        </is>
      </c>
      <c r="F212" s="3" t="inlineStr">
        <is>
          <t>-</t>
        </is>
      </c>
      <c r="G212" s="3" t="n">
        <v>2</v>
      </c>
      <c r="H212" s="3" t="n">
        <v>4</v>
      </c>
      <c r="I212" s="3" t="n">
        <v>8</v>
      </c>
      <c r="J212" s="3" t="inlineStr">
        <is>
          <t>NT1: Phía cuối bể sục khí của NMNĐ Vĩnh Tân 4 mở rộng trước khi xả vào kênh thoát nước làm mát chung (NMNĐ Vĩnh Tân 4 và Vĩnh Tân 4 mở rộng) NT2: Nước thải từ hệ thống lọc nước biển của NMNĐ Vĩnh Tân 4</t>
        </is>
      </c>
    </row>
    <row r="213">
      <c r="A213" s="2" t="inlineStr">
        <is>
          <t>3</t>
        </is>
      </c>
      <c r="B213" s="2" t="inlineStr">
        <is>
          <t>NT10j</t>
        </is>
      </c>
      <c r="C213" s="2" t="inlineStr">
        <is>
          <t>II.9</t>
        </is>
      </c>
      <c r="D213" s="2" t="inlineStr">
        <is>
          <t>Nước làm mát, nước thải từ hệ thống khử lưu huỳnh bằng nước biển, nước thải từ hệ thống lọc nước biển</t>
        </is>
      </c>
      <c r="E213" s="2" t="inlineStr">
        <is>
          <t>Clo dư</t>
        </is>
      </c>
      <c r="F213" s="2" t="inlineStr">
        <is>
          <t>mg/l</t>
        </is>
      </c>
      <c r="G213" s="2" t="n">
        <v>2</v>
      </c>
      <c r="H213" s="2" t="n">
        <v>4</v>
      </c>
      <c r="I213" s="2" t="n">
        <v>8</v>
      </c>
      <c r="J213" s="2" t="inlineStr">
        <is>
          <t>NT1: Phía cuối bể sục khí của NMNĐ Vĩnh Tân 4 mở rộng trước khi xả vào kênh thoát nước làm mát chung (NMNĐ Vĩnh Tân 4 và Vĩnh Tân 4 mở rộng) NT2: Nước thải từ hệ thống lọc nước biển của NMNĐ Vĩnh Tân 4</t>
        </is>
      </c>
    </row>
    <row r="214">
      <c r="A214" s="3" t="inlineStr">
        <is>
          <t>4</t>
        </is>
      </c>
      <c r="B214" s="3" t="inlineStr">
        <is>
          <t>NT5b</t>
        </is>
      </c>
      <c r="C214" s="3" t="inlineStr">
        <is>
          <t>II.9</t>
        </is>
      </c>
      <c r="D214" s="3" t="inlineStr">
        <is>
          <t>Nước làm mát, nước thải từ hệ thống khử lưu huỳnh bằng nước biển, nước thải từ hệ thống lọc nước biển</t>
        </is>
      </c>
      <c r="E214" s="3" t="inlineStr">
        <is>
          <t>COD</t>
        </is>
      </c>
      <c r="F214" s="3" t="inlineStr">
        <is>
          <t>mg/l</t>
        </is>
      </c>
      <c r="G214" s="3" t="n">
        <v>2</v>
      </c>
      <c r="H214" s="3" t="n">
        <v>4</v>
      </c>
      <c r="I214" s="3" t="n">
        <v>8</v>
      </c>
      <c r="J214" s="3" t="inlineStr">
        <is>
          <t>NT1: Phía cuối bể sục khí của NMNĐ Vĩnh Tân 4 mở rộng trước khi xả vào kênh thoát nước làm mát chung (NMNĐ Vĩnh Tân 4 và Vĩnh Tân 4 mở rộng) NT2: Nước thải từ hệ thống lọc nước biển của NMNĐ Vĩnh Tân 4</t>
        </is>
      </c>
    </row>
    <row r="215">
      <c r="A215" s="2" t="inlineStr">
        <is>
          <t>5</t>
        </is>
      </c>
      <c r="B215" s="2" t="inlineStr">
        <is>
          <t>NT6</t>
        </is>
      </c>
      <c r="C215" s="2" t="inlineStr">
        <is>
          <t>II.9</t>
        </is>
      </c>
      <c r="D215" s="2" t="inlineStr">
        <is>
          <t>Nước làm mát, nước thải từ hệ thống khử lưu huỳnh bằng nước biển, nước thải từ hệ thống lọc nước biển</t>
        </is>
      </c>
      <c r="E215" s="2" t="inlineStr">
        <is>
          <t>TSS</t>
        </is>
      </c>
      <c r="F215" s="2" t="inlineStr">
        <is>
          <t>mg/l</t>
        </is>
      </c>
      <c r="G215" s="2" t="n">
        <v>2</v>
      </c>
      <c r="H215" s="2" t="n">
        <v>4</v>
      </c>
      <c r="I215" s="2" t="n">
        <v>8</v>
      </c>
      <c r="J215" s="2" t="inlineStr">
        <is>
          <t>NT1: Phía cuối bể sục khí của NMNĐ Vĩnh Tân 4 mở rộng trước khi xả vào kênh thoát nước làm mát chung (NMNĐ Vĩnh Tân 4 và Vĩnh Tân 4 mở rộng) NT2: Nước thải từ hệ thống lọc nước biển của NMNĐ Vĩnh Tân 4</t>
        </is>
      </c>
    </row>
    <row r="216">
      <c r="A216" s="3" t="inlineStr">
        <is>
          <t>2</t>
        </is>
      </c>
      <c r="B216" s="3" t="inlineStr">
        <is>
          <t>MỤC 2</t>
        </is>
      </c>
      <c r="C216" s="3" t="inlineStr"/>
      <c r="D216" s="3" t="inlineStr">
        <is>
          <t>Nước làm mát, nước thải từ hệ thống khử lưu huỳnh bằng nước biển, nước thải từ hệ thống lọc nước biển</t>
        </is>
      </c>
      <c r="E216" s="3" t="inlineStr">
        <is>
          <t>Tiêu đề: Nước thải sau xử lý của HTXLNT tập trung</t>
        </is>
      </c>
      <c r="F216" s="3" t="inlineStr">
        <is>
          <t>Header</t>
        </is>
      </c>
      <c r="G216" s="3" t="n">
        <v>0</v>
      </c>
      <c r="H216" s="3" t="n">
        <v>0</v>
      </c>
      <c r="I216" s="3" t="n">
        <v>0</v>
      </c>
      <c r="J216" s="3" t="inlineStr">
        <is>
          <t>NT1: Phía cuối bể sục khí của NMNĐ Vĩnh Tân 4 mở rộng trước khi xả vào kênh thoát nước làm mát chung (NMNĐ Vĩnh Tân 4 và Vĩnh Tân 4 mở rộng) NT2: Nước thải từ hệ thống lọc nước biển của NMNĐ Vĩnh Tân 4</t>
        </is>
      </c>
    </row>
    <row r="217">
      <c r="A217" s="2" t="inlineStr">
        <is>
          <t>1</t>
        </is>
      </c>
      <c r="B217" s="2" t="inlineStr">
        <is>
          <t>NT1</t>
        </is>
      </c>
      <c r="C217" s="2" t="inlineStr">
        <is>
          <t>II.9</t>
        </is>
      </c>
      <c r="D217" s="2" t="inlineStr">
        <is>
          <t>Nước làm mát, nước thải từ hệ thống khử lưu huỳnh bằng nước biển, nước thải từ hệ thống lọc nước biển</t>
        </is>
      </c>
      <c r="E217" s="2" t="inlineStr">
        <is>
          <t>Nhiệt độ</t>
        </is>
      </c>
      <c r="F217" s="2" t="inlineStr">
        <is>
          <t>0C</t>
        </is>
      </c>
      <c r="G217" s="2" t="n">
        <v>2</v>
      </c>
      <c r="H217" s="2" t="n">
        <v>4</v>
      </c>
      <c r="I217" s="2" t="n">
        <v>8</v>
      </c>
      <c r="J217" s="2" t="inlineStr">
        <is>
          <t>NT1: Nước thải sau xử lý của hệ thống xử lý nước thải tập trung NMNĐ Vĩnh Tân 4 mở rộng NT2: Nước lấy tại cửa xả hệ thống thu gom, thoát nước mưa của NMNĐ Vĩnh Tân 4 mở rộng trước khi thải ra môi trường</t>
        </is>
      </c>
    </row>
    <row r="218">
      <c r="A218" s="3" t="inlineStr">
        <is>
          <t>2</t>
        </is>
      </c>
      <c r="B218" s="3" t="inlineStr">
        <is>
          <t>NT2</t>
        </is>
      </c>
      <c r="C218" s="3" t="inlineStr">
        <is>
          <t>II.9</t>
        </is>
      </c>
      <c r="D218" s="3" t="inlineStr">
        <is>
          <t>Nước làm mát, nước thải từ hệ thống khử lưu huỳnh bằng nước biển, nước thải từ hệ thống lọc nước biển</t>
        </is>
      </c>
      <c r="E218" s="3" t="inlineStr">
        <is>
          <t>pH</t>
        </is>
      </c>
      <c r="F218" s="3" t="inlineStr">
        <is>
          <t>-</t>
        </is>
      </c>
      <c r="G218" s="3" t="n">
        <v>2</v>
      </c>
      <c r="H218" s="3" t="n">
        <v>4</v>
      </c>
      <c r="I218" s="3" t="n">
        <v>8</v>
      </c>
      <c r="J218" s="3" t="inlineStr">
        <is>
          <t>NT1: Nước thải sau xử lý của hệ thống xử lý nước thải tập trung NMNĐ Vĩnh Tân 4 mở rộng NT2: Nước lấy tại cửa xả hệ thống thu gom, thoát nước mưa của NMNĐ Vĩnh Tân 4 mở rộng trước khi thải ra môi trường</t>
        </is>
      </c>
    </row>
    <row r="219">
      <c r="A219" s="2" t="inlineStr">
        <is>
          <t>3</t>
        </is>
      </c>
      <c r="B219" s="2" t="inlineStr">
        <is>
          <t>NT4b</t>
        </is>
      </c>
      <c r="C219" s="2" t="inlineStr">
        <is>
          <t>II.9</t>
        </is>
      </c>
      <c r="D219" s="2" t="inlineStr">
        <is>
          <t>Nước làm mát, nước thải từ hệ thống khử lưu huỳnh bằng nước biển, nước thải từ hệ thống lọc nước biển</t>
        </is>
      </c>
      <c r="E219" s="2" t="inlineStr">
        <is>
          <t>Độ màu</t>
        </is>
      </c>
      <c r="F219" s="2" t="inlineStr">
        <is>
          <t>Pt/Co</t>
        </is>
      </c>
      <c r="G219" s="2" t="n">
        <v>2</v>
      </c>
      <c r="H219" s="2" t="n">
        <v>4</v>
      </c>
      <c r="I219" s="2" t="n">
        <v>8</v>
      </c>
      <c r="J219" s="2" t="inlineStr">
        <is>
          <t>NT1: Nước thải sau xử lý của hệ thống xử lý nước thải tập trung NMNĐ Vĩnh Tân 4 mở rộng NT2: Nước lấy tại cửa xả hệ thống thu gom, thoát nước mưa của NMNĐ Vĩnh Tân 4 mở rộng trước khi thải ra môi trường</t>
        </is>
      </c>
    </row>
    <row r="220">
      <c r="A220" s="3" t="inlineStr">
        <is>
          <t>4</t>
        </is>
      </c>
      <c r="B220" s="3" t="inlineStr">
        <is>
          <t>NT5a</t>
        </is>
      </c>
      <c r="C220" s="3" t="inlineStr">
        <is>
          <t>II.9</t>
        </is>
      </c>
      <c r="D220" s="3" t="inlineStr">
        <is>
          <t>Nước làm mát, nước thải từ hệ thống khử lưu huỳnh bằng nước biển, nước thải từ hệ thống lọc nước biển</t>
        </is>
      </c>
      <c r="E220" s="3" t="inlineStr">
        <is>
          <t>BOD5</t>
        </is>
      </c>
      <c r="F220" s="3" t="inlineStr">
        <is>
          <t>mg/l</t>
        </is>
      </c>
      <c r="G220" s="3" t="n">
        <v>2</v>
      </c>
      <c r="H220" s="3" t="n">
        <v>4</v>
      </c>
      <c r="I220" s="3" t="n">
        <v>8</v>
      </c>
      <c r="J220" s="3" t="inlineStr">
        <is>
          <t>NT1: Nước thải sau xử lý của hệ thống xử lý nước thải tập trung NMNĐ Vĩnh Tân 4 mở rộng NT2: Nước lấy tại cửa xả hệ thống thu gom, thoát nước mưa của NMNĐ Vĩnh Tân 4 mở rộng trước khi thải ra môi trường</t>
        </is>
      </c>
    </row>
    <row r="221">
      <c r="A221" s="2" t="inlineStr">
        <is>
          <t>5</t>
        </is>
      </c>
      <c r="B221" s="2" t="inlineStr">
        <is>
          <t>NT5b</t>
        </is>
      </c>
      <c r="C221" s="2" t="inlineStr">
        <is>
          <t>II.9</t>
        </is>
      </c>
      <c r="D221" s="2" t="inlineStr">
        <is>
          <t>Nước làm mát, nước thải từ hệ thống khử lưu huỳnh bằng nước biển, nước thải từ hệ thống lọc nước biển</t>
        </is>
      </c>
      <c r="E221" s="2" t="inlineStr">
        <is>
          <t>COD</t>
        </is>
      </c>
      <c r="F221" s="2" t="inlineStr">
        <is>
          <t>mg/l</t>
        </is>
      </c>
      <c r="G221" s="2" t="n">
        <v>2</v>
      </c>
      <c r="H221" s="2" t="n">
        <v>4</v>
      </c>
      <c r="I221" s="2" t="n">
        <v>8</v>
      </c>
      <c r="J221" s="2" t="inlineStr">
        <is>
          <t>NT1: Nước thải sau xử lý của hệ thống xử lý nước thải tập trung NMNĐ Vĩnh Tân 4 mở rộng NT2: Nước lấy tại cửa xả hệ thống thu gom, thoát nước mưa của NMNĐ Vĩnh Tân 4 mở rộng trước khi thải ra môi trường</t>
        </is>
      </c>
    </row>
    <row r="222">
      <c r="A222" s="3" t="inlineStr">
        <is>
          <t>6</t>
        </is>
      </c>
      <c r="B222" s="3" t="inlineStr">
        <is>
          <t>NT6</t>
        </is>
      </c>
      <c r="C222" s="3" t="inlineStr">
        <is>
          <t>II.9</t>
        </is>
      </c>
      <c r="D222" s="3" t="inlineStr">
        <is>
          <t>Nước làm mát, nước thải từ hệ thống khử lưu huỳnh bằng nước biển, nước thải từ hệ thống lọc nước biển</t>
        </is>
      </c>
      <c r="E222" s="3" t="inlineStr">
        <is>
          <t>TSS</t>
        </is>
      </c>
      <c r="F222" s="3" t="inlineStr">
        <is>
          <t>mg/l</t>
        </is>
      </c>
      <c r="G222" s="3" t="n">
        <v>2</v>
      </c>
      <c r="H222" s="3" t="n">
        <v>4</v>
      </c>
      <c r="I222" s="3" t="n">
        <v>8</v>
      </c>
      <c r="J222" s="3" t="inlineStr">
        <is>
          <t>NT1: Nước thải sau xử lý của hệ thống xử lý nước thải tập trung NMNĐ Vĩnh Tân 4 mở rộng NT2: Nước lấy tại cửa xả hệ thống thu gom, thoát nước mưa của NMNĐ Vĩnh Tân 4 mở rộng trước khi thải ra môi trường</t>
        </is>
      </c>
    </row>
    <row r="223">
      <c r="A223" s="2" t="inlineStr">
        <is>
          <t>7</t>
        </is>
      </c>
      <c r="B223" s="2" t="inlineStr">
        <is>
          <t>NT10c</t>
        </is>
      </c>
      <c r="C223" s="2" t="inlineStr">
        <is>
          <t>II.9</t>
        </is>
      </c>
      <c r="D223" s="2" t="inlineStr">
        <is>
          <t>Nước làm mát, nước thải từ hệ thống khử lưu huỳnh bằng nước biển, nước thải từ hệ thống lọc nước biển</t>
        </is>
      </c>
      <c r="E223" s="2" t="inlineStr">
        <is>
          <t>Amoni (tính theo N)</t>
        </is>
      </c>
      <c r="F223" s="2" t="inlineStr">
        <is>
          <t>mg/l</t>
        </is>
      </c>
      <c r="G223" s="2" t="n">
        <v>2</v>
      </c>
      <c r="H223" s="2" t="n">
        <v>4</v>
      </c>
      <c r="I223" s="2" t="n">
        <v>8</v>
      </c>
      <c r="J223" s="2" t="inlineStr">
        <is>
          <t>NT1: Nước thải sau xử lý của hệ thống xử lý nước thải tập trung NMNĐ Vĩnh Tân 4 mở rộng NT2: Nước lấy tại cửa xả hệ thống thu gom, thoát nước mưa của NMNĐ Vĩnh Tân 4 mở rộng trước khi thải ra môi trường</t>
        </is>
      </c>
    </row>
    <row r="224">
      <c r="A224" s="3" t="inlineStr">
        <is>
          <t>8</t>
        </is>
      </c>
      <c r="B224" s="3" t="inlineStr">
        <is>
          <t>NT10l1</t>
        </is>
      </c>
      <c r="C224" s="3" t="inlineStr">
        <is>
          <t>II.9</t>
        </is>
      </c>
      <c r="D224" s="3" t="inlineStr">
        <is>
          <t>Nước làm mát, nước thải từ hệ thống khử lưu huỳnh bằng nước biển, nước thải từ hệ thống lọc nước biển</t>
        </is>
      </c>
      <c r="E224" s="3" t="inlineStr">
        <is>
          <t>Asen</t>
        </is>
      </c>
      <c r="F224" s="3" t="inlineStr">
        <is>
          <t>mg/l</t>
        </is>
      </c>
      <c r="G224" s="3" t="n">
        <v>2</v>
      </c>
      <c r="H224" s="3" t="n">
        <v>4</v>
      </c>
      <c r="I224" s="3" t="n">
        <v>8</v>
      </c>
      <c r="J224" s="3" t="inlineStr">
        <is>
          <t>NT1: Nước thải sau xử lý của hệ thống xử lý nước thải tập trung NMNĐ Vĩnh Tân 4 mở rộng NT2: Nước lấy tại cửa xả hệ thống thu gom, thoát nước mưa của NMNĐ Vĩnh Tân 4 mở rộng trước khi thải ra môi trường</t>
        </is>
      </c>
    </row>
    <row r="225">
      <c r="A225" s="2" t="inlineStr">
        <is>
          <t>9</t>
        </is>
      </c>
      <c r="B225" s="2" t="inlineStr">
        <is>
          <t>NT10l2</t>
        </is>
      </c>
      <c r="C225" s="2" t="inlineStr">
        <is>
          <t>II.9</t>
        </is>
      </c>
      <c r="D225" s="2" t="inlineStr">
        <is>
          <t>Nước làm mát, nước thải từ hệ thống khử lưu huỳnh bằng nước biển, nước thải từ hệ thống lọc nước biển</t>
        </is>
      </c>
      <c r="E225" s="2" t="inlineStr">
        <is>
          <t>Thủy ngân</t>
        </is>
      </c>
      <c r="F225" s="2" t="inlineStr">
        <is>
          <t>mg/l</t>
        </is>
      </c>
      <c r="G225" s="2" t="n">
        <v>2</v>
      </c>
      <c r="H225" s="2" t="n">
        <v>4</v>
      </c>
      <c r="I225" s="2" t="n">
        <v>8</v>
      </c>
      <c r="J225" s="2" t="inlineStr">
        <is>
          <t>NT1: Nước thải sau xử lý của hệ thống xử lý nước thải tập trung NMNĐ Vĩnh Tân 4 mở rộng NT2: Nước lấy tại cửa xả hệ thống thu gom, thoát nước mưa của NMNĐ Vĩnh Tân 4 mở rộng trước khi thải ra môi trường</t>
        </is>
      </c>
    </row>
    <row r="226">
      <c r="A226" s="3" t="inlineStr">
        <is>
          <t>10</t>
        </is>
      </c>
      <c r="B226" s="3" t="inlineStr">
        <is>
          <t>NT10đ</t>
        </is>
      </c>
      <c r="C226" s="3" t="inlineStr">
        <is>
          <t>II.9</t>
        </is>
      </c>
      <c r="D226" s="3" t="inlineStr">
        <is>
          <t>Nước làm mát, nước thải từ hệ thống khử lưu huỳnh bằng nước biển, nước thải từ hệ thống lọc nước biển</t>
        </is>
      </c>
      <c r="E226" s="3" t="inlineStr">
        <is>
          <t>Crom (VI)</t>
        </is>
      </c>
      <c r="F226" s="3" t="inlineStr">
        <is>
          <t>mg/l</t>
        </is>
      </c>
      <c r="G226" s="3" t="n">
        <v>2</v>
      </c>
      <c r="H226" s="3" t="n">
        <v>4</v>
      </c>
      <c r="I226" s="3" t="n">
        <v>8</v>
      </c>
      <c r="J226" s="3" t="inlineStr">
        <is>
          <t>NT1: Nước thải sau xử lý của hệ thống xử lý nước thải tập trung NMNĐ Vĩnh Tân 4 mở rộng NT2: Nước lấy tại cửa xả hệ thống thu gom, thoát nước mưa của NMNĐ Vĩnh Tân 4 mở rộng trước khi thải ra môi trường</t>
        </is>
      </c>
    </row>
    <row r="227">
      <c r="A227" s="2" t="inlineStr">
        <is>
          <t>11</t>
        </is>
      </c>
      <c r="B227" s="2" t="inlineStr">
        <is>
          <t>NT10m5</t>
        </is>
      </c>
      <c r="C227" s="2" t="inlineStr">
        <is>
          <t>II.9</t>
        </is>
      </c>
      <c r="D227" s="2" t="inlineStr">
        <is>
          <t>Nước làm mát, nước thải từ hệ thống khử lưu huỳnh bằng nước biển, nước thải từ hệ thống lọc nước biển</t>
        </is>
      </c>
      <c r="E227" s="2" t="inlineStr">
        <is>
          <t>Crom (III)</t>
        </is>
      </c>
      <c r="F227" s="2" t="inlineStr">
        <is>
          <t>mg/l</t>
        </is>
      </c>
      <c r="G227" s="2" t="n">
        <v>2</v>
      </c>
      <c r="H227" s="2" t="n">
        <v>4</v>
      </c>
      <c r="I227" s="2" t="n">
        <v>8</v>
      </c>
      <c r="J227" s="2" t="inlineStr">
        <is>
          <t>NT1: Nước thải sau xử lý của hệ thống xử lý nước thải tập trung NMNĐ Vĩnh Tân 4 mở rộng NT2: Nước lấy tại cửa xả hệ thống thu gom, thoát nước mưa của NMNĐ Vĩnh Tân 4 mở rộng trước khi thải ra môi trường</t>
        </is>
      </c>
    </row>
    <row r="228">
      <c r="A228" s="3" t="inlineStr">
        <is>
          <t>12</t>
        </is>
      </c>
      <c r="B228" s="3" t="inlineStr">
        <is>
          <t>NT10k1</t>
        </is>
      </c>
      <c r="C228" s="3" t="inlineStr">
        <is>
          <t>II.9</t>
        </is>
      </c>
      <c r="D228" s="3" t="inlineStr">
        <is>
          <t>Nước làm mát, nước thải từ hệ thống khử lưu huỳnh bằng nước biển, nước thải từ hệ thống lọc nước biển</t>
        </is>
      </c>
      <c r="E228" s="3" t="inlineStr">
        <is>
          <t>Chì</t>
        </is>
      </c>
      <c r="F228" s="3" t="inlineStr">
        <is>
          <t>mg/l</t>
        </is>
      </c>
      <c r="G228" s="3" t="n">
        <v>2</v>
      </c>
      <c r="H228" s="3" t="n">
        <v>4</v>
      </c>
      <c r="I228" s="3" t="n">
        <v>8</v>
      </c>
      <c r="J228" s="3" t="inlineStr">
        <is>
          <t>NT1: Nước thải sau xử lý của hệ thống xử lý nước thải tập trung NMNĐ Vĩnh Tân 4 mở rộng NT2: Nước lấy tại cửa xả hệ thống thu gom, thoát nước mưa của NMNĐ Vĩnh Tân 4 mở rộng trước khi thải ra môi trường</t>
        </is>
      </c>
    </row>
    <row r="229">
      <c r="A229" s="2" t="inlineStr">
        <is>
          <t>13</t>
        </is>
      </c>
      <c r="B229" s="2" t="inlineStr">
        <is>
          <t>NT10k2</t>
        </is>
      </c>
      <c r="C229" s="2" t="inlineStr">
        <is>
          <t>II.9</t>
        </is>
      </c>
      <c r="D229" s="2" t="inlineStr">
        <is>
          <t>Nước làm mát, nước thải từ hệ thống khử lưu huỳnh bằng nước biển, nước thải từ hệ thống lọc nước biển</t>
        </is>
      </c>
      <c r="E229" s="2" t="inlineStr">
        <is>
          <t>Cadimi</t>
        </is>
      </c>
      <c r="F229" s="2" t="inlineStr">
        <is>
          <t>mg/l</t>
        </is>
      </c>
      <c r="G229" s="2" t="n">
        <v>2</v>
      </c>
      <c r="H229" s="2" t="n">
        <v>4</v>
      </c>
      <c r="I229" s="2" t="n">
        <v>8</v>
      </c>
      <c r="J229" s="2" t="inlineStr">
        <is>
          <t>NT1: Nước thải sau xử lý của hệ thống xử lý nước thải tập trung NMNĐ Vĩnh Tân 4 mở rộng NT2: Nước lấy tại cửa xả hệ thống thu gom, thoát nước mưa của NMNĐ Vĩnh Tân 4 mở rộng trước khi thải ra môi trường</t>
        </is>
      </c>
    </row>
    <row r="230">
      <c r="A230" s="3" t="inlineStr">
        <is>
          <t>14</t>
        </is>
      </c>
      <c r="B230" s="3" t="inlineStr">
        <is>
          <t>NT10m1</t>
        </is>
      </c>
      <c r="C230" s="3" t="inlineStr">
        <is>
          <t>II.9</t>
        </is>
      </c>
      <c r="D230" s="3" t="inlineStr">
        <is>
          <t>Nước làm mát, nước thải từ hệ thống khử lưu huỳnh bằng nước biển, nước thải từ hệ thống lọc nước biển</t>
        </is>
      </c>
      <c r="E230" s="3" t="inlineStr">
        <is>
          <t>Đồng</t>
        </is>
      </c>
      <c r="F230" s="3" t="inlineStr">
        <is>
          <t>mg/l</t>
        </is>
      </c>
      <c r="G230" s="3" t="n">
        <v>2</v>
      </c>
      <c r="H230" s="3" t="n">
        <v>4</v>
      </c>
      <c r="I230" s="3" t="n">
        <v>8</v>
      </c>
      <c r="J230" s="3" t="inlineStr">
        <is>
          <t>NT1: Nước thải sau xử lý của hệ thống xử lý nước thải tập trung NMNĐ Vĩnh Tân 4 mở rộng NT2: Nước lấy tại cửa xả hệ thống thu gom, thoát nước mưa của NMNĐ Vĩnh Tân 4 mở rộng trước khi thải ra môi trường</t>
        </is>
      </c>
    </row>
    <row r="231">
      <c r="A231" s="2" t="inlineStr">
        <is>
          <t>15</t>
        </is>
      </c>
      <c r="B231" s="2" t="inlineStr">
        <is>
          <t>NT10m2</t>
        </is>
      </c>
      <c r="C231" s="2" t="inlineStr">
        <is>
          <t>II.9</t>
        </is>
      </c>
      <c r="D231" s="2" t="inlineStr">
        <is>
          <t>Nước làm mát, nước thải từ hệ thống khử lưu huỳnh bằng nước biển, nước thải từ hệ thống lọc nước biển</t>
        </is>
      </c>
      <c r="E231" s="2" t="inlineStr">
        <is>
          <t>Kẽm</t>
        </is>
      </c>
      <c r="F231" s="2" t="inlineStr">
        <is>
          <t>mg/l</t>
        </is>
      </c>
      <c r="G231" s="2" t="n">
        <v>2</v>
      </c>
      <c r="H231" s="2" t="n">
        <v>4</v>
      </c>
      <c r="I231" s="2" t="n">
        <v>8</v>
      </c>
      <c r="J231" s="2" t="inlineStr">
        <is>
          <t>NT1: Nước thải sau xử lý của hệ thống xử lý nước thải tập trung NMNĐ Vĩnh Tân 4 mở rộng NT2: Nước lấy tại cửa xả hệ thống thu gom, thoát nước mưa của NMNĐ Vĩnh Tân 4 mở rộng trước khi thải ra môi trường</t>
        </is>
      </c>
    </row>
    <row r="232">
      <c r="A232" s="3" t="inlineStr">
        <is>
          <t>16</t>
        </is>
      </c>
      <c r="B232" s="3" t="inlineStr">
        <is>
          <t>NT10m6</t>
        </is>
      </c>
      <c r="C232" s="3" t="inlineStr">
        <is>
          <t>II.9</t>
        </is>
      </c>
      <c r="D232" s="3" t="inlineStr">
        <is>
          <t>Nước làm mát, nước thải từ hệ thống khử lưu huỳnh bằng nước biển, nước thải từ hệ thống lọc nước biển</t>
        </is>
      </c>
      <c r="E232" s="3" t="inlineStr">
        <is>
          <t>Niken</t>
        </is>
      </c>
      <c r="F232" s="3" t="inlineStr">
        <is>
          <t>mg/l</t>
        </is>
      </c>
      <c r="G232" s="3" t="n">
        <v>2</v>
      </c>
      <c r="H232" s="3" t="n">
        <v>4</v>
      </c>
      <c r="I232" s="3" t="n">
        <v>8</v>
      </c>
      <c r="J232" s="3" t="inlineStr">
        <is>
          <t>NT1: Nước thải sau xử lý của hệ thống xử lý nước thải tập trung NMNĐ Vĩnh Tân 4 mở rộng NT2: Nước lấy tại cửa xả hệ thống thu gom, thoát nước mưa của NMNĐ Vĩnh Tân 4 mở rộng trước khi thải ra môi trường</t>
        </is>
      </c>
    </row>
    <row r="233">
      <c r="A233" s="2" t="inlineStr">
        <is>
          <t>17</t>
        </is>
      </c>
      <c r="B233" s="2" t="inlineStr">
        <is>
          <t>NT10m3</t>
        </is>
      </c>
      <c r="C233" s="2" t="inlineStr">
        <is>
          <t>II.9</t>
        </is>
      </c>
      <c r="D233" s="2" t="inlineStr">
        <is>
          <t>Nước làm mát, nước thải từ hệ thống khử lưu huỳnh bằng nước biển, nước thải từ hệ thống lọc nước biển</t>
        </is>
      </c>
      <c r="E233" s="2" t="inlineStr">
        <is>
          <t>Mangan</t>
        </is>
      </c>
      <c r="F233" s="2" t="inlineStr">
        <is>
          <t>mg/l</t>
        </is>
      </c>
      <c r="G233" s="2" t="n">
        <v>2</v>
      </c>
      <c r="H233" s="2" t="n">
        <v>4</v>
      </c>
      <c r="I233" s="2" t="n">
        <v>8</v>
      </c>
      <c r="J233" s="2" t="inlineStr">
        <is>
          <t>NT1: Nước thải sau xử lý của hệ thống xử lý nước thải tập trung NMNĐ Vĩnh Tân 4 mở rộng NT2: Nước lấy tại cửa xả hệ thống thu gom, thoát nước mưa của NMNĐ Vĩnh Tân 4 mở rộng trước khi thải ra môi trường</t>
        </is>
      </c>
    </row>
    <row r="234">
      <c r="A234" s="3" t="inlineStr">
        <is>
          <t>18</t>
        </is>
      </c>
      <c r="B234" s="3" t="inlineStr">
        <is>
          <t>NT10m4</t>
        </is>
      </c>
      <c r="C234" s="3" t="inlineStr">
        <is>
          <t>II.9</t>
        </is>
      </c>
      <c r="D234" s="3" t="inlineStr">
        <is>
          <t>Nước làm mát, nước thải từ hệ thống khử lưu huỳnh bằng nước biển, nước thải từ hệ thống lọc nước biển</t>
        </is>
      </c>
      <c r="E234" s="3" t="inlineStr">
        <is>
          <t>Sắt</t>
        </is>
      </c>
      <c r="F234" s="3" t="inlineStr">
        <is>
          <t>mg/l</t>
        </is>
      </c>
      <c r="G234" s="3" t="n">
        <v>2</v>
      </c>
      <c r="H234" s="3" t="n">
        <v>4</v>
      </c>
      <c r="I234" s="3" t="n">
        <v>8</v>
      </c>
      <c r="J234" s="3" t="inlineStr">
        <is>
          <t>NT1: Nước thải sau xử lý của hệ thống xử lý nước thải tập trung NMNĐ Vĩnh Tân 4 mở rộng NT2: Nước lấy tại cửa xả hệ thống thu gom, thoát nước mưa của NMNĐ Vĩnh Tân 4 mở rộng trước khi thải ra môi trường</t>
        </is>
      </c>
    </row>
    <row r="235">
      <c r="A235" s="2" t="inlineStr">
        <is>
          <t>19</t>
        </is>
      </c>
      <c r="B235" s="2" t="inlineStr">
        <is>
          <t>NT9</t>
        </is>
      </c>
      <c r="C235" s="2" t="inlineStr">
        <is>
          <t>II.9</t>
        </is>
      </c>
      <c r="D235" s="2" t="inlineStr">
        <is>
          <t>Nước làm mát, nước thải từ hệ thống khử lưu huỳnh bằng nước biển, nước thải từ hệ thống lọc nước biển</t>
        </is>
      </c>
      <c r="E235" s="2" t="inlineStr">
        <is>
          <t>Tổng xianua</t>
        </is>
      </c>
      <c r="F235" s="2" t="inlineStr">
        <is>
          <t>mg/l</t>
        </is>
      </c>
      <c r="G235" s="2" t="n">
        <v>2</v>
      </c>
      <c r="H235" s="2" t="n">
        <v>4</v>
      </c>
      <c r="I235" s="2" t="n">
        <v>8</v>
      </c>
      <c r="J235" s="2" t="inlineStr">
        <is>
          <t>NT1: Nước thải sau xử lý của hệ thống xử lý nước thải tập trung NMNĐ Vĩnh Tân 4 mở rộng NT2: Nước lấy tại cửa xả hệ thống thu gom, thoát nước mưa của NMNĐ Vĩnh Tân 4 mở rộng trước khi thải ra môi trường</t>
        </is>
      </c>
    </row>
    <row r="236">
      <c r="A236" s="3" t="inlineStr">
        <is>
          <t>20</t>
        </is>
      </c>
      <c r="B236" s="3" t="inlineStr">
        <is>
          <t>NT2</t>
        </is>
      </c>
      <c r="C236" s="3" t="inlineStr">
        <is>
          <t>II.9</t>
        </is>
      </c>
      <c r="D236" s="3" t="inlineStr">
        <is>
          <t>Nước làm mát, nước thải từ hệ thống khử lưu huỳnh bằng nước biển, nước thải từ hệ thống lọc nước biển</t>
        </is>
      </c>
      <c r="E236" s="3" t="inlineStr">
        <is>
          <t>Tổng Phenol</t>
        </is>
      </c>
      <c r="F236" s="3" t="inlineStr">
        <is>
          <t>mg/l</t>
        </is>
      </c>
      <c r="G236" s="3" t="n">
        <v>2</v>
      </c>
      <c r="H236" s="3" t="n">
        <v>4</v>
      </c>
      <c r="I236" s="3" t="n">
        <v>8</v>
      </c>
      <c r="J236" s="3" t="inlineStr">
        <is>
          <t>NT1: Nước thải sau xử lý của hệ thống xử lý nước thải tập trung NMNĐ Vĩnh Tân 4 mở rộng NT2: Nước lấy tại cửa xả hệ thống thu gom, thoát nước mưa của NMNĐ Vĩnh Tân 4 mở rộng trước khi thải ra môi trường</t>
        </is>
      </c>
    </row>
    <row r="237">
      <c r="A237" s="2" t="inlineStr">
        <is>
          <t>21</t>
        </is>
      </c>
      <c r="B237" s="2" t="inlineStr">
        <is>
          <t>NT8</t>
        </is>
      </c>
      <c r="C237" s="2" t="inlineStr">
        <is>
          <t>II.9</t>
        </is>
      </c>
      <c r="D237" s="2" t="inlineStr">
        <is>
          <t>Nước làm mát, nước thải từ hệ thống khử lưu huỳnh bằng nước biển, nước thải từ hệ thống lọc nước biển</t>
        </is>
      </c>
      <c r="E237" s="2" t="inlineStr">
        <is>
          <t>Tổng dầu mỡ khoáng</t>
        </is>
      </c>
      <c r="F237" s="2" t="inlineStr">
        <is>
          <t>mg/l</t>
        </is>
      </c>
      <c r="G237" s="2" t="n">
        <v>2</v>
      </c>
      <c r="H237" s="2" t="n">
        <v>4</v>
      </c>
      <c r="I237" s="2" t="n">
        <v>8</v>
      </c>
      <c r="J237" s="2" t="inlineStr">
        <is>
          <t>NT1: Nước thải sau xử lý của hệ thống xử lý nước thải tập trung NMNĐ Vĩnh Tân 4 mở rộng NT2: Nước lấy tại cửa xả hệ thống thu gom, thoát nước mưa của NMNĐ Vĩnh Tân 4 mở rộng trước khi thải ra môi trường</t>
        </is>
      </c>
    </row>
    <row r="238">
      <c r="A238" s="3" t="inlineStr">
        <is>
          <t>22</t>
        </is>
      </c>
      <c r="B238" s="3" t="inlineStr">
        <is>
          <t>NT10d</t>
        </is>
      </c>
      <c r="C238" s="3" t="inlineStr">
        <is>
          <t>II.9</t>
        </is>
      </c>
      <c r="D238" s="3" t="inlineStr">
        <is>
          <t>Nước làm mát, nước thải từ hệ thống khử lưu huỳnh bằng nước biển, nước thải từ hệ thống lọc nước biển</t>
        </is>
      </c>
      <c r="E238" s="3" t="inlineStr">
        <is>
          <t>Sunfua</t>
        </is>
      </c>
      <c r="F238" s="3" t="inlineStr">
        <is>
          <t>mg/l</t>
        </is>
      </c>
      <c r="G238" s="3" t="n">
        <v>2</v>
      </c>
      <c r="H238" s="3" t="n">
        <v>4</v>
      </c>
      <c r="I238" s="3" t="n">
        <v>8</v>
      </c>
      <c r="J238" s="3" t="inlineStr">
        <is>
          <t>NT1: Nước thải sau xử lý của hệ thống xử lý nước thải tập trung NMNĐ Vĩnh Tân 4 mở rộng NT2: Nước lấy tại cửa xả hệ thống thu gom, thoát nước mưa của NMNĐ Vĩnh Tân 4 mở rộng trước khi thải ra môi trường</t>
        </is>
      </c>
    </row>
    <row r="239">
      <c r="A239" s="2" t="inlineStr">
        <is>
          <t>23</t>
        </is>
      </c>
      <c r="B239" s="2" t="inlineStr">
        <is>
          <t>NT10h</t>
        </is>
      </c>
      <c r="C239" s="2" t="inlineStr">
        <is>
          <t>II.9</t>
        </is>
      </c>
      <c r="D239" s="2" t="inlineStr">
        <is>
          <t>Nước làm mát, nước thải từ hệ thống khử lưu huỳnh bằng nước biển, nước thải từ hệ thống lọc nước biển</t>
        </is>
      </c>
      <c r="E239" s="2" t="inlineStr">
        <is>
          <t>Florua</t>
        </is>
      </c>
      <c r="F239" s="2" t="inlineStr">
        <is>
          <t>mg/l</t>
        </is>
      </c>
      <c r="G239" s="2" t="n">
        <v>2</v>
      </c>
      <c r="H239" s="2" t="n">
        <v>4</v>
      </c>
      <c r="I239" s="2" t="n">
        <v>8</v>
      </c>
      <c r="J239" s="2" t="inlineStr">
        <is>
          <t>NT1: Nước thải sau xử lý của hệ thống xử lý nước thải tập trung NMNĐ Vĩnh Tân 4 mở rộng NT2: Nước lấy tại cửa xả hệ thống thu gom, thoát nước mưa của NMNĐ Vĩnh Tân 4 mở rộng trước khi thải ra môi trường</t>
        </is>
      </c>
    </row>
    <row r="240">
      <c r="A240" s="3" t="inlineStr">
        <is>
          <t>24</t>
        </is>
      </c>
      <c r="B240" s="3" t="inlineStr">
        <is>
          <t>NT10b</t>
        </is>
      </c>
      <c r="C240" s="3" t="inlineStr">
        <is>
          <t>II.9</t>
        </is>
      </c>
      <c r="D240" s="3" t="inlineStr">
        <is>
          <t>Nước làm mát, nước thải từ hệ thống khử lưu huỳnh bằng nước biển, nước thải từ hệ thống lọc nước biển</t>
        </is>
      </c>
      <c r="E240" s="3" t="inlineStr">
        <is>
          <t>Tổng Nitơ</t>
        </is>
      </c>
      <c r="F240" s="3" t="inlineStr">
        <is>
          <t>mg/l</t>
        </is>
      </c>
      <c r="G240" s="3" t="n">
        <v>2</v>
      </c>
      <c r="H240" s="3" t="n">
        <v>4</v>
      </c>
      <c r="I240" s="3" t="n">
        <v>8</v>
      </c>
      <c r="J240" s="3" t="inlineStr">
        <is>
          <t>NT1: Nước thải sau xử lý của hệ thống xử lý nước thải tập trung NMNĐ Vĩnh Tân 4 mở rộng NT2: Nước lấy tại cửa xả hệ thống thu gom, thoát nước mưa của NMNĐ Vĩnh Tân 4 mở rộng trước khi thải ra môi trường</t>
        </is>
      </c>
    </row>
    <row r="241">
      <c r="A241" s="2" t="inlineStr">
        <is>
          <t>25</t>
        </is>
      </c>
      <c r="B241" s="2" t="inlineStr">
        <is>
          <t>NT2</t>
        </is>
      </c>
      <c r="C241" s="2" t="inlineStr">
        <is>
          <t>II.9</t>
        </is>
      </c>
      <c r="D241" s="2" t="inlineStr">
        <is>
          <t>Nước làm mát, nước thải từ hệ thống khử lưu huỳnh bằng nước biển, nước thải từ hệ thống lọc nước biển</t>
        </is>
      </c>
      <c r="E241" s="2" t="inlineStr">
        <is>
          <t>Tổng photpho (tính theo P)</t>
        </is>
      </c>
      <c r="F241" s="2" t="inlineStr">
        <is>
          <t>mg/l</t>
        </is>
      </c>
      <c r="G241" s="2" t="n">
        <v>2</v>
      </c>
      <c r="H241" s="2" t="n">
        <v>4</v>
      </c>
      <c r="I241" s="2" t="n">
        <v>8</v>
      </c>
      <c r="J241" s="2" t="inlineStr">
        <is>
          <t>NT1: Nước thải sau xử lý của hệ thống xử lý nước thải tập trung NMNĐ Vĩnh Tân 4 mở rộng NT2: Nước lấy tại cửa xả hệ thống thu gom, thoát nước mưa của NMNĐ Vĩnh Tân 4 mở rộng trước khi thải ra môi trường</t>
        </is>
      </c>
    </row>
    <row r="242">
      <c r="A242" s="3" t="inlineStr">
        <is>
          <t>26</t>
        </is>
      </c>
      <c r="B242" s="3" t="inlineStr">
        <is>
          <t>NT10i</t>
        </is>
      </c>
      <c r="C242" s="3" t="inlineStr">
        <is>
          <t>II.9</t>
        </is>
      </c>
      <c r="D242" s="3" t="inlineStr">
        <is>
          <t>Nước làm mát, nước thải từ hệ thống khử lưu huỳnh bằng nước biển, nước thải từ hệ thống lọc nước biển</t>
        </is>
      </c>
      <c r="E242" s="3" t="inlineStr">
        <is>
          <t>Clorua</t>
        </is>
      </c>
      <c r="F242" s="3" t="inlineStr">
        <is>
          <t>mg/l</t>
        </is>
      </c>
      <c r="G242" s="3" t="n">
        <v>2</v>
      </c>
      <c r="H242" s="3" t="n">
        <v>4</v>
      </c>
      <c r="I242" s="3" t="n">
        <v>8</v>
      </c>
      <c r="J242" s="3" t="inlineStr">
        <is>
          <t>NT1: Nước thải sau xử lý của hệ thống xử lý nước thải tập trung NMNĐ Vĩnh Tân 4 mở rộng NT2: Nước lấy tại cửa xả hệ thống thu gom, thoát nước mưa của NMNĐ Vĩnh Tân 4 mở rộng trước khi thải ra môi trường</t>
        </is>
      </c>
    </row>
    <row r="243">
      <c r="A243" s="2" t="inlineStr">
        <is>
          <t>27</t>
        </is>
      </c>
      <c r="B243" s="2" t="inlineStr">
        <is>
          <t>NT10j</t>
        </is>
      </c>
      <c r="C243" s="2" t="inlineStr">
        <is>
          <t>II.9</t>
        </is>
      </c>
      <c r="D243" s="2" t="inlineStr">
        <is>
          <t>Nước làm mát, nước thải từ hệ thống khử lưu huỳnh bằng nước biển, nước thải từ hệ thống lọc nước biển</t>
        </is>
      </c>
      <c r="E243" s="2" t="inlineStr">
        <is>
          <t>Clo dư</t>
        </is>
      </c>
      <c r="F243" s="2" t="inlineStr">
        <is>
          <t>mg/l</t>
        </is>
      </c>
      <c r="G243" s="2" t="n">
        <v>2</v>
      </c>
      <c r="H243" s="2" t="n">
        <v>4</v>
      </c>
      <c r="I243" s="2" t="n">
        <v>8</v>
      </c>
      <c r="J243" s="2" t="inlineStr">
        <is>
          <t>NT1: Nước thải sau xử lý của hệ thống xử lý nước thải tập trung NMNĐ Vĩnh Tân 4 mở rộng NT2: Nước lấy tại cửa xả hệ thống thu gom, thoát nước mưa của NMNĐ Vĩnh Tân 4 mở rộng trước khi thải ra môi trường</t>
        </is>
      </c>
    </row>
    <row r="244">
      <c r="A244" s="3" t="inlineStr">
        <is>
          <t>28</t>
        </is>
      </c>
      <c r="B244" s="3" t="inlineStr">
        <is>
          <t>NT7a</t>
        </is>
      </c>
      <c r="C244" s="3" t="inlineStr">
        <is>
          <t>II.9</t>
        </is>
      </c>
      <c r="D244" s="3" t="inlineStr">
        <is>
          <t>Nước làm mát, nước thải từ hệ thống khử lưu huỳnh bằng nước biển, nước thải từ hệ thống lọc nước biển</t>
        </is>
      </c>
      <c r="E244" s="3" t="inlineStr">
        <is>
          <t>Coliform</t>
        </is>
      </c>
      <c r="F244" s="3" t="inlineStr">
        <is>
          <t>MPN/100ml</t>
        </is>
      </c>
      <c r="G244" s="3" t="n">
        <v>2</v>
      </c>
      <c r="H244" s="3" t="n">
        <v>4</v>
      </c>
      <c r="I244" s="3" t="n">
        <v>8</v>
      </c>
      <c r="J244" s="3" t="inlineStr">
        <is>
          <t>NT1: Nước thải sau xử lý của hệ thống xử lý nước thải tập trung NMNĐ Vĩnh Tân 4 mở rộng NT2: Nước lấy tại cửa xả hệ thống thu gom, thoát nước mưa của NMNĐ Vĩnh Tân 4 mở rộng trước khi thải ra môi trường</t>
        </is>
      </c>
    </row>
    <row r="245">
      <c r="A245" s="2" t="inlineStr">
        <is>
          <t>1</t>
        </is>
      </c>
      <c r="B245" s="2" t="inlineStr">
        <is>
          <t>CT2</t>
        </is>
      </c>
      <c r="C245" s="2" t="inlineStr">
        <is>
          <t>II.11</t>
        </is>
      </c>
      <c r="D245" s="2" t="inlineStr">
        <is>
          <t>Giám sát bùn thải</t>
        </is>
      </c>
      <c r="E245" s="2" t="inlineStr">
        <is>
          <t>pH</t>
        </is>
      </c>
      <c r="F245" s="2" t="inlineStr">
        <is>
          <t>-</t>
        </is>
      </c>
      <c r="G245" s="2" t="n">
        <v>1</v>
      </c>
      <c r="H245" s="2" t="n">
        <v>4</v>
      </c>
      <c r="I245" s="2" t="n">
        <v>4</v>
      </c>
      <c r="J245" s="2" t="inlineStr">
        <is>
          <t>BT1: Sau hệ thống máy ép bùn công nghiệp thuộc hệ thống xử lý nước thải tập trung NMNĐ Vĩnh Tân 4 mở rộng</t>
        </is>
      </c>
    </row>
    <row r="246">
      <c r="A246" s="3" t="inlineStr">
        <is>
          <t>2</t>
        </is>
      </c>
      <c r="B246" s="3" t="inlineStr">
        <is>
          <t>CT3</t>
        </is>
      </c>
      <c r="C246" s="3" t="inlineStr">
        <is>
          <t>II.11</t>
        </is>
      </c>
      <c r="D246" s="3" t="inlineStr">
        <is>
          <t>Giám sát bùn thải</t>
        </is>
      </c>
      <c r="E246" s="3" t="inlineStr">
        <is>
          <t>Cyanua (CN-)</t>
        </is>
      </c>
      <c r="F246" s="3" t="inlineStr">
        <is>
          <t>ppm</t>
        </is>
      </c>
      <c r="G246" s="3" t="n">
        <v>1</v>
      </c>
      <c r="H246" s="3" t="n">
        <v>4</v>
      </c>
      <c r="I246" s="3" t="n">
        <v>4</v>
      </c>
      <c r="J246" s="3" t="inlineStr">
        <is>
          <t>BT1: Sau hệ thống máy ép bùn công nghiệp thuộc hệ thống xử lý nước thải tập trung NMNĐ Vĩnh Tân 4 mở rộng</t>
        </is>
      </c>
    </row>
    <row r="247">
      <c r="A247" s="2" t="inlineStr">
        <is>
          <t>3</t>
        </is>
      </c>
      <c r="B247" s="2" t="inlineStr">
        <is>
          <t>CT4</t>
        </is>
      </c>
      <c r="C247" s="2" t="inlineStr">
        <is>
          <t>II.11</t>
        </is>
      </c>
      <c r="D247" s="2" t="inlineStr">
        <is>
          <t>Giám sát bùn thải</t>
        </is>
      </c>
      <c r="E247" s="2" t="inlineStr">
        <is>
          <t>Crom (VI)</t>
        </is>
      </c>
      <c r="F247" s="2" t="inlineStr">
        <is>
          <t>mg/l</t>
        </is>
      </c>
      <c r="G247" s="2" t="n">
        <v>1</v>
      </c>
      <c r="H247" s="2" t="n">
        <v>4</v>
      </c>
      <c r="I247" s="2" t="n">
        <v>4</v>
      </c>
      <c r="J247" s="2" t="inlineStr">
        <is>
          <t>BT1: Sau hệ thống máy ép bùn công nghiệp thuộc hệ thống xử lý nước thải tập trung NMNĐ Vĩnh Tân 4 mở rộng</t>
        </is>
      </c>
    </row>
    <row r="248">
      <c r="A248" s="3" t="inlineStr">
        <is>
          <t>4</t>
        </is>
      </c>
      <c r="B248" s="3" t="inlineStr">
        <is>
          <t>CT7a</t>
        </is>
      </c>
      <c r="C248" s="3" t="inlineStr">
        <is>
          <t>II.11</t>
        </is>
      </c>
      <c r="D248" s="3" t="inlineStr">
        <is>
          <t>Giám sát bùn thải</t>
        </is>
      </c>
      <c r="E248" s="3" t="inlineStr">
        <is>
          <t>As</t>
        </is>
      </c>
      <c r="F248" s="3" t="inlineStr">
        <is>
          <t>mg/l</t>
        </is>
      </c>
      <c r="G248" s="3" t="n">
        <v>1</v>
      </c>
      <c r="H248" s="3" t="n">
        <v>4</v>
      </c>
      <c r="I248" s="3" t="n">
        <v>4</v>
      </c>
      <c r="J248" s="3" t="inlineStr">
        <is>
          <t>BT1: Sau hệ thống máy ép bùn công nghiệp thuộc hệ thống xử lý nước thải tập trung NMNĐ Vĩnh Tân 4 mở rộng</t>
        </is>
      </c>
    </row>
    <row r="249">
      <c r="A249" s="2" t="inlineStr">
        <is>
          <t>5</t>
        </is>
      </c>
      <c r="B249" s="2" t="inlineStr">
        <is>
          <t>CT7b</t>
        </is>
      </c>
      <c r="C249" s="2" t="inlineStr">
        <is>
          <t>II.11</t>
        </is>
      </c>
      <c r="D249" s="2" t="inlineStr">
        <is>
          <t>Giám sát bùn thải</t>
        </is>
      </c>
      <c r="E249" s="2" t="inlineStr">
        <is>
          <t>Hg</t>
        </is>
      </c>
      <c r="F249" s="2" t="inlineStr">
        <is>
          <t>mg/l</t>
        </is>
      </c>
      <c r="G249" s="2" t="n">
        <v>1</v>
      </c>
      <c r="H249" s="2" t="n">
        <v>4</v>
      </c>
      <c r="I249" s="2" t="n">
        <v>4</v>
      </c>
      <c r="J249" s="2" t="inlineStr">
        <is>
          <t>BT1: Sau hệ thống máy ép bùn công nghiệp thuộc hệ thống xử lý nước thải tập trung NMNĐ Vĩnh Tân 4 mở rộng</t>
        </is>
      </c>
    </row>
    <row r="250">
      <c r="A250" s="3" t="inlineStr">
        <is>
          <t>6</t>
        </is>
      </c>
      <c r="B250" s="3" t="inlineStr">
        <is>
          <t>CT2</t>
        </is>
      </c>
      <c r="C250" s="3" t="inlineStr">
        <is>
          <t>II.11</t>
        </is>
      </c>
      <c r="D250" s="3" t="inlineStr">
        <is>
          <t>Giám sát bùn thải</t>
        </is>
      </c>
      <c r="E250" s="3" t="inlineStr">
        <is>
          <t>Phenol</t>
        </is>
      </c>
      <c r="F250" s="3" t="inlineStr">
        <is>
          <t>mg/l</t>
        </is>
      </c>
      <c r="G250" s="3" t="n">
        <v>1</v>
      </c>
      <c r="H250" s="3" t="n">
        <v>4</v>
      </c>
      <c r="I250" s="3" t="n">
        <v>4</v>
      </c>
      <c r="J250" s="3" t="inlineStr">
        <is>
          <t>BT1: Sau hệ thống máy ép bùn công nghiệp thuộc hệ thống xử lý nước thải tập trung NMNĐ Vĩnh Tân 4 mở rộng</t>
        </is>
      </c>
    </row>
    <row r="251">
      <c r="A251" s="2" t="inlineStr">
        <is>
          <t>7</t>
        </is>
      </c>
      <c r="B251" s="2" t="inlineStr">
        <is>
          <t>CT6a</t>
        </is>
      </c>
      <c r="C251" s="2" t="inlineStr">
        <is>
          <t>II.11</t>
        </is>
      </c>
      <c r="D251" s="2" t="inlineStr">
        <is>
          <t>Giám sát bùn thải</t>
        </is>
      </c>
      <c r="E251" s="2" t="inlineStr">
        <is>
          <t>Pb</t>
        </is>
      </c>
      <c r="F251" s="2" t="inlineStr">
        <is>
          <t>mg/l</t>
        </is>
      </c>
      <c r="G251" s="2" t="n">
        <v>1</v>
      </c>
      <c r="H251" s="2" t="n">
        <v>4</v>
      </c>
      <c r="I251" s="2" t="n">
        <v>4</v>
      </c>
      <c r="J251" s="2" t="inlineStr">
        <is>
          <t>BT1: Sau hệ thống máy ép bùn công nghiệp thuộc hệ thống xử lý nước thải tập trung NMNĐ Vĩnh Tân 4 mở rộng</t>
        </is>
      </c>
    </row>
    <row r="252">
      <c r="A252" s="3" t="inlineStr">
        <is>
          <t>8</t>
        </is>
      </c>
      <c r="B252" s="3" t="inlineStr">
        <is>
          <t>CT6b</t>
        </is>
      </c>
      <c r="C252" s="3" t="inlineStr">
        <is>
          <t>II.11</t>
        </is>
      </c>
      <c r="D252" s="3" t="inlineStr">
        <is>
          <t>Giám sát bùn thải</t>
        </is>
      </c>
      <c r="E252" s="3" t="inlineStr">
        <is>
          <t>Cd</t>
        </is>
      </c>
      <c r="F252" s="3" t="inlineStr">
        <is>
          <t>mg/l</t>
        </is>
      </c>
      <c r="G252" s="3" t="n">
        <v>1</v>
      </c>
      <c r="H252" s="3" t="n">
        <v>4</v>
      </c>
      <c r="I252" s="3" t="n">
        <v>4</v>
      </c>
      <c r="J252" s="3" t="inlineStr">
        <is>
          <t>BT1: Sau hệ thống máy ép bùn công nghiệp thuộc hệ thống xử lý nước thải tập trung NMNĐ Vĩnh Tân 4 mở rộng</t>
        </is>
      </c>
    </row>
    <row r="253">
      <c r="A253" s="2" t="inlineStr">
        <is>
          <t>9</t>
        </is>
      </c>
      <c r="B253" s="2" t="inlineStr">
        <is>
          <t>CT8b</t>
        </is>
      </c>
      <c r="C253" s="2" t="inlineStr">
        <is>
          <t>II.11</t>
        </is>
      </c>
      <c r="D253" s="2" t="inlineStr">
        <is>
          <t>Giám sát bùn thải</t>
        </is>
      </c>
      <c r="E253" s="2" t="inlineStr">
        <is>
          <t>Zn</t>
        </is>
      </c>
      <c r="F253" s="2" t="inlineStr">
        <is>
          <t>mg/l</t>
        </is>
      </c>
      <c r="G253" s="2" t="n">
        <v>1</v>
      </c>
      <c r="H253" s="2" t="n">
        <v>4</v>
      </c>
      <c r="I253" s="2" t="n">
        <v>4</v>
      </c>
      <c r="J253" s="2" t="inlineStr">
        <is>
          <t>BT1: Sau hệ thống máy ép bùn công nghiệp thuộc hệ thống xử lý nước thải tập trung NMNĐ Vĩnh Tân 4 mở rộng</t>
        </is>
      </c>
    </row>
    <row r="254">
      <c r="A254" s="3" t="inlineStr">
        <is>
          <t>10</t>
        </is>
      </c>
      <c r="B254" s="3" t="inlineStr">
        <is>
          <t>CT8e</t>
        </is>
      </c>
      <c r="C254" s="3" t="inlineStr">
        <is>
          <t>II.11</t>
        </is>
      </c>
      <c r="D254" s="3" t="inlineStr">
        <is>
          <t>Giám sát bùn thải</t>
        </is>
      </c>
      <c r="E254" s="3" t="inlineStr">
        <is>
          <t>Ni</t>
        </is>
      </c>
      <c r="F254" s="3" t="inlineStr">
        <is>
          <t>mg/l</t>
        </is>
      </c>
      <c r="G254" s="3" t="n">
        <v>1</v>
      </c>
      <c r="H254" s="3" t="n">
        <v>4</v>
      </c>
      <c r="I254" s="3" t="n">
        <v>4</v>
      </c>
      <c r="J254" s="3" t="inlineStr">
        <is>
          <t>BT1: Sau hệ thống máy ép bùn công nghiệp thuộc hệ thống xử lý nước thải tập trung NMNĐ Vĩnh Tân 4 mở rộng</t>
        </is>
      </c>
    </row>
    <row r="255">
      <c r="A255" s="2" t="inlineStr">
        <is>
          <t>11</t>
        </is>
      </c>
      <c r="B255" s="2" t="inlineStr">
        <is>
          <t>CT8f</t>
        </is>
      </c>
      <c r="C255" s="2" t="inlineStr">
        <is>
          <t>II.11</t>
        </is>
      </c>
      <c r="D255" s="2" t="inlineStr">
        <is>
          <t>Giám sát bùn thải</t>
        </is>
      </c>
      <c r="E255" s="2" t="inlineStr">
        <is>
          <t>Ba</t>
        </is>
      </c>
      <c r="F255" s="2" t="inlineStr">
        <is>
          <t>mg/l</t>
        </is>
      </c>
      <c r="G255" s="2" t="n">
        <v>1</v>
      </c>
      <c r="H255" s="2" t="n">
        <v>4</v>
      </c>
      <c r="I255" s="2" t="n">
        <v>4</v>
      </c>
      <c r="J255" s="2" t="inlineStr">
        <is>
          <t>BT1: Sau hệ thống máy ép bùn công nghiệp thuộc hệ thống xử lý nước thải tập trung NMNĐ Vĩnh Tân 4 mở rộng</t>
        </is>
      </c>
    </row>
    <row r="256">
      <c r="A256" s="3" t="inlineStr">
        <is>
          <t>12</t>
        </is>
      </c>
      <c r="B256" s="3" t="inlineStr">
        <is>
          <t>CT8g</t>
        </is>
      </c>
      <c r="C256" s="3" t="inlineStr">
        <is>
          <t>II.11</t>
        </is>
      </c>
      <c r="D256" s="3" t="inlineStr">
        <is>
          <t>Giám sát bùn thải</t>
        </is>
      </c>
      <c r="E256" s="3" t="inlineStr">
        <is>
          <t>Se</t>
        </is>
      </c>
      <c r="F256" s="3" t="inlineStr">
        <is>
          <t>mg/l</t>
        </is>
      </c>
      <c r="G256" s="3" t="n">
        <v>1</v>
      </c>
      <c r="H256" s="3" t="n">
        <v>4</v>
      </c>
      <c r="I256" s="3" t="n">
        <v>4</v>
      </c>
      <c r="J256" s="3" t="inlineStr">
        <is>
          <t>BT1: Sau hệ thống máy ép bùn công nghiệp thuộc hệ thống xử lý nước thải tập trung NMNĐ Vĩnh Tân 4 mở rộng</t>
        </is>
      </c>
    </row>
    <row r="257">
      <c r="A257" s="2" t="inlineStr">
        <is>
          <t>13</t>
        </is>
      </c>
      <c r="B257" s="2" t="inlineStr">
        <is>
          <t>CT8m</t>
        </is>
      </c>
      <c r="C257" s="2" t="inlineStr">
        <is>
          <t>II.11</t>
        </is>
      </c>
      <c r="D257" s="2" t="inlineStr">
        <is>
          <t>Giám sát bùn thải</t>
        </is>
      </c>
      <c r="E257" s="2" t="inlineStr">
        <is>
          <t>Ag</t>
        </is>
      </c>
      <c r="F257" s="2" t="inlineStr">
        <is>
          <t>mg/l</t>
        </is>
      </c>
      <c r="G257" s="2" t="n">
        <v>1</v>
      </c>
      <c r="H257" s="2" t="n">
        <v>4</v>
      </c>
      <c r="I257" s="2" t="n">
        <v>4</v>
      </c>
      <c r="J257" s="2" t="inlineStr">
        <is>
          <t>BT1: Sau hệ thống máy ép bùn công nghiệp thuộc hệ thống xử lý nước thải tập trung NMNĐ Vĩnh Tân 4 mở rộng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3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36" customWidth="1" min="3" max="3"/>
    <col width="13" customWidth="1" min="4" max="4"/>
    <col width="15" customWidth="1" min="5" max="5"/>
    <col width="22" customWidth="1" min="6" max="6"/>
    <col width="20" customWidth="1" min="7" max="7"/>
    <col width="18" customWidth="1" min="8" max="8"/>
    <col width="23" customWidth="1" min="9" max="9"/>
    <col width="17" customWidth="1" min="10" max="10"/>
  </cols>
  <sheetData>
    <row r="1">
      <c r="A1" t="inlineStr">
        <is>
          <t>BẢNG BÓC TÁCH ĐỊNH MỨC LAO ĐỘNG CÔNG NGHỆ QUAN TRẮC MÔI TRƯỜNG</t>
        </is>
      </c>
    </row>
    <row r="2">
      <c r="A2" t="inlineStr">
        <is>
          <t>(Căn cứ: Khoản 4.1.3 TT 20/2017/TT-BTNMT &amp; QĐ 80/2026/QĐ-UBND: Ngoại nghiệp nhân hệ số thời tiết +20%)</t>
        </is>
      </c>
    </row>
    <row r="3"/>
    <row r="4">
      <c r="A4" s="1" t="inlineStr">
        <is>
          <t>STT</t>
        </is>
      </c>
      <c r="B4" s="1" t="inlineStr">
        <is>
          <t>Mã Gộp</t>
        </is>
      </c>
      <c r="C4" s="1" t="inlineStr">
        <is>
          <t>Tên Thông Số</t>
        </is>
      </c>
      <c r="D4" s="1" t="inlineStr">
        <is>
          <t>Số Mẫu (N)</t>
        </is>
      </c>
      <c r="E4" s="1" t="inlineStr">
        <is>
          <t>Công Đoạn</t>
        </is>
      </c>
      <c r="F4" s="1" t="inlineStr">
        <is>
          <t>Định Biên (TTLT 56)</t>
        </is>
      </c>
      <c r="G4" s="1" t="inlineStr">
        <is>
          <t>ĐM Gốc (công/mẫu)</t>
        </is>
      </c>
      <c r="H4" s="1" t="inlineStr">
        <is>
          <t>Hệ Số Thời Tiết</t>
        </is>
      </c>
      <c r="I4" s="1" t="inlineStr">
        <is>
          <t>ĐM Tính (+20% ngoại)</t>
        </is>
      </c>
      <c r="J4" s="1" t="inlineStr">
        <is>
          <t>Tổng Ngày Công</t>
        </is>
      </c>
    </row>
    <row r="5">
      <c r="A5" s="2" t="inlineStr">
        <is>
          <t>1</t>
        </is>
      </c>
      <c r="B5" s="2" t="inlineStr">
        <is>
          <t>KK1a</t>
        </is>
      </c>
      <c r="C5" s="2" t="inlineStr">
        <is>
          <t>Nhiệt độ</t>
        </is>
      </c>
      <c r="D5" s="2" t="n">
        <v>10</v>
      </c>
      <c r="E5" s="2" t="inlineStr">
        <is>
          <t>Ngoại nghiệp</t>
        </is>
      </c>
      <c r="F5" s="2" t="inlineStr">
        <is>
          <t>1QTVTNMT hạng IV.2</t>
        </is>
      </c>
      <c r="G5" s="2" t="n">
        <v>0.22</v>
      </c>
      <c r="H5" s="2" t="n">
        <v>1.2</v>
      </c>
      <c r="I5" s="2">
        <f>G5*H5</f>
        <v/>
      </c>
      <c r="J5" s="2">
        <f>D5*I5</f>
        <v/>
      </c>
    </row>
    <row r="6">
      <c r="A6" s="3" t="inlineStr">
        <is>
          <t>2</t>
        </is>
      </c>
      <c r="B6" s="3" t="inlineStr">
        <is>
          <t>KK1b</t>
        </is>
      </c>
      <c r="C6" s="3" t="inlineStr">
        <is>
          <t>Độ ẩm</t>
        </is>
      </c>
      <c r="D6" s="3" t="n">
        <v>10</v>
      </c>
      <c r="E6" s="3" t="inlineStr">
        <is>
          <t>Ngoại nghiệp</t>
        </is>
      </c>
      <c r="F6" s="3" t="inlineStr">
        <is>
          <t>1QTVTNMT hạng IV.2</t>
        </is>
      </c>
      <c r="G6" s="3" t="n">
        <v>0.22</v>
      </c>
      <c r="H6" s="3" t="n">
        <v>1.2</v>
      </c>
      <c r="I6" s="3">
        <f>G6*H6</f>
        <v/>
      </c>
      <c r="J6" s="3">
        <f>D6*I6</f>
        <v/>
      </c>
    </row>
    <row r="7">
      <c r="A7" s="2" t="inlineStr">
        <is>
          <t>3</t>
        </is>
      </c>
      <c r="B7" s="2" t="inlineStr">
        <is>
          <t>KK2b</t>
        </is>
      </c>
      <c r="C7" s="2" t="inlineStr">
        <is>
          <t>Hướng gió</t>
        </is>
      </c>
      <c r="D7" s="2" t="n">
        <v>10</v>
      </c>
      <c r="E7" s="2" t="inlineStr">
        <is>
          <t>Ngoại nghiệp</t>
        </is>
      </c>
      <c r="F7" s="2" t="inlineStr">
        <is>
          <t>1QTVTNMT hạng IV.2</t>
        </is>
      </c>
      <c r="G7" s="2" t="n">
        <v>0.22</v>
      </c>
      <c r="H7" s="2" t="n">
        <v>1.2</v>
      </c>
      <c r="I7" s="2">
        <f>G7*H7</f>
        <v/>
      </c>
      <c r="J7" s="2">
        <f>D7*I7</f>
        <v/>
      </c>
    </row>
    <row r="8">
      <c r="A8" s="3" t="inlineStr">
        <is>
          <t>4</t>
        </is>
      </c>
      <c r="B8" s="3" t="inlineStr">
        <is>
          <t>KK2a</t>
        </is>
      </c>
      <c r="C8" s="3" t="inlineStr">
        <is>
          <t>Tốc độ gió</t>
        </is>
      </c>
      <c r="D8" s="3" t="n">
        <v>10</v>
      </c>
      <c r="E8" s="3" t="inlineStr">
        <is>
          <t>Ngoại nghiệp</t>
        </is>
      </c>
      <c r="F8" s="3" t="inlineStr">
        <is>
          <t>1QTVTNMT hạng IV.2</t>
        </is>
      </c>
      <c r="G8" s="3" t="n">
        <v>0.22</v>
      </c>
      <c r="H8" s="3" t="n">
        <v>1.2</v>
      </c>
      <c r="I8" s="3">
        <f>G8*H8</f>
        <v/>
      </c>
      <c r="J8" s="3">
        <f>D8*I8</f>
        <v/>
      </c>
    </row>
    <row r="9">
      <c r="A9" s="2" t="inlineStr">
        <is>
          <t>5</t>
        </is>
      </c>
      <c r="B9" s="2" t="inlineStr">
        <is>
          <t>TO1a</t>
        </is>
      </c>
      <c r="C9" s="2" t="inlineStr">
        <is>
          <t>Tiếng ồn</t>
        </is>
      </c>
      <c r="D9" s="2" t="n">
        <v>10</v>
      </c>
      <c r="E9" s="2" t="inlineStr">
        <is>
          <t>Ngoại nghiệp</t>
        </is>
      </c>
      <c r="F9" s="2" t="inlineStr">
        <is>
          <t>1QTVTNMT hạng IV.2</t>
        </is>
      </c>
      <c r="G9" s="2" t="n">
        <v>0.3</v>
      </c>
      <c r="H9" s="2" t="n">
        <v>1.2</v>
      </c>
      <c r="I9" s="2">
        <f>G9*H9</f>
        <v/>
      </c>
      <c r="J9" s="2">
        <f>D9*I9</f>
        <v/>
      </c>
    </row>
    <row r="10">
      <c r="A10" s="3" t="inlineStr">
        <is>
          <t>5</t>
        </is>
      </c>
      <c r="B10" s="3" t="inlineStr">
        <is>
          <t>TO1a</t>
        </is>
      </c>
      <c r="C10" s="3" t="inlineStr">
        <is>
          <t>Tiếng ồn</t>
        </is>
      </c>
      <c r="D10" s="3" t="n">
        <v>10</v>
      </c>
      <c r="E10" s="3" t="inlineStr">
        <is>
          <t>Nội nghiệp</t>
        </is>
      </c>
      <c r="F10" s="3" t="inlineStr">
        <is>
          <t>1QTVTNMT hạng III.2</t>
        </is>
      </c>
      <c r="G10" s="3" t="n">
        <v>0.2</v>
      </c>
      <c r="H10" s="3" t="n">
        <v>1</v>
      </c>
      <c r="I10" s="3">
        <f>G10*H10</f>
        <v/>
      </c>
      <c r="J10" s="3">
        <f>D10*I10</f>
        <v/>
      </c>
    </row>
    <row r="11">
      <c r="A11" s="2" t="inlineStr">
        <is>
          <t>6</t>
        </is>
      </c>
      <c r="B11" s="2" t="inlineStr">
        <is>
          <t>ĐR01</t>
        </is>
      </c>
      <c r="C11" s="2" t="inlineStr">
        <is>
          <t>Độ rung</t>
        </is>
      </c>
      <c r="D11" s="2" t="n">
        <v>10</v>
      </c>
      <c r="E11" s="2" t="inlineStr">
        <is>
          <t>Ngoại nghiệp</t>
        </is>
      </c>
      <c r="F11" s="2" t="inlineStr">
        <is>
          <t>1QTVTNMT hạng IV.2</t>
        </is>
      </c>
      <c r="G11" s="2" t="n">
        <v>0.45</v>
      </c>
      <c r="H11" s="2" t="n">
        <v>1.2</v>
      </c>
      <c r="I11" s="2">
        <f>G11*H11</f>
        <v/>
      </c>
      <c r="J11" s="2">
        <f>D11*I11</f>
        <v/>
      </c>
    </row>
    <row r="12">
      <c r="A12" s="3" t="inlineStr">
        <is>
          <t>6</t>
        </is>
      </c>
      <c r="B12" s="3" t="inlineStr">
        <is>
          <t>ĐR01</t>
        </is>
      </c>
      <c r="C12" s="3" t="inlineStr">
        <is>
          <t>Độ rung</t>
        </is>
      </c>
      <c r="D12" s="3" t="n">
        <v>10</v>
      </c>
      <c r="E12" s="3" t="inlineStr">
        <is>
          <t>Nội nghiệp</t>
        </is>
      </c>
      <c r="F12" s="3" t="inlineStr">
        <is>
          <t>1QTVTNMT hạng III.2</t>
        </is>
      </c>
      <c r="G12" s="3" t="n">
        <v>0.2</v>
      </c>
      <c r="H12" s="3" t="n">
        <v>1</v>
      </c>
      <c r="I12" s="3">
        <f>G12*H12</f>
        <v/>
      </c>
      <c r="J12" s="3">
        <f>D12*I12</f>
        <v/>
      </c>
    </row>
    <row r="13">
      <c r="A13" s="2" t="inlineStr">
        <is>
          <t>7</t>
        </is>
      </c>
      <c r="B13" s="2" t="inlineStr">
        <is>
          <t>KK4a</t>
        </is>
      </c>
      <c r="C13" s="2" t="inlineStr">
        <is>
          <t>Tổng bụi lơ lửng</t>
        </is>
      </c>
      <c r="D13" s="2" t="n">
        <v>10</v>
      </c>
      <c r="E13" s="2" t="inlineStr">
        <is>
          <t>Ngoại nghiệp</t>
        </is>
      </c>
      <c r="F13" s="2" t="inlineStr">
        <is>
          <t>1QTVTNMT hạng III.2</t>
        </is>
      </c>
      <c r="G13" s="2" t="n">
        <v>0.7</v>
      </c>
      <c r="H13" s="2" t="n">
        <v>1.2</v>
      </c>
      <c r="I13" s="2">
        <f>G13*H13</f>
        <v/>
      </c>
      <c r="J13" s="2">
        <f>D13*I13</f>
        <v/>
      </c>
    </row>
    <row r="14">
      <c r="A14" s="3" t="inlineStr">
        <is>
          <t>7</t>
        </is>
      </c>
      <c r="B14" s="3" t="inlineStr">
        <is>
          <t>KK4a</t>
        </is>
      </c>
      <c r="C14" s="3" t="inlineStr">
        <is>
          <t>Tổng bụi lơ lửng</t>
        </is>
      </c>
      <c r="D14" s="3" t="n">
        <v>10</v>
      </c>
      <c r="E14" s="3" t="inlineStr">
        <is>
          <t>Nội nghiệp</t>
        </is>
      </c>
      <c r="F14" s="3" t="inlineStr">
        <is>
          <t>1QTVTNMT hạng III.1</t>
        </is>
      </c>
      <c r="G14" s="3" t="n">
        <v>0.2</v>
      </c>
      <c r="H14" s="3" t="n">
        <v>1</v>
      </c>
      <c r="I14" s="3">
        <f>G14*H14</f>
        <v/>
      </c>
      <c r="J14" s="3">
        <f>D14*I14</f>
        <v/>
      </c>
    </row>
    <row r="15">
      <c r="A15" s="2" t="inlineStr">
        <is>
          <t>8</t>
        </is>
      </c>
      <c r="B15" s="2" t="inlineStr">
        <is>
          <t>KK4c</t>
        </is>
      </c>
      <c r="C15" s="2" t="inlineStr">
        <is>
          <t>Bụi PM10</t>
        </is>
      </c>
      <c r="D15" s="2" t="n">
        <v>10</v>
      </c>
      <c r="E15" s="2" t="inlineStr">
        <is>
          <t>Ngoại nghiệp</t>
        </is>
      </c>
      <c r="F15" s="2" t="inlineStr">
        <is>
          <t>1QTVTNMT hạng III.3</t>
        </is>
      </c>
      <c r="G15" s="2" t="n">
        <v>1.5</v>
      </c>
      <c r="H15" s="2" t="n">
        <v>1.2</v>
      </c>
      <c r="I15" s="2">
        <f>G15*H15</f>
        <v/>
      </c>
      <c r="J15" s="2">
        <f>D15*I15</f>
        <v/>
      </c>
    </row>
    <row r="16">
      <c r="A16" s="3" t="inlineStr">
        <is>
          <t>8</t>
        </is>
      </c>
      <c r="B16" s="3" t="inlineStr">
        <is>
          <t>KK4c</t>
        </is>
      </c>
      <c r="C16" s="3" t="inlineStr">
        <is>
          <t>Bụi PM10</t>
        </is>
      </c>
      <c r="D16" s="3" t="n">
        <v>10</v>
      </c>
      <c r="E16" s="3" t="inlineStr">
        <is>
          <t>Nội nghiệp</t>
        </is>
      </c>
      <c r="F16" s="3" t="inlineStr">
        <is>
          <t>1QTVTNMT hạng III.1</t>
        </is>
      </c>
      <c r="G16" s="3" t="n">
        <v>0.2</v>
      </c>
      <c r="H16" s="3" t="n">
        <v>1</v>
      </c>
      <c r="I16" s="3">
        <f>G16*H16</f>
        <v/>
      </c>
      <c r="J16" s="3">
        <f>D16*I16</f>
        <v/>
      </c>
    </row>
    <row r="17">
      <c r="A17" s="2" t="inlineStr">
        <is>
          <t>9</t>
        </is>
      </c>
      <c r="B17" s="2" t="inlineStr">
        <is>
          <t>KK7</t>
        </is>
      </c>
      <c r="C17" s="2" t="inlineStr">
        <is>
          <t>SO 2</t>
        </is>
      </c>
      <c r="D17" s="2" t="n">
        <v>10</v>
      </c>
      <c r="E17" s="2" t="inlineStr">
        <is>
          <t>Ngoại nghiệp</t>
        </is>
      </c>
      <c r="F17" s="2" t="inlineStr">
        <is>
          <t>1QTVTNMT hạng III.2</t>
        </is>
      </c>
      <c r="G17" s="2" t="n">
        <v>0.45</v>
      </c>
      <c r="H17" s="2" t="n">
        <v>1.2</v>
      </c>
      <c r="I17" s="2">
        <f>G17*H17</f>
        <v/>
      </c>
      <c r="J17" s="2">
        <f>D17*I17</f>
        <v/>
      </c>
    </row>
    <row r="18">
      <c r="A18" s="3" t="inlineStr">
        <is>
          <t>9</t>
        </is>
      </c>
      <c r="B18" s="3" t="inlineStr">
        <is>
          <t>KK7</t>
        </is>
      </c>
      <c r="C18" s="3" t="inlineStr">
        <is>
          <t>SO 2</t>
        </is>
      </c>
      <c r="D18" s="3" t="n">
        <v>10</v>
      </c>
      <c r="E18" s="3" t="inlineStr">
        <is>
          <t>Nội nghiệp</t>
        </is>
      </c>
      <c r="F18" s="3" t="inlineStr">
        <is>
          <t>1QTVTNMT hạng III.2</t>
        </is>
      </c>
      <c r="G18" s="3" t="n">
        <v>0.5</v>
      </c>
      <c r="H18" s="3" t="n">
        <v>1</v>
      </c>
      <c r="I18" s="3">
        <f>G18*H18</f>
        <v/>
      </c>
      <c r="J18" s="3">
        <f>D18*I18</f>
        <v/>
      </c>
    </row>
    <row r="19">
      <c r="A19" s="2" t="inlineStr">
        <is>
          <t>10</t>
        </is>
      </c>
      <c r="B19" s="2" t="inlineStr">
        <is>
          <t>KK6</t>
        </is>
      </c>
      <c r="C19" s="2" t="inlineStr">
        <is>
          <t>NO 2</t>
        </is>
      </c>
      <c r="D19" s="2" t="n">
        <v>10</v>
      </c>
      <c r="E19" s="2" t="inlineStr">
        <is>
          <t>Ngoại nghiệp</t>
        </is>
      </c>
      <c r="F19" s="2" t="inlineStr">
        <is>
          <t>1QTVTNMT hạng III.2</t>
        </is>
      </c>
      <c r="G19" s="2" t="n">
        <v>0.45</v>
      </c>
      <c r="H19" s="2" t="n">
        <v>1.2</v>
      </c>
      <c r="I19" s="2">
        <f>G19*H19</f>
        <v/>
      </c>
      <c r="J19" s="2">
        <f>D19*I19</f>
        <v/>
      </c>
    </row>
    <row r="20">
      <c r="A20" s="3" t="inlineStr">
        <is>
          <t>10</t>
        </is>
      </c>
      <c r="B20" s="3" t="inlineStr">
        <is>
          <t>KK6</t>
        </is>
      </c>
      <c r="C20" s="3" t="inlineStr">
        <is>
          <t>NO 2</t>
        </is>
      </c>
      <c r="D20" s="3" t="n">
        <v>10</v>
      </c>
      <c r="E20" s="3" t="inlineStr">
        <is>
          <t>Nội nghiệp</t>
        </is>
      </c>
      <c r="F20" s="3" t="inlineStr">
        <is>
          <t>1QTVTNMT hạng III.2</t>
        </is>
      </c>
      <c r="G20" s="3" t="n">
        <v>0.5</v>
      </c>
      <c r="H20" s="3" t="n">
        <v>1</v>
      </c>
      <c r="I20" s="3">
        <f>G20*H20</f>
        <v/>
      </c>
      <c r="J20" s="3">
        <f>D20*I20</f>
        <v/>
      </c>
    </row>
    <row r="21">
      <c r="A21" s="2" t="inlineStr">
        <is>
          <t>11</t>
        </is>
      </c>
      <c r="B21" s="2" t="inlineStr">
        <is>
          <t>KK5a</t>
        </is>
      </c>
      <c r="C21" s="2" t="inlineStr">
        <is>
          <t>CO</t>
        </is>
      </c>
      <c r="D21" s="2" t="n">
        <v>10</v>
      </c>
      <c r="E21" s="2" t="inlineStr">
        <is>
          <t>Ngoại nghiệp</t>
        </is>
      </c>
      <c r="F21" s="2" t="inlineStr">
        <is>
          <t>1QTVTNMT hạng III.2</t>
        </is>
      </c>
      <c r="G21" s="2" t="n">
        <v>0.45</v>
      </c>
      <c r="H21" s="2" t="n">
        <v>1.2</v>
      </c>
      <c r="I21" s="2">
        <f>G21*H21</f>
        <v/>
      </c>
      <c r="J21" s="2">
        <f>D21*I21</f>
        <v/>
      </c>
    </row>
    <row r="22">
      <c r="A22" s="3" t="inlineStr">
        <is>
          <t>11</t>
        </is>
      </c>
      <c r="B22" s="3" t="inlineStr">
        <is>
          <t>KK5a</t>
        </is>
      </c>
      <c r="C22" s="3" t="inlineStr">
        <is>
          <t>CO</t>
        </is>
      </c>
      <c r="D22" s="3" t="n">
        <v>10</v>
      </c>
      <c r="E22" s="3" t="inlineStr">
        <is>
          <t>Nội nghiệp</t>
        </is>
      </c>
      <c r="F22" s="3" t="inlineStr">
        <is>
          <t>1QTVTNMT hạng III.3</t>
        </is>
      </c>
      <c r="G22" s="3" t="n">
        <v>0.5</v>
      </c>
      <c r="H22" s="3" t="n">
        <v>1</v>
      </c>
      <c r="I22" s="3">
        <f>G22*H22</f>
        <v/>
      </c>
      <c r="J22" s="3">
        <f>D22*I22</f>
        <v/>
      </c>
    </row>
    <row r="23">
      <c r="A23" s="2" t="inlineStr">
        <is>
          <t>1</t>
        </is>
      </c>
      <c r="B23" s="2" t="inlineStr">
        <is>
          <t>NT5b</t>
        </is>
      </c>
      <c r="C23" s="2" t="inlineStr">
        <is>
          <t>COD</t>
        </is>
      </c>
      <c r="D23" s="2" t="n">
        <v>4</v>
      </c>
      <c r="E23" s="2" t="inlineStr">
        <is>
          <t>Ngoại nghiệp</t>
        </is>
      </c>
      <c r="F23" s="2" t="inlineStr">
        <is>
          <t>1QTVTNMT hạng III.1</t>
        </is>
      </c>
      <c r="G23" s="2" t="n">
        <v>0.2</v>
      </c>
      <c r="H23" s="2" t="n">
        <v>1.2</v>
      </c>
      <c r="I23" s="2">
        <f>G23*H23</f>
        <v/>
      </c>
      <c r="J23" s="2">
        <f>D23*I23</f>
        <v/>
      </c>
    </row>
    <row r="24">
      <c r="A24" s="3" t="inlineStr">
        <is>
          <t>1</t>
        </is>
      </c>
      <c r="B24" s="3" t="inlineStr">
        <is>
          <t>NT5b</t>
        </is>
      </c>
      <c r="C24" s="3" t="inlineStr">
        <is>
          <t>COD</t>
        </is>
      </c>
      <c r="D24" s="3" t="n">
        <v>4</v>
      </c>
      <c r="E24" s="3" t="inlineStr">
        <is>
          <t>Nội nghiệp</t>
        </is>
      </c>
      <c r="F24" s="3" t="inlineStr">
        <is>
          <t>1QTVTNMT hạng III.1</t>
        </is>
      </c>
      <c r="G24" s="3" t="n">
        <v>0.55</v>
      </c>
      <c r="H24" s="3" t="n">
        <v>1</v>
      </c>
      <c r="I24" s="3">
        <f>G24*H24</f>
        <v/>
      </c>
      <c r="J24" s="3">
        <f>D24*I24</f>
        <v/>
      </c>
    </row>
    <row r="25">
      <c r="A25" s="2" t="inlineStr">
        <is>
          <t>2</t>
        </is>
      </c>
      <c r="B25" s="2" t="inlineStr">
        <is>
          <t>NT6</t>
        </is>
      </c>
      <c r="C25" s="2" t="inlineStr">
        <is>
          <t>TSS</t>
        </is>
      </c>
      <c r="D25" s="2" t="n">
        <v>4</v>
      </c>
      <c r="E25" s="2" t="inlineStr">
        <is>
          <t>Ngoại nghiệp</t>
        </is>
      </c>
      <c r="F25" s="2" t="inlineStr">
        <is>
          <t>1QTVTNMT hạng III.1</t>
        </is>
      </c>
      <c r="G25" s="2" t="n">
        <v>0.2</v>
      </c>
      <c r="H25" s="2" t="n">
        <v>1.2</v>
      </c>
      <c r="I25" s="2">
        <f>G25*H25</f>
        <v/>
      </c>
      <c r="J25" s="2">
        <f>D25*I25</f>
        <v/>
      </c>
    </row>
    <row r="26">
      <c r="A26" s="3" t="inlineStr">
        <is>
          <t>2</t>
        </is>
      </c>
      <c r="B26" s="3" t="inlineStr">
        <is>
          <t>NT6</t>
        </is>
      </c>
      <c r="C26" s="3" t="inlineStr">
        <is>
          <t>TSS</t>
        </is>
      </c>
      <c r="D26" s="3" t="n">
        <v>4</v>
      </c>
      <c r="E26" s="3" t="inlineStr">
        <is>
          <t>Nội nghiệp</t>
        </is>
      </c>
      <c r="F26" s="3" t="inlineStr">
        <is>
          <t>1QTVTNMT hạng III.1</t>
        </is>
      </c>
      <c r="G26" s="3" t="n">
        <v>0.47</v>
      </c>
      <c r="H26" s="3" t="n">
        <v>1</v>
      </c>
      <c r="I26" s="3">
        <f>G26*H26</f>
        <v/>
      </c>
      <c r="J26" s="3">
        <f>D26*I26</f>
        <v/>
      </c>
    </row>
    <row r="27">
      <c r="A27" s="2" t="inlineStr">
        <is>
          <t>3</t>
        </is>
      </c>
      <c r="B27" s="2" t="inlineStr">
        <is>
          <t>NT2</t>
        </is>
      </c>
      <c r="C27" s="2" t="inlineStr">
        <is>
          <t>Photphat (PO 3- 4 tính theo Nitơ)</t>
        </is>
      </c>
      <c r="D27" s="2" t="n">
        <v>4</v>
      </c>
      <c r="E27" s="2" t="inlineStr">
        <is>
          <t>Ngoại nghiệp</t>
        </is>
      </c>
      <c r="F27" s="2" t="inlineStr">
        <is>
          <t>1QTVTNMT hạng III.1</t>
        </is>
      </c>
      <c r="G27" s="2" t="n">
        <v>0.2</v>
      </c>
      <c r="H27" s="2" t="n">
        <v>1.2</v>
      </c>
      <c r="I27" s="2">
        <f>G27*H27</f>
        <v/>
      </c>
      <c r="J27" s="2">
        <f>D27*I27</f>
        <v/>
      </c>
    </row>
    <row r="28">
      <c r="A28" s="3" t="inlineStr">
        <is>
          <t>4</t>
        </is>
      </c>
      <c r="B28" s="3" t="inlineStr">
        <is>
          <t>NT10h</t>
        </is>
      </c>
      <c r="C28" s="3" t="inlineStr">
        <is>
          <t>Fluoride</t>
        </is>
      </c>
      <c r="D28" s="3" t="n">
        <v>4</v>
      </c>
      <c r="E28" s="3" t="inlineStr">
        <is>
          <t>Ngoại nghiệp</t>
        </is>
      </c>
      <c r="F28" s="3" t="inlineStr">
        <is>
          <t>1QTVTNMT hạng III.2</t>
        </is>
      </c>
      <c r="G28" s="3" t="n">
        <v>0.2</v>
      </c>
      <c r="H28" s="3" t="n">
        <v>1.2</v>
      </c>
      <c r="I28" s="3">
        <f>G28*H28</f>
        <v/>
      </c>
      <c r="J28" s="3">
        <f>D28*I28</f>
        <v/>
      </c>
    </row>
    <row r="29">
      <c r="A29" s="2" t="inlineStr">
        <is>
          <t>4</t>
        </is>
      </c>
      <c r="B29" s="2" t="inlineStr">
        <is>
          <t>NT10h</t>
        </is>
      </c>
      <c r="C29" s="2" t="inlineStr">
        <is>
          <t>Fluoride</t>
        </is>
      </c>
      <c r="D29" s="2" t="n">
        <v>4</v>
      </c>
      <c r="E29" s="2" t="inlineStr">
        <is>
          <t>Nội nghiệp</t>
        </is>
      </c>
      <c r="F29" s="2" t="inlineStr">
        <is>
          <t>1QTVTNMT hạng III.2</t>
        </is>
      </c>
      <c r="G29" s="2" t="n">
        <v>0.52</v>
      </c>
      <c r="H29" s="2" t="n">
        <v>1</v>
      </c>
      <c r="I29" s="2">
        <f>G29*H29</f>
        <v/>
      </c>
      <c r="J29" s="2">
        <f>D29*I29</f>
        <v/>
      </c>
    </row>
    <row r="30">
      <c r="A30" s="3" t="inlineStr">
        <is>
          <t>5</t>
        </is>
      </c>
      <c r="B30" s="3" t="inlineStr">
        <is>
          <t>NT10l1</t>
        </is>
      </c>
      <c r="C30" s="3" t="inlineStr">
        <is>
          <t>Asen</t>
        </is>
      </c>
      <c r="D30" s="3" t="n">
        <v>4</v>
      </c>
      <c r="E30" s="3" t="inlineStr">
        <is>
          <t>Ngoại nghiệp</t>
        </is>
      </c>
      <c r="F30" s="3" t="inlineStr">
        <is>
          <t>1QTVTNMT hạng III.2</t>
        </is>
      </c>
      <c r="G30" s="3" t="n">
        <v>0.15</v>
      </c>
      <c r="H30" s="3" t="n">
        <v>1.2</v>
      </c>
      <c r="I30" s="3">
        <f>G30*H30</f>
        <v/>
      </c>
      <c r="J30" s="3">
        <f>D30*I30</f>
        <v/>
      </c>
    </row>
    <row r="31">
      <c r="A31" s="2" t="inlineStr">
        <is>
          <t>5</t>
        </is>
      </c>
      <c r="B31" s="2" t="inlineStr">
        <is>
          <t>NT10l1</t>
        </is>
      </c>
      <c r="C31" s="2" t="inlineStr">
        <is>
          <t>Asen</t>
        </is>
      </c>
      <c r="D31" s="2" t="n">
        <v>4</v>
      </c>
      <c r="E31" s="2" t="inlineStr">
        <is>
          <t>Nội nghiệp</t>
        </is>
      </c>
      <c r="F31" s="2" t="inlineStr">
        <is>
          <t>1QTVTNMT hạng III.3</t>
        </is>
      </c>
      <c r="G31" s="2" t="n">
        <v>0.8</v>
      </c>
      <c r="H31" s="2" t="n">
        <v>1</v>
      </c>
      <c r="I31" s="2">
        <f>G31*H31</f>
        <v/>
      </c>
      <c r="J31" s="2">
        <f>D31*I31</f>
        <v/>
      </c>
    </row>
    <row r="32">
      <c r="A32" s="3" t="inlineStr">
        <is>
          <t>6</t>
        </is>
      </c>
      <c r="B32" s="3" t="inlineStr">
        <is>
          <t>NT10l2</t>
        </is>
      </c>
      <c r="C32" s="3" t="inlineStr">
        <is>
          <t>Thủy ngân (Hg)</t>
        </is>
      </c>
      <c r="D32" s="3" t="n">
        <v>4</v>
      </c>
      <c r="E32" s="3" t="inlineStr">
        <is>
          <t>Ngoại nghiệp</t>
        </is>
      </c>
      <c r="F32" s="3" t="inlineStr">
        <is>
          <t>1QTVTNMT hạng III.2</t>
        </is>
      </c>
      <c r="G32" s="3" t="n">
        <v>0.15</v>
      </c>
      <c r="H32" s="3" t="n">
        <v>1.2</v>
      </c>
      <c r="I32" s="3">
        <f>G32*H32</f>
        <v/>
      </c>
      <c r="J32" s="3">
        <f>D32*I32</f>
        <v/>
      </c>
    </row>
    <row r="33">
      <c r="A33" s="2" t="inlineStr">
        <is>
          <t>6</t>
        </is>
      </c>
      <c r="B33" s="2" t="inlineStr">
        <is>
          <t>NT10l2</t>
        </is>
      </c>
      <c r="C33" s="2" t="inlineStr">
        <is>
          <t>Thủy ngân (Hg)</t>
        </is>
      </c>
      <c r="D33" s="2" t="n">
        <v>4</v>
      </c>
      <c r="E33" s="2" t="inlineStr">
        <is>
          <t>Nội nghiệp</t>
        </is>
      </c>
      <c r="F33" s="2" t="inlineStr">
        <is>
          <t>1QTVTNMT hạng III.3</t>
        </is>
      </c>
      <c r="G33" s="2" t="n">
        <v>0.8</v>
      </c>
      <c r="H33" s="2" t="n">
        <v>1</v>
      </c>
      <c r="I33" s="2">
        <f>G33*H33</f>
        <v/>
      </c>
      <c r="J33" s="2">
        <f>D33*I33</f>
        <v/>
      </c>
    </row>
    <row r="34">
      <c r="A34" s="3" t="inlineStr">
        <is>
          <t>7</t>
        </is>
      </c>
      <c r="B34" s="3" t="inlineStr">
        <is>
          <t>NT10k1</t>
        </is>
      </c>
      <c r="C34" s="3" t="inlineStr">
        <is>
          <t>Chì</t>
        </is>
      </c>
      <c r="D34" s="3" t="n">
        <v>4</v>
      </c>
      <c r="E34" s="3" t="inlineStr">
        <is>
          <t>Ngoại nghiệp</t>
        </is>
      </c>
      <c r="F34" s="3" t="inlineStr">
        <is>
          <t>1QTVTNMT hạng III.2</t>
        </is>
      </c>
      <c r="G34" s="3" t="n">
        <v>0.15</v>
      </c>
      <c r="H34" s="3" t="n">
        <v>1.2</v>
      </c>
      <c r="I34" s="3">
        <f>G34*H34</f>
        <v/>
      </c>
      <c r="J34" s="3">
        <f>D34*I34</f>
        <v/>
      </c>
    </row>
    <row r="35">
      <c r="A35" s="2" t="inlineStr">
        <is>
          <t>7</t>
        </is>
      </c>
      <c r="B35" s="2" t="inlineStr">
        <is>
          <t>NT10k1</t>
        </is>
      </c>
      <c r="C35" s="2" t="inlineStr">
        <is>
          <t>Chì</t>
        </is>
      </c>
      <c r="D35" s="2" t="n">
        <v>4</v>
      </c>
      <c r="E35" s="2" t="inlineStr">
        <is>
          <t>Nội nghiệp</t>
        </is>
      </c>
      <c r="F35" s="2" t="inlineStr">
        <is>
          <t>1QTVTNMT hạng III.3</t>
        </is>
      </c>
      <c r="G35" s="2" t="n">
        <v>0.8</v>
      </c>
      <c r="H35" s="2" t="n">
        <v>1</v>
      </c>
      <c r="I35" s="2">
        <f>G35*H35</f>
        <v/>
      </c>
      <c r="J35" s="2">
        <f>D35*I35</f>
        <v/>
      </c>
    </row>
    <row r="36">
      <c r="A36" s="3" t="inlineStr">
        <is>
          <t>8</t>
        </is>
      </c>
      <c r="B36" s="3" t="inlineStr">
        <is>
          <t>NT10k2</t>
        </is>
      </c>
      <c r="C36" s="3" t="inlineStr">
        <is>
          <t>Cadimi</t>
        </is>
      </c>
      <c r="D36" s="3" t="n">
        <v>4</v>
      </c>
      <c r="E36" s="3" t="inlineStr">
        <is>
          <t>Ngoại nghiệp</t>
        </is>
      </c>
      <c r="F36" s="3" t="inlineStr">
        <is>
          <t>1QTVTNMT hạng III.2</t>
        </is>
      </c>
      <c r="G36" s="3" t="n">
        <v>0.15</v>
      </c>
      <c r="H36" s="3" t="n">
        <v>1.2</v>
      </c>
      <c r="I36" s="3">
        <f>G36*H36</f>
        <v/>
      </c>
      <c r="J36" s="3">
        <f>D36*I36</f>
        <v/>
      </c>
    </row>
    <row r="37">
      <c r="A37" s="2" t="inlineStr">
        <is>
          <t>8</t>
        </is>
      </c>
      <c r="B37" s="2" t="inlineStr">
        <is>
          <t>NT10k2</t>
        </is>
      </c>
      <c r="C37" s="2" t="inlineStr">
        <is>
          <t>Cadimi</t>
        </is>
      </c>
      <c r="D37" s="2" t="n">
        <v>4</v>
      </c>
      <c r="E37" s="2" t="inlineStr">
        <is>
          <t>Nội nghiệp</t>
        </is>
      </c>
      <c r="F37" s="2" t="inlineStr">
        <is>
          <t>1QTVTNMT hạng III.3</t>
        </is>
      </c>
      <c r="G37" s="2" t="n">
        <v>0.8</v>
      </c>
      <c r="H37" s="2" t="n">
        <v>1</v>
      </c>
      <c r="I37" s="2">
        <f>G37*H37</f>
        <v/>
      </c>
      <c r="J37" s="2">
        <f>D37*I37</f>
        <v/>
      </c>
    </row>
    <row r="38">
      <c r="A38" s="3" t="inlineStr">
        <is>
          <t>9</t>
        </is>
      </c>
      <c r="B38" s="3" t="inlineStr">
        <is>
          <t>NT10đ</t>
        </is>
      </c>
      <c r="C38" s="3" t="inlineStr">
        <is>
          <t>Crom (VI)</t>
        </is>
      </c>
      <c r="D38" s="3" t="n">
        <v>4</v>
      </c>
      <c r="E38" s="3" t="inlineStr">
        <is>
          <t>Ngoại nghiệp</t>
        </is>
      </c>
      <c r="F38" s="3" t="inlineStr">
        <is>
          <t>1QTVTNMT hạng III.2</t>
        </is>
      </c>
      <c r="G38" s="3" t="n">
        <v>0.2</v>
      </c>
      <c r="H38" s="3" t="n">
        <v>1.2</v>
      </c>
      <c r="I38" s="3">
        <f>G38*H38</f>
        <v/>
      </c>
      <c r="J38" s="3">
        <f>D38*I38</f>
        <v/>
      </c>
    </row>
    <row r="39">
      <c r="A39" s="2" t="inlineStr">
        <is>
          <t>9</t>
        </is>
      </c>
      <c r="B39" s="2" t="inlineStr">
        <is>
          <t>NT10đ</t>
        </is>
      </c>
      <c r="C39" s="2" t="inlineStr">
        <is>
          <t>Crom (VI)</t>
        </is>
      </c>
      <c r="D39" s="2" t="n">
        <v>4</v>
      </c>
      <c r="E39" s="2" t="inlineStr">
        <is>
          <t>Nội nghiệp</t>
        </is>
      </c>
      <c r="F39" s="2" t="inlineStr">
        <is>
          <t>1QTVTNMT hạng III.2</t>
        </is>
      </c>
      <c r="G39" s="2" t="n">
        <v>0.52</v>
      </c>
      <c r="H39" s="2" t="n">
        <v>1</v>
      </c>
      <c r="I39" s="2">
        <f>G39*H39</f>
        <v/>
      </c>
      <c r="J39" s="2">
        <f>D39*I39</f>
        <v/>
      </c>
    </row>
    <row r="40">
      <c r="A40" s="3" t="inlineStr">
        <is>
          <t>10</t>
        </is>
      </c>
      <c r="B40" s="3" t="inlineStr">
        <is>
          <t>NT10m5</t>
        </is>
      </c>
      <c r="C40" s="3" t="inlineStr">
        <is>
          <t>Tổng Crom</t>
        </is>
      </c>
      <c r="D40" s="3" t="n">
        <v>4</v>
      </c>
      <c r="E40" s="3" t="inlineStr">
        <is>
          <t>Ngoại nghiệp</t>
        </is>
      </c>
      <c r="F40" s="3" t="inlineStr">
        <is>
          <t>1QTVTNMT hạng III.2</t>
        </is>
      </c>
      <c r="G40" s="3" t="n">
        <v>0.15</v>
      </c>
      <c r="H40" s="3" t="n">
        <v>1.2</v>
      </c>
      <c r="I40" s="3">
        <f>G40*H40</f>
        <v/>
      </c>
      <c r="J40" s="3">
        <f>D40*I40</f>
        <v/>
      </c>
    </row>
    <row r="41">
      <c r="A41" s="2" t="inlineStr">
        <is>
          <t>10</t>
        </is>
      </c>
      <c r="B41" s="2" t="inlineStr">
        <is>
          <t>NT10m5</t>
        </is>
      </c>
      <c r="C41" s="2" t="inlineStr">
        <is>
          <t>Tổng Crom</t>
        </is>
      </c>
      <c r="D41" s="2" t="n">
        <v>4</v>
      </c>
      <c r="E41" s="2" t="inlineStr">
        <is>
          <t>Nội nghiệp</t>
        </is>
      </c>
      <c r="F41" s="2" t="inlineStr">
        <is>
          <t>1QTVTNMT hạng III.2</t>
        </is>
      </c>
      <c r="G41" s="2" t="n">
        <v>0.7</v>
      </c>
      <c r="H41" s="2" t="n">
        <v>1</v>
      </c>
      <c r="I41" s="2">
        <f>G41*H41</f>
        <v/>
      </c>
      <c r="J41" s="2">
        <f>D41*I41</f>
        <v/>
      </c>
    </row>
    <row r="42">
      <c r="A42" s="3" t="inlineStr">
        <is>
          <t>11</t>
        </is>
      </c>
      <c r="B42" s="3" t="inlineStr">
        <is>
          <t>NT10m1</t>
        </is>
      </c>
      <c r="C42" s="3" t="inlineStr">
        <is>
          <t>Đồng</t>
        </is>
      </c>
      <c r="D42" s="3" t="n">
        <v>4</v>
      </c>
      <c r="E42" s="3" t="inlineStr">
        <is>
          <t>Ngoại nghiệp</t>
        </is>
      </c>
      <c r="F42" s="3" t="inlineStr">
        <is>
          <t>1QTVTNMT hạng III.2</t>
        </is>
      </c>
      <c r="G42" s="3" t="n">
        <v>0.15</v>
      </c>
      <c r="H42" s="3" t="n">
        <v>1.2</v>
      </c>
      <c r="I42" s="3">
        <f>G42*H42</f>
        <v/>
      </c>
      <c r="J42" s="3">
        <f>D42*I42</f>
        <v/>
      </c>
    </row>
    <row r="43">
      <c r="A43" s="2" t="inlineStr">
        <is>
          <t>11</t>
        </is>
      </c>
      <c r="B43" s="2" t="inlineStr">
        <is>
          <t>NT10m1</t>
        </is>
      </c>
      <c r="C43" s="2" t="inlineStr">
        <is>
          <t>Đồng</t>
        </is>
      </c>
      <c r="D43" s="2" t="n">
        <v>4</v>
      </c>
      <c r="E43" s="2" t="inlineStr">
        <is>
          <t>Nội nghiệp</t>
        </is>
      </c>
      <c r="F43" s="2" t="inlineStr">
        <is>
          <t>1QTVTNMT hạng III.2</t>
        </is>
      </c>
      <c r="G43" s="2" t="n">
        <v>0.7</v>
      </c>
      <c r="H43" s="2" t="n">
        <v>1</v>
      </c>
      <c r="I43" s="2">
        <f>G43*H43</f>
        <v/>
      </c>
      <c r="J43" s="2">
        <f>D43*I43</f>
        <v/>
      </c>
    </row>
    <row r="44">
      <c r="A44" s="3" t="inlineStr">
        <is>
          <t>12</t>
        </is>
      </c>
      <c r="B44" s="3" t="inlineStr">
        <is>
          <t>NT10m2</t>
        </is>
      </c>
      <c r="C44" s="3" t="inlineStr">
        <is>
          <t>Kẽm</t>
        </is>
      </c>
      <c r="D44" s="3" t="n">
        <v>4</v>
      </c>
      <c r="E44" s="3" t="inlineStr">
        <is>
          <t>Ngoại nghiệp</t>
        </is>
      </c>
      <c r="F44" s="3" t="inlineStr">
        <is>
          <t>1QTVTNMT hạng III.2</t>
        </is>
      </c>
      <c r="G44" s="3" t="n">
        <v>0.15</v>
      </c>
      <c r="H44" s="3" t="n">
        <v>1.2</v>
      </c>
      <c r="I44" s="3">
        <f>G44*H44</f>
        <v/>
      </c>
      <c r="J44" s="3">
        <f>D44*I44</f>
        <v/>
      </c>
    </row>
    <row r="45">
      <c r="A45" s="2" t="inlineStr">
        <is>
          <t>12</t>
        </is>
      </c>
      <c r="B45" s="2" t="inlineStr">
        <is>
          <t>NT10m2</t>
        </is>
      </c>
      <c r="C45" s="2" t="inlineStr">
        <is>
          <t>Kẽm</t>
        </is>
      </c>
      <c r="D45" s="2" t="n">
        <v>4</v>
      </c>
      <c r="E45" s="2" t="inlineStr">
        <is>
          <t>Nội nghiệp</t>
        </is>
      </c>
      <c r="F45" s="2" t="inlineStr">
        <is>
          <t>1QTVTNMT hạng III.2</t>
        </is>
      </c>
      <c r="G45" s="2" t="n">
        <v>0.7</v>
      </c>
      <c r="H45" s="2" t="n">
        <v>1</v>
      </c>
      <c r="I45" s="2">
        <f>G45*H45</f>
        <v/>
      </c>
      <c r="J45" s="2">
        <f>D45*I45</f>
        <v/>
      </c>
    </row>
    <row r="46">
      <c r="A46" s="3" t="inlineStr">
        <is>
          <t>13</t>
        </is>
      </c>
      <c r="B46" s="3" t="inlineStr">
        <is>
          <t>NT10m3</t>
        </is>
      </c>
      <c r="C46" s="3" t="inlineStr">
        <is>
          <t>Mangan</t>
        </is>
      </c>
      <c r="D46" s="3" t="n">
        <v>4</v>
      </c>
      <c r="E46" s="3" t="inlineStr">
        <is>
          <t>Ngoại nghiệp</t>
        </is>
      </c>
      <c r="F46" s="3" t="inlineStr">
        <is>
          <t>1QTVTNMT hạng III.2</t>
        </is>
      </c>
      <c r="G46" s="3" t="n">
        <v>0.15</v>
      </c>
      <c r="H46" s="3" t="n">
        <v>1.2</v>
      </c>
      <c r="I46" s="3">
        <f>G46*H46</f>
        <v/>
      </c>
      <c r="J46" s="3">
        <f>D46*I46</f>
        <v/>
      </c>
    </row>
    <row r="47">
      <c r="A47" s="2" t="inlineStr">
        <is>
          <t>13</t>
        </is>
      </c>
      <c r="B47" s="2" t="inlineStr">
        <is>
          <t>NT10m3</t>
        </is>
      </c>
      <c r="C47" s="2" t="inlineStr">
        <is>
          <t>Mangan</t>
        </is>
      </c>
      <c r="D47" s="2" t="n">
        <v>4</v>
      </c>
      <c r="E47" s="2" t="inlineStr">
        <is>
          <t>Nội nghiệp</t>
        </is>
      </c>
      <c r="F47" s="2" t="inlineStr">
        <is>
          <t>1QTVTNMT hạng III.2</t>
        </is>
      </c>
      <c r="G47" s="2" t="n">
        <v>0.7</v>
      </c>
      <c r="H47" s="2" t="n">
        <v>1</v>
      </c>
      <c r="I47" s="2">
        <f>G47*H47</f>
        <v/>
      </c>
      <c r="J47" s="2">
        <f>D47*I47</f>
        <v/>
      </c>
    </row>
    <row r="48">
      <c r="A48" s="3" t="inlineStr">
        <is>
          <t>14</t>
        </is>
      </c>
      <c r="B48" s="3" t="inlineStr">
        <is>
          <t>NT10m4</t>
        </is>
      </c>
      <c r="C48" s="3" t="inlineStr">
        <is>
          <t>Sắt</t>
        </is>
      </c>
      <c r="D48" s="3" t="n">
        <v>4</v>
      </c>
      <c r="E48" s="3" t="inlineStr">
        <is>
          <t>Ngoại nghiệp</t>
        </is>
      </c>
      <c r="F48" s="3" t="inlineStr">
        <is>
          <t>1QTVTNMT hạng III.2</t>
        </is>
      </c>
      <c r="G48" s="3" t="n">
        <v>0.15</v>
      </c>
      <c r="H48" s="3" t="n">
        <v>1.2</v>
      </c>
      <c r="I48" s="3">
        <f>G48*H48</f>
        <v/>
      </c>
      <c r="J48" s="3">
        <f>D48*I48</f>
        <v/>
      </c>
    </row>
    <row r="49">
      <c r="A49" s="2" t="inlineStr">
        <is>
          <t>14</t>
        </is>
      </c>
      <c r="B49" s="2" t="inlineStr">
        <is>
          <t>NT10m4</t>
        </is>
      </c>
      <c r="C49" s="2" t="inlineStr">
        <is>
          <t>Sắt</t>
        </is>
      </c>
      <c r="D49" s="2" t="n">
        <v>4</v>
      </c>
      <c r="E49" s="2" t="inlineStr">
        <is>
          <t>Nội nghiệp</t>
        </is>
      </c>
      <c r="F49" s="2" t="inlineStr">
        <is>
          <t>1QTVTNMT hạng III.2</t>
        </is>
      </c>
      <c r="G49" s="2" t="n">
        <v>0.7</v>
      </c>
      <c r="H49" s="2" t="n">
        <v>1</v>
      </c>
      <c r="I49" s="2">
        <f>G49*H49</f>
        <v/>
      </c>
      <c r="J49" s="2">
        <f>D49*I49</f>
        <v/>
      </c>
    </row>
    <row r="50">
      <c r="A50" s="3" t="inlineStr">
        <is>
          <t>15</t>
        </is>
      </c>
      <c r="B50" s="3" t="inlineStr">
        <is>
          <t>NT9</t>
        </is>
      </c>
      <c r="C50" s="3" t="inlineStr">
        <is>
          <t>Xyanua</t>
        </is>
      </c>
      <c r="D50" s="3" t="n">
        <v>4</v>
      </c>
      <c r="E50" s="3" t="inlineStr">
        <is>
          <t>Ngoại nghiệp</t>
        </is>
      </c>
      <c r="F50" s="3" t="inlineStr">
        <is>
          <t>1QTVTNMT hạng III.2</t>
        </is>
      </c>
      <c r="G50" s="3" t="n">
        <v>0.2</v>
      </c>
      <c r="H50" s="3" t="n">
        <v>1.2</v>
      </c>
      <c r="I50" s="3">
        <f>G50*H50</f>
        <v/>
      </c>
      <c r="J50" s="3">
        <f>D50*I50</f>
        <v/>
      </c>
    </row>
    <row r="51">
      <c r="A51" s="2" t="inlineStr">
        <is>
          <t>15</t>
        </is>
      </c>
      <c r="B51" s="2" t="inlineStr">
        <is>
          <t>NT9</t>
        </is>
      </c>
      <c r="C51" s="2" t="inlineStr">
        <is>
          <t>Xyanua</t>
        </is>
      </c>
      <c r="D51" s="2" t="n">
        <v>4</v>
      </c>
      <c r="E51" s="2" t="inlineStr">
        <is>
          <t>Nội nghiệp</t>
        </is>
      </c>
      <c r="F51" s="2" t="inlineStr">
        <is>
          <t>1QTVTNMT hạng III.2</t>
        </is>
      </c>
      <c r="G51" s="2" t="n">
        <v>0.62</v>
      </c>
      <c r="H51" s="2" t="n">
        <v>1</v>
      </c>
      <c r="I51" s="2">
        <f>G51*H51</f>
        <v/>
      </c>
      <c r="J51" s="2">
        <f>D51*I51</f>
        <v/>
      </c>
    </row>
    <row r="52">
      <c r="A52" s="3" t="inlineStr">
        <is>
          <t>16</t>
        </is>
      </c>
      <c r="B52" s="3" t="inlineStr">
        <is>
          <t>NT8</t>
        </is>
      </c>
      <c r="C52" s="3" t="inlineStr">
        <is>
          <t>Dầu mỡ khoáng</t>
        </is>
      </c>
      <c r="D52" s="3" t="n">
        <v>4</v>
      </c>
      <c r="E52" s="3" t="inlineStr">
        <is>
          <t>Ngoại nghiệp</t>
        </is>
      </c>
      <c r="F52" s="3" t="inlineStr">
        <is>
          <t>1QTVTNMT hạng III.3</t>
        </is>
      </c>
      <c r="G52" s="3" t="n">
        <v>0.2</v>
      </c>
      <c r="H52" s="3" t="n">
        <v>1.2</v>
      </c>
      <c r="I52" s="3">
        <f>G52*H52</f>
        <v/>
      </c>
      <c r="J52" s="3">
        <f>D52*I52</f>
        <v/>
      </c>
    </row>
    <row r="53">
      <c r="A53" s="2" t="inlineStr">
        <is>
          <t>16</t>
        </is>
      </c>
      <c r="B53" s="2" t="inlineStr">
        <is>
          <t>NT8</t>
        </is>
      </c>
      <c r="C53" s="2" t="inlineStr">
        <is>
          <t>Dầu mỡ khoáng</t>
        </is>
      </c>
      <c r="D53" s="2" t="n">
        <v>4</v>
      </c>
      <c r="E53" s="2" t="inlineStr">
        <is>
          <t>Nội nghiệp</t>
        </is>
      </c>
      <c r="F53" s="2" t="inlineStr">
        <is>
          <t>1QTVTNMT hạng III.2</t>
        </is>
      </c>
      <c r="G53" s="2" t="n">
        <v>0.95</v>
      </c>
      <c r="H53" s="2" t="n">
        <v>1</v>
      </c>
      <c r="I53" s="2">
        <f>G53*H53</f>
        <v/>
      </c>
      <c r="J53" s="2">
        <f>D53*I53</f>
        <v/>
      </c>
    </row>
    <row r="54">
      <c r="A54" s="3" t="inlineStr">
        <is>
          <t>17</t>
        </is>
      </c>
      <c r="B54" s="3" t="inlineStr">
        <is>
          <t>NT2</t>
        </is>
      </c>
      <c r="C54" s="3" t="inlineStr">
        <is>
          <t>Tổng phenol</t>
        </is>
      </c>
      <c r="D54" s="3" t="n">
        <v>4</v>
      </c>
      <c r="E54" s="3" t="inlineStr">
        <is>
          <t>Ngoại nghiệp</t>
        </is>
      </c>
      <c r="F54" s="3" t="inlineStr">
        <is>
          <t>1QTVTNMT hạng III.1</t>
        </is>
      </c>
      <c r="G54" s="3" t="n">
        <v>0.2</v>
      </c>
      <c r="H54" s="3" t="n">
        <v>1.2</v>
      </c>
      <c r="I54" s="3">
        <f>G54*H54</f>
        <v/>
      </c>
      <c r="J54" s="3">
        <f>D54*I54</f>
        <v/>
      </c>
    </row>
    <row r="55">
      <c r="A55" s="2" t="inlineStr">
        <is>
          <t>18</t>
        </is>
      </c>
      <c r="B55" s="2" t="inlineStr">
        <is>
          <t>NT7a</t>
        </is>
      </c>
      <c r="C55" s="2" t="inlineStr">
        <is>
          <t>Coliform</t>
        </is>
      </c>
      <c r="D55" s="2" t="n">
        <v>4</v>
      </c>
      <c r="E55" s="2" t="inlineStr">
        <is>
          <t>Ngoại nghiệp</t>
        </is>
      </c>
      <c r="F55" s="2" t="inlineStr">
        <is>
          <t>1QTVTNMT hạng III.2</t>
        </is>
      </c>
      <c r="G55" s="2" t="n">
        <v>0.2</v>
      </c>
      <c r="H55" s="2" t="n">
        <v>1.2</v>
      </c>
      <c r="I55" s="2">
        <f>G55*H55</f>
        <v/>
      </c>
      <c r="J55" s="2">
        <f>D55*I55</f>
        <v/>
      </c>
    </row>
    <row r="56">
      <c r="A56" s="3" t="inlineStr">
        <is>
          <t>1</t>
        </is>
      </c>
      <c r="B56" s="3" t="inlineStr">
        <is>
          <t>NT4b</t>
        </is>
      </c>
      <c r="C56" s="3" t="inlineStr">
        <is>
          <t>Màu</t>
        </is>
      </c>
      <c r="D56" s="3" t="n">
        <v>4</v>
      </c>
      <c r="E56" s="3" t="inlineStr">
        <is>
          <t>Ngoại nghiệp</t>
        </is>
      </c>
      <c r="F56" s="3" t="inlineStr">
        <is>
          <t>1QTVTNMT hạng III.1</t>
        </is>
      </c>
      <c r="G56" s="3" t="n">
        <v>0.2</v>
      </c>
      <c r="H56" s="3" t="n">
        <v>1.2</v>
      </c>
      <c r="I56" s="3">
        <f>G56*H56</f>
        <v/>
      </c>
      <c r="J56" s="3">
        <f>D56*I56</f>
        <v/>
      </c>
    </row>
    <row r="57">
      <c r="A57" s="2" t="inlineStr">
        <is>
          <t>2</t>
        </is>
      </c>
      <c r="B57" s="2" t="inlineStr">
        <is>
          <t>NT5a</t>
        </is>
      </c>
      <c r="C57" s="2" t="inlineStr">
        <is>
          <t>BOD5 (20°C)</t>
        </is>
      </c>
      <c r="D57" s="2" t="n">
        <v>4</v>
      </c>
      <c r="E57" s="2" t="inlineStr">
        <is>
          <t>Ngoại nghiệp</t>
        </is>
      </c>
      <c r="F57" s="2" t="inlineStr">
        <is>
          <t>1QTVTNMT hạng III.1</t>
        </is>
      </c>
      <c r="G57" s="2" t="n">
        <v>0.2</v>
      </c>
      <c r="H57" s="2" t="n">
        <v>1.2</v>
      </c>
      <c r="I57" s="2">
        <f>G57*H57</f>
        <v/>
      </c>
      <c r="J57" s="2">
        <f>D57*I57</f>
        <v/>
      </c>
    </row>
    <row r="58">
      <c r="A58" s="3" t="inlineStr">
        <is>
          <t>2</t>
        </is>
      </c>
      <c r="B58" s="3" t="inlineStr">
        <is>
          <t>NT5a</t>
        </is>
      </c>
      <c r="C58" s="3" t="inlineStr">
        <is>
          <t>BOD5 (20°C)</t>
        </is>
      </c>
      <c r="D58" s="3" t="n">
        <v>4</v>
      </c>
      <c r="E58" s="3" t="inlineStr">
        <is>
          <t>Nội nghiệp</t>
        </is>
      </c>
      <c r="F58" s="3" t="inlineStr">
        <is>
          <t>1QTVTNMT hạng III.1</t>
        </is>
      </c>
      <c r="G58" s="3" t="n">
        <v>0.47</v>
      </c>
      <c r="H58" s="3" t="n">
        <v>1</v>
      </c>
      <c r="I58" s="3">
        <f>G58*H58</f>
        <v/>
      </c>
      <c r="J58" s="3">
        <f>D58*I58</f>
        <v/>
      </c>
    </row>
    <row r="59">
      <c r="A59" s="2" t="inlineStr">
        <is>
          <t>3</t>
        </is>
      </c>
      <c r="B59" s="2" t="inlineStr">
        <is>
          <t>NT10l1</t>
        </is>
      </c>
      <c r="C59" s="2" t="inlineStr">
        <is>
          <t>Asen</t>
        </is>
      </c>
      <c r="D59" s="2" t="n">
        <v>4</v>
      </c>
      <c r="E59" s="2" t="inlineStr">
        <is>
          <t>Ngoại nghiệp</t>
        </is>
      </c>
      <c r="F59" s="2" t="inlineStr">
        <is>
          <t>1QTVTNMT hạng III.2</t>
        </is>
      </c>
      <c r="G59" s="2" t="n">
        <v>0.15</v>
      </c>
      <c r="H59" s="2" t="n">
        <v>1.2</v>
      </c>
      <c r="I59" s="2">
        <f>G59*H59</f>
        <v/>
      </c>
      <c r="J59" s="2">
        <f>D59*I59</f>
        <v/>
      </c>
    </row>
    <row r="60">
      <c r="A60" s="3" t="inlineStr">
        <is>
          <t>3</t>
        </is>
      </c>
      <c r="B60" s="3" t="inlineStr">
        <is>
          <t>NT10l1</t>
        </is>
      </c>
      <c r="C60" s="3" t="inlineStr">
        <is>
          <t>Asen</t>
        </is>
      </c>
      <c r="D60" s="3" t="n">
        <v>4</v>
      </c>
      <c r="E60" s="3" t="inlineStr">
        <is>
          <t>Nội nghiệp</t>
        </is>
      </c>
      <c r="F60" s="3" t="inlineStr">
        <is>
          <t>1QTVTNMT hạng III.3</t>
        </is>
      </c>
      <c r="G60" s="3" t="n">
        <v>0.8</v>
      </c>
      <c r="H60" s="3" t="n">
        <v>1</v>
      </c>
      <c r="I60" s="3">
        <f>G60*H60</f>
        <v/>
      </c>
      <c r="J60" s="3">
        <f>D60*I60</f>
        <v/>
      </c>
    </row>
    <row r="61">
      <c r="A61" s="2" t="inlineStr">
        <is>
          <t>4</t>
        </is>
      </c>
      <c r="B61" s="2" t="inlineStr">
        <is>
          <t>NT10l2</t>
        </is>
      </c>
      <c r="C61" s="2" t="inlineStr">
        <is>
          <t>Thủy ngân</t>
        </is>
      </c>
      <c r="D61" s="2" t="n">
        <v>4</v>
      </c>
      <c r="E61" s="2" t="inlineStr">
        <is>
          <t>Ngoại nghiệp</t>
        </is>
      </c>
      <c r="F61" s="2" t="inlineStr">
        <is>
          <t>1QTVTNMT hạng III.2</t>
        </is>
      </c>
      <c r="G61" s="2" t="n">
        <v>0.15</v>
      </c>
      <c r="H61" s="2" t="n">
        <v>1.2</v>
      </c>
      <c r="I61" s="2">
        <f>G61*H61</f>
        <v/>
      </c>
      <c r="J61" s="2">
        <f>D61*I61</f>
        <v/>
      </c>
    </row>
    <row r="62">
      <c r="A62" s="3" t="inlineStr">
        <is>
          <t>4</t>
        </is>
      </c>
      <c r="B62" s="3" t="inlineStr">
        <is>
          <t>NT10l2</t>
        </is>
      </c>
      <c r="C62" s="3" t="inlineStr">
        <is>
          <t>Thủy ngân</t>
        </is>
      </c>
      <c r="D62" s="3" t="n">
        <v>4</v>
      </c>
      <c r="E62" s="3" t="inlineStr">
        <is>
          <t>Nội nghiệp</t>
        </is>
      </c>
      <c r="F62" s="3" t="inlineStr">
        <is>
          <t>1QTVTNMT hạng III.3</t>
        </is>
      </c>
      <c r="G62" s="3" t="n">
        <v>0.8</v>
      </c>
      <c r="H62" s="3" t="n">
        <v>1</v>
      </c>
      <c r="I62" s="3">
        <f>G62*H62</f>
        <v/>
      </c>
      <c r="J62" s="3">
        <f>D62*I62</f>
        <v/>
      </c>
    </row>
    <row r="63">
      <c r="A63" s="2" t="inlineStr">
        <is>
          <t>5</t>
        </is>
      </c>
      <c r="B63" s="2" t="inlineStr">
        <is>
          <t>NT10k1</t>
        </is>
      </c>
      <c r="C63" s="2" t="inlineStr">
        <is>
          <t>Chì</t>
        </is>
      </c>
      <c r="D63" s="2" t="n">
        <v>4</v>
      </c>
      <c r="E63" s="2" t="inlineStr">
        <is>
          <t>Ngoại nghiệp</t>
        </is>
      </c>
      <c r="F63" s="2" t="inlineStr">
        <is>
          <t>1QTVTNMT hạng III.2</t>
        </is>
      </c>
      <c r="G63" s="2" t="n">
        <v>0.15</v>
      </c>
      <c r="H63" s="2" t="n">
        <v>1.2</v>
      </c>
      <c r="I63" s="2">
        <f>G63*H63</f>
        <v/>
      </c>
      <c r="J63" s="2">
        <f>D63*I63</f>
        <v/>
      </c>
    </row>
    <row r="64">
      <c r="A64" s="3" t="inlineStr">
        <is>
          <t>5</t>
        </is>
      </c>
      <c r="B64" s="3" t="inlineStr">
        <is>
          <t>NT10k1</t>
        </is>
      </c>
      <c r="C64" s="3" t="inlineStr">
        <is>
          <t>Chì</t>
        </is>
      </c>
      <c r="D64" s="3" t="n">
        <v>4</v>
      </c>
      <c r="E64" s="3" t="inlineStr">
        <is>
          <t>Nội nghiệp</t>
        </is>
      </c>
      <c r="F64" s="3" t="inlineStr">
        <is>
          <t>1QTVTNMT hạng III.3</t>
        </is>
      </c>
      <c r="G64" s="3" t="n">
        <v>0.8</v>
      </c>
      <c r="H64" s="3" t="n">
        <v>1</v>
      </c>
      <c r="I64" s="3">
        <f>G64*H64</f>
        <v/>
      </c>
      <c r="J64" s="3">
        <f>D64*I64</f>
        <v/>
      </c>
    </row>
    <row r="65">
      <c r="A65" s="2" t="inlineStr">
        <is>
          <t>6</t>
        </is>
      </c>
      <c r="B65" s="2" t="inlineStr">
        <is>
          <t>NT10k2</t>
        </is>
      </c>
      <c r="C65" s="2" t="inlineStr">
        <is>
          <t>Cadimi</t>
        </is>
      </c>
      <c r="D65" s="2" t="n">
        <v>4</v>
      </c>
      <c r="E65" s="2" t="inlineStr">
        <is>
          <t>Ngoại nghiệp</t>
        </is>
      </c>
      <c r="F65" s="2" t="inlineStr">
        <is>
          <t>1QTVTNMT hạng III.2</t>
        </is>
      </c>
      <c r="G65" s="2" t="n">
        <v>0.15</v>
      </c>
      <c r="H65" s="2" t="n">
        <v>1.2</v>
      </c>
      <c r="I65" s="2">
        <f>G65*H65</f>
        <v/>
      </c>
      <c r="J65" s="2">
        <f>D65*I65</f>
        <v/>
      </c>
    </row>
    <row r="66">
      <c r="A66" s="3" t="inlineStr">
        <is>
          <t>6</t>
        </is>
      </c>
      <c r="B66" s="3" t="inlineStr">
        <is>
          <t>NT10k2</t>
        </is>
      </c>
      <c r="C66" s="3" t="inlineStr">
        <is>
          <t>Cadimi</t>
        </is>
      </c>
      <c r="D66" s="3" t="n">
        <v>4</v>
      </c>
      <c r="E66" s="3" t="inlineStr">
        <is>
          <t>Nội nghiệp</t>
        </is>
      </c>
      <c r="F66" s="3" t="inlineStr">
        <is>
          <t>1QTVTNMT hạng III.3</t>
        </is>
      </c>
      <c r="G66" s="3" t="n">
        <v>0.8</v>
      </c>
      <c r="H66" s="3" t="n">
        <v>1</v>
      </c>
      <c r="I66" s="3">
        <f>G66*H66</f>
        <v/>
      </c>
      <c r="J66" s="3">
        <f>D66*I66</f>
        <v/>
      </c>
    </row>
    <row r="67">
      <c r="A67" s="2" t="inlineStr">
        <is>
          <t>7</t>
        </is>
      </c>
      <c r="B67" s="2" t="inlineStr">
        <is>
          <t>NT10m5</t>
        </is>
      </c>
      <c r="C67" s="2" t="inlineStr">
        <is>
          <t>Crom (III)</t>
        </is>
      </c>
      <c r="D67" s="2" t="n">
        <v>4</v>
      </c>
      <c r="E67" s="2" t="inlineStr">
        <is>
          <t>Ngoại nghiệp</t>
        </is>
      </c>
      <c r="F67" s="2" t="inlineStr">
        <is>
          <t>1QTVTNMT hạng III.2</t>
        </is>
      </c>
      <c r="G67" s="2" t="n">
        <v>0.15</v>
      </c>
      <c r="H67" s="2" t="n">
        <v>1.2</v>
      </c>
      <c r="I67" s="2">
        <f>G67*H67</f>
        <v/>
      </c>
      <c r="J67" s="2">
        <f>D67*I67</f>
        <v/>
      </c>
    </row>
    <row r="68">
      <c r="A68" s="3" t="inlineStr">
        <is>
          <t>7</t>
        </is>
      </c>
      <c r="B68" s="3" t="inlineStr">
        <is>
          <t>NT10m5</t>
        </is>
      </c>
      <c r="C68" s="3" t="inlineStr">
        <is>
          <t>Crom (III)</t>
        </is>
      </c>
      <c r="D68" s="3" t="n">
        <v>4</v>
      </c>
      <c r="E68" s="3" t="inlineStr">
        <is>
          <t>Nội nghiệp</t>
        </is>
      </c>
      <c r="F68" s="3" t="inlineStr">
        <is>
          <t>1QTVTNMT hạng III.2</t>
        </is>
      </c>
      <c r="G68" s="3" t="n">
        <v>0.7</v>
      </c>
      <c r="H68" s="3" t="n">
        <v>1</v>
      </c>
      <c r="I68" s="3">
        <f>G68*H68</f>
        <v/>
      </c>
      <c r="J68" s="3">
        <f>D68*I68</f>
        <v/>
      </c>
    </row>
    <row r="69">
      <c r="A69" s="2" t="inlineStr">
        <is>
          <t>8</t>
        </is>
      </c>
      <c r="B69" s="2" t="inlineStr">
        <is>
          <t>NT10đ</t>
        </is>
      </c>
      <c r="C69" s="2" t="inlineStr">
        <is>
          <t>Crom (VI)</t>
        </is>
      </c>
      <c r="D69" s="2" t="n">
        <v>4</v>
      </c>
      <c r="E69" s="2" t="inlineStr">
        <is>
          <t>Ngoại nghiệp</t>
        </is>
      </c>
      <c r="F69" s="2" t="inlineStr">
        <is>
          <t>1QTVTNMT hạng III.2</t>
        </is>
      </c>
      <c r="G69" s="2" t="n">
        <v>0.2</v>
      </c>
      <c r="H69" s="2" t="n">
        <v>1.2</v>
      </c>
      <c r="I69" s="2">
        <f>G69*H69</f>
        <v/>
      </c>
      <c r="J69" s="2">
        <f>D69*I69</f>
        <v/>
      </c>
    </row>
    <row r="70">
      <c r="A70" s="3" t="inlineStr">
        <is>
          <t>8</t>
        </is>
      </c>
      <c r="B70" s="3" t="inlineStr">
        <is>
          <t>NT10đ</t>
        </is>
      </c>
      <c r="C70" s="3" t="inlineStr">
        <is>
          <t>Crom (VI)</t>
        </is>
      </c>
      <c r="D70" s="3" t="n">
        <v>4</v>
      </c>
      <c r="E70" s="3" t="inlineStr">
        <is>
          <t>Nội nghiệp</t>
        </is>
      </c>
      <c r="F70" s="3" t="inlineStr">
        <is>
          <t>1QTVTNMT hạng III.2</t>
        </is>
      </c>
      <c r="G70" s="3" t="n">
        <v>0.52</v>
      </c>
      <c r="H70" s="3" t="n">
        <v>1</v>
      </c>
      <c r="I70" s="3">
        <f>G70*H70</f>
        <v/>
      </c>
      <c r="J70" s="3">
        <f>D70*I70</f>
        <v/>
      </c>
    </row>
    <row r="71">
      <c r="A71" s="2" t="inlineStr">
        <is>
          <t>9</t>
        </is>
      </c>
      <c r="B71" s="2" t="inlineStr">
        <is>
          <t>NT10m1</t>
        </is>
      </c>
      <c r="C71" s="2" t="inlineStr">
        <is>
          <t>Đồng</t>
        </is>
      </c>
      <c r="D71" s="2" t="n">
        <v>4</v>
      </c>
      <c r="E71" s="2" t="inlineStr">
        <is>
          <t>Ngoại nghiệp</t>
        </is>
      </c>
      <c r="F71" s="2" t="inlineStr">
        <is>
          <t>1QTVTNMT hạng III.2</t>
        </is>
      </c>
      <c r="G71" s="2" t="n">
        <v>0.15</v>
      </c>
      <c r="H71" s="2" t="n">
        <v>1.2</v>
      </c>
      <c r="I71" s="2">
        <f>G71*H71</f>
        <v/>
      </c>
      <c r="J71" s="2">
        <f>D71*I71</f>
        <v/>
      </c>
    </row>
    <row r="72">
      <c r="A72" s="3" t="inlineStr">
        <is>
          <t>9</t>
        </is>
      </c>
      <c r="B72" s="3" t="inlineStr">
        <is>
          <t>NT10m1</t>
        </is>
      </c>
      <c r="C72" s="3" t="inlineStr">
        <is>
          <t>Đồng</t>
        </is>
      </c>
      <c r="D72" s="3" t="n">
        <v>4</v>
      </c>
      <c r="E72" s="3" t="inlineStr">
        <is>
          <t>Nội nghiệp</t>
        </is>
      </c>
      <c r="F72" s="3" t="inlineStr">
        <is>
          <t>1QTVTNMT hạng III.2</t>
        </is>
      </c>
      <c r="G72" s="3" t="n">
        <v>0.7</v>
      </c>
      <c r="H72" s="3" t="n">
        <v>1</v>
      </c>
      <c r="I72" s="3">
        <f>G72*H72</f>
        <v/>
      </c>
      <c r="J72" s="3">
        <f>D72*I72</f>
        <v/>
      </c>
    </row>
    <row r="73">
      <c r="A73" s="2" t="inlineStr">
        <is>
          <t>10</t>
        </is>
      </c>
      <c r="B73" s="2" t="inlineStr">
        <is>
          <t>NT10m2</t>
        </is>
      </c>
      <c r="C73" s="2" t="inlineStr">
        <is>
          <t>Kẽm</t>
        </is>
      </c>
      <c r="D73" s="2" t="n">
        <v>4</v>
      </c>
      <c r="E73" s="2" t="inlineStr">
        <is>
          <t>Ngoại nghiệp</t>
        </is>
      </c>
      <c r="F73" s="2" t="inlineStr">
        <is>
          <t>1QTVTNMT hạng III.2</t>
        </is>
      </c>
      <c r="G73" s="2" t="n">
        <v>0.15</v>
      </c>
      <c r="H73" s="2" t="n">
        <v>1.2</v>
      </c>
      <c r="I73" s="2">
        <f>G73*H73</f>
        <v/>
      </c>
      <c r="J73" s="2">
        <f>D73*I73</f>
        <v/>
      </c>
    </row>
    <row r="74">
      <c r="A74" s="3" t="inlineStr">
        <is>
          <t>10</t>
        </is>
      </c>
      <c r="B74" s="3" t="inlineStr">
        <is>
          <t>NT10m2</t>
        </is>
      </c>
      <c r="C74" s="3" t="inlineStr">
        <is>
          <t>Kẽm</t>
        </is>
      </c>
      <c r="D74" s="3" t="n">
        <v>4</v>
      </c>
      <c r="E74" s="3" t="inlineStr">
        <is>
          <t>Nội nghiệp</t>
        </is>
      </c>
      <c r="F74" s="3" t="inlineStr">
        <is>
          <t>1QTVTNMT hạng III.2</t>
        </is>
      </c>
      <c r="G74" s="3" t="n">
        <v>0.7</v>
      </c>
      <c r="H74" s="3" t="n">
        <v>1</v>
      </c>
      <c r="I74" s="3">
        <f>G74*H74</f>
        <v/>
      </c>
      <c r="J74" s="3">
        <f>D74*I74</f>
        <v/>
      </c>
    </row>
    <row r="75">
      <c r="A75" s="2" t="inlineStr">
        <is>
          <t>11</t>
        </is>
      </c>
      <c r="B75" s="2" t="inlineStr">
        <is>
          <t>NT10m6</t>
        </is>
      </c>
      <c r="C75" s="2" t="inlineStr">
        <is>
          <t>Niken</t>
        </is>
      </c>
      <c r="D75" s="2" t="n">
        <v>4</v>
      </c>
      <c r="E75" s="2" t="inlineStr">
        <is>
          <t>Ngoại nghiệp</t>
        </is>
      </c>
      <c r="F75" s="2" t="inlineStr">
        <is>
          <t>1QTVTNMT hạng III.2</t>
        </is>
      </c>
      <c r="G75" s="2" t="n">
        <v>0.15</v>
      </c>
      <c r="H75" s="2" t="n">
        <v>1.2</v>
      </c>
      <c r="I75" s="2">
        <f>G75*H75</f>
        <v/>
      </c>
      <c r="J75" s="2">
        <f>D75*I75</f>
        <v/>
      </c>
    </row>
    <row r="76">
      <c r="A76" s="3" t="inlineStr">
        <is>
          <t>11</t>
        </is>
      </c>
      <c r="B76" s="3" t="inlineStr">
        <is>
          <t>NT10m6</t>
        </is>
      </c>
      <c r="C76" s="3" t="inlineStr">
        <is>
          <t>Niken</t>
        </is>
      </c>
      <c r="D76" s="3" t="n">
        <v>4</v>
      </c>
      <c r="E76" s="3" t="inlineStr">
        <is>
          <t>Nội nghiệp</t>
        </is>
      </c>
      <c r="F76" s="3" t="inlineStr">
        <is>
          <t>1QTVTNMT hạng III.2</t>
        </is>
      </c>
      <c r="G76" s="3" t="n">
        <v>0.7</v>
      </c>
      <c r="H76" s="3" t="n">
        <v>1</v>
      </c>
      <c r="I76" s="3">
        <f>G76*H76</f>
        <v/>
      </c>
      <c r="J76" s="3">
        <f>D76*I76</f>
        <v/>
      </c>
    </row>
    <row r="77">
      <c r="A77" s="2" t="inlineStr">
        <is>
          <t>12</t>
        </is>
      </c>
      <c r="B77" s="2" t="inlineStr">
        <is>
          <t>NT10m3</t>
        </is>
      </c>
      <c r="C77" s="2" t="inlineStr">
        <is>
          <t>Mangan</t>
        </is>
      </c>
      <c r="D77" s="2" t="n">
        <v>4</v>
      </c>
      <c r="E77" s="2" t="inlineStr">
        <is>
          <t>Ngoại nghiệp</t>
        </is>
      </c>
      <c r="F77" s="2" t="inlineStr">
        <is>
          <t>1QTVTNMT hạng III.2</t>
        </is>
      </c>
      <c r="G77" s="2" t="n">
        <v>0.15</v>
      </c>
      <c r="H77" s="2" t="n">
        <v>1.2</v>
      </c>
      <c r="I77" s="2">
        <f>G77*H77</f>
        <v/>
      </c>
      <c r="J77" s="2">
        <f>D77*I77</f>
        <v/>
      </c>
    </row>
    <row r="78">
      <c r="A78" s="3" t="inlineStr">
        <is>
          <t>12</t>
        </is>
      </c>
      <c r="B78" s="3" t="inlineStr">
        <is>
          <t>NT10m3</t>
        </is>
      </c>
      <c r="C78" s="3" t="inlineStr">
        <is>
          <t>Mangan</t>
        </is>
      </c>
      <c r="D78" s="3" t="n">
        <v>4</v>
      </c>
      <c r="E78" s="3" t="inlineStr">
        <is>
          <t>Nội nghiệp</t>
        </is>
      </c>
      <c r="F78" s="3" t="inlineStr">
        <is>
          <t>1QTVTNMT hạng III.2</t>
        </is>
      </c>
      <c r="G78" s="3" t="n">
        <v>0.7</v>
      </c>
      <c r="H78" s="3" t="n">
        <v>1</v>
      </c>
      <c r="I78" s="3">
        <f>G78*H78</f>
        <v/>
      </c>
      <c r="J78" s="3">
        <f>D78*I78</f>
        <v/>
      </c>
    </row>
    <row r="79">
      <c r="A79" s="2" t="inlineStr">
        <is>
          <t>13</t>
        </is>
      </c>
      <c r="B79" s="2" t="inlineStr">
        <is>
          <t>NT10m4</t>
        </is>
      </c>
      <c r="C79" s="2" t="inlineStr">
        <is>
          <t>Sắt</t>
        </is>
      </c>
      <c r="D79" s="2" t="n">
        <v>4</v>
      </c>
      <c r="E79" s="2" t="inlineStr">
        <is>
          <t>Ngoại nghiệp</t>
        </is>
      </c>
      <c r="F79" s="2" t="inlineStr">
        <is>
          <t>1QTVTNMT hạng III.2</t>
        </is>
      </c>
      <c r="G79" s="2" t="n">
        <v>0.15</v>
      </c>
      <c r="H79" s="2" t="n">
        <v>1.2</v>
      </c>
      <c r="I79" s="2">
        <f>G79*H79</f>
        <v/>
      </c>
      <c r="J79" s="2">
        <f>D79*I79</f>
        <v/>
      </c>
    </row>
    <row r="80">
      <c r="A80" s="3" t="inlineStr">
        <is>
          <t>13</t>
        </is>
      </c>
      <c r="B80" s="3" t="inlineStr">
        <is>
          <t>NT10m4</t>
        </is>
      </c>
      <c r="C80" s="3" t="inlineStr">
        <is>
          <t>Sắt</t>
        </is>
      </c>
      <c r="D80" s="3" t="n">
        <v>4</v>
      </c>
      <c r="E80" s="3" t="inlineStr">
        <is>
          <t>Nội nghiệp</t>
        </is>
      </c>
      <c r="F80" s="3" t="inlineStr">
        <is>
          <t>1QTVTNMT hạng III.2</t>
        </is>
      </c>
      <c r="G80" s="3" t="n">
        <v>0.7</v>
      </c>
      <c r="H80" s="3" t="n">
        <v>1</v>
      </c>
      <c r="I80" s="3">
        <f>G80*H80</f>
        <v/>
      </c>
      <c r="J80" s="3">
        <f>D80*I80</f>
        <v/>
      </c>
    </row>
    <row r="81">
      <c r="A81" s="2" t="inlineStr">
        <is>
          <t>14</t>
        </is>
      </c>
      <c r="B81" s="2" t="inlineStr">
        <is>
          <t>NT9</t>
        </is>
      </c>
      <c r="C81" s="2" t="inlineStr">
        <is>
          <t>Tổng xyanua</t>
        </is>
      </c>
      <c r="D81" s="2" t="n">
        <v>4</v>
      </c>
      <c r="E81" s="2" t="inlineStr">
        <is>
          <t>Ngoại nghiệp</t>
        </is>
      </c>
      <c r="F81" s="2" t="inlineStr">
        <is>
          <t>1QTVTNMT hạng III.2</t>
        </is>
      </c>
      <c r="G81" s="2" t="n">
        <v>0.2</v>
      </c>
      <c r="H81" s="2" t="n">
        <v>1.2</v>
      </c>
      <c r="I81" s="2">
        <f>G81*H81</f>
        <v/>
      </c>
      <c r="J81" s="2">
        <f>D81*I81</f>
        <v/>
      </c>
    </row>
    <row r="82">
      <c r="A82" s="3" t="inlineStr">
        <is>
          <t>14</t>
        </is>
      </c>
      <c r="B82" s="3" t="inlineStr">
        <is>
          <t>NT9</t>
        </is>
      </c>
      <c r="C82" s="3" t="inlineStr">
        <is>
          <t>Tổng xyanua</t>
        </is>
      </c>
      <c r="D82" s="3" t="n">
        <v>4</v>
      </c>
      <c r="E82" s="3" t="inlineStr">
        <is>
          <t>Nội nghiệp</t>
        </is>
      </c>
      <c r="F82" s="3" t="inlineStr">
        <is>
          <t>1QTVTNMT hạng III.2</t>
        </is>
      </c>
      <c r="G82" s="3" t="n">
        <v>0.62</v>
      </c>
      <c r="H82" s="3" t="n">
        <v>1</v>
      </c>
      <c r="I82" s="3">
        <f>G82*H82</f>
        <v/>
      </c>
      <c r="J82" s="3">
        <f>D82*I82</f>
        <v/>
      </c>
    </row>
    <row r="83">
      <c r="A83" s="2" t="inlineStr">
        <is>
          <t>15</t>
        </is>
      </c>
      <c r="B83" s="2" t="inlineStr">
        <is>
          <t>NT8</t>
        </is>
      </c>
      <c r="C83" s="2" t="inlineStr">
        <is>
          <t>Tổng dầu mỡ khoáng</t>
        </is>
      </c>
      <c r="D83" s="2" t="n">
        <v>4</v>
      </c>
      <c r="E83" s="2" t="inlineStr">
        <is>
          <t>Ngoại nghiệp</t>
        </is>
      </c>
      <c r="F83" s="2" t="inlineStr">
        <is>
          <t>1QTVTNMT hạng III.3</t>
        </is>
      </c>
      <c r="G83" s="2" t="n">
        <v>0.2</v>
      </c>
      <c r="H83" s="2" t="n">
        <v>1.2</v>
      </c>
      <c r="I83" s="2">
        <f>G83*H83</f>
        <v/>
      </c>
      <c r="J83" s="2">
        <f>D83*I83</f>
        <v/>
      </c>
    </row>
    <row r="84">
      <c r="A84" s="3" t="inlineStr">
        <is>
          <t>15</t>
        </is>
      </c>
      <c r="B84" s="3" t="inlineStr">
        <is>
          <t>NT8</t>
        </is>
      </c>
      <c r="C84" s="3" t="inlineStr">
        <is>
          <t>Tổng dầu mỡ khoáng</t>
        </is>
      </c>
      <c r="D84" s="3" t="n">
        <v>4</v>
      </c>
      <c r="E84" s="3" t="inlineStr">
        <is>
          <t>Nội nghiệp</t>
        </is>
      </c>
      <c r="F84" s="3" t="inlineStr">
        <is>
          <t>1QTVTNMT hạng III.2</t>
        </is>
      </c>
      <c r="G84" s="3" t="n">
        <v>0.95</v>
      </c>
      <c r="H84" s="3" t="n">
        <v>1</v>
      </c>
      <c r="I84" s="3">
        <f>G84*H84</f>
        <v/>
      </c>
      <c r="J84" s="3">
        <f>D84*I84</f>
        <v/>
      </c>
    </row>
    <row r="85">
      <c r="A85" s="2" t="inlineStr">
        <is>
          <t>16</t>
        </is>
      </c>
      <c r="B85" s="2" t="inlineStr">
        <is>
          <t>NT10d</t>
        </is>
      </c>
      <c r="C85" s="2" t="inlineStr">
        <is>
          <t>Sunfua</t>
        </is>
      </c>
      <c r="D85" s="2" t="n">
        <v>4</v>
      </c>
      <c r="E85" s="2" t="inlineStr">
        <is>
          <t>Ngoại nghiệp</t>
        </is>
      </c>
      <c r="F85" s="2" t="inlineStr">
        <is>
          <t>1QTVTNMT hạng III.2</t>
        </is>
      </c>
      <c r="G85" s="2" t="n">
        <v>0.2</v>
      </c>
      <c r="H85" s="2" t="n">
        <v>1.2</v>
      </c>
      <c r="I85" s="2">
        <f>G85*H85</f>
        <v/>
      </c>
      <c r="J85" s="2">
        <f>D85*I85</f>
        <v/>
      </c>
    </row>
    <row r="86">
      <c r="A86" s="3" t="inlineStr">
        <is>
          <t>16</t>
        </is>
      </c>
      <c r="B86" s="3" t="inlineStr">
        <is>
          <t>NT10d</t>
        </is>
      </c>
      <c r="C86" s="3" t="inlineStr">
        <is>
          <t>Sunfua</t>
        </is>
      </c>
      <c r="D86" s="3" t="n">
        <v>4</v>
      </c>
      <c r="E86" s="3" t="inlineStr">
        <is>
          <t>Nội nghiệp</t>
        </is>
      </c>
      <c r="F86" s="3" t="inlineStr">
        <is>
          <t>1QTVTNMT hạng III.2</t>
        </is>
      </c>
      <c r="G86" s="3" t="n">
        <v>0.5</v>
      </c>
      <c r="H86" s="3" t="n">
        <v>1</v>
      </c>
      <c r="I86" s="3">
        <f>G86*H86</f>
        <v/>
      </c>
      <c r="J86" s="3">
        <f>D86*I86</f>
        <v/>
      </c>
    </row>
    <row r="87">
      <c r="A87" s="2" t="inlineStr">
        <is>
          <t>17</t>
        </is>
      </c>
      <c r="B87" s="2" t="inlineStr">
        <is>
          <t>NT10b</t>
        </is>
      </c>
      <c r="C87" s="2" t="inlineStr">
        <is>
          <t>Tổng Nitơ</t>
        </is>
      </c>
      <c r="D87" s="2" t="n">
        <v>4</v>
      </c>
      <c r="E87" s="2" t="inlineStr">
        <is>
          <t>Ngoại nghiệp</t>
        </is>
      </c>
      <c r="F87" s="2" t="inlineStr">
        <is>
          <t>1QTVTNMT hạng III.2</t>
        </is>
      </c>
      <c r="G87" s="2" t="n">
        <v>0.2</v>
      </c>
      <c r="H87" s="2" t="n">
        <v>1.2</v>
      </c>
      <c r="I87" s="2">
        <f>G87*H87</f>
        <v/>
      </c>
      <c r="J87" s="2">
        <f>D87*I87</f>
        <v/>
      </c>
    </row>
    <row r="88">
      <c r="A88" s="3" t="inlineStr">
        <is>
          <t>17</t>
        </is>
      </c>
      <c r="B88" s="3" t="inlineStr">
        <is>
          <t>NT10b</t>
        </is>
      </c>
      <c r="C88" s="3" t="inlineStr">
        <is>
          <t>Tổng Nitơ</t>
        </is>
      </c>
      <c r="D88" s="3" t="n">
        <v>4</v>
      </c>
      <c r="E88" s="3" t="inlineStr">
        <is>
          <t>Nội nghiệp</t>
        </is>
      </c>
      <c r="F88" s="3" t="inlineStr">
        <is>
          <t>1QTVTNMT hạng III.2</t>
        </is>
      </c>
      <c r="G88" s="3" t="n">
        <v>0.62</v>
      </c>
      <c r="H88" s="3" t="n">
        <v>1</v>
      </c>
      <c r="I88" s="3">
        <f>G88*H88</f>
        <v/>
      </c>
      <c r="J88" s="3">
        <f>D88*I88</f>
        <v/>
      </c>
    </row>
    <row r="89">
      <c r="A89" s="2" t="inlineStr">
        <is>
          <t>18</t>
        </is>
      </c>
      <c r="B89" s="2" t="inlineStr">
        <is>
          <t>NT2</t>
        </is>
      </c>
      <c r="C89" s="2" t="inlineStr">
        <is>
          <t>Tổng photpho (tính theo P)</t>
        </is>
      </c>
      <c r="D89" s="2" t="n">
        <v>4</v>
      </c>
      <c r="E89" s="2" t="inlineStr">
        <is>
          <t>Ngoại nghiệp</t>
        </is>
      </c>
      <c r="F89" s="2" t="inlineStr">
        <is>
          <t>1QTVTNMT hạng III.1</t>
        </is>
      </c>
      <c r="G89" s="2" t="n">
        <v>0.2</v>
      </c>
      <c r="H89" s="2" t="n">
        <v>1.2</v>
      </c>
      <c r="I89" s="2">
        <f>G89*H89</f>
        <v/>
      </c>
      <c r="J89" s="2">
        <f>D89*I89</f>
        <v/>
      </c>
    </row>
    <row r="90">
      <c r="A90" s="3" t="inlineStr">
        <is>
          <t>19</t>
        </is>
      </c>
      <c r="B90" s="3" t="inlineStr">
        <is>
          <t>NT10j</t>
        </is>
      </c>
      <c r="C90" s="3" t="inlineStr">
        <is>
          <t>Clo dư</t>
        </is>
      </c>
      <c r="D90" s="3" t="n">
        <v>4</v>
      </c>
      <c r="E90" s="3" t="inlineStr">
        <is>
          <t>Ngoại nghiệp</t>
        </is>
      </c>
      <c r="F90" s="3" t="inlineStr">
        <is>
          <t>1QTVTNMT hạng III.2</t>
        </is>
      </c>
      <c r="G90" s="3" t="n">
        <v>0.2</v>
      </c>
      <c r="H90" s="3" t="n">
        <v>1.2</v>
      </c>
      <c r="I90" s="3">
        <f>G90*H90</f>
        <v/>
      </c>
      <c r="J90" s="3">
        <f>D90*I90</f>
        <v/>
      </c>
    </row>
    <row r="91">
      <c r="A91" s="2" t="inlineStr">
        <is>
          <t>19</t>
        </is>
      </c>
      <c r="B91" s="2" t="inlineStr">
        <is>
          <t>NT10j</t>
        </is>
      </c>
      <c r="C91" s="2" t="inlineStr">
        <is>
          <t>Clo dư</t>
        </is>
      </c>
      <c r="D91" s="2" t="n">
        <v>4</v>
      </c>
      <c r="E91" s="2" t="inlineStr">
        <is>
          <t>Nội nghiệp</t>
        </is>
      </c>
      <c r="F91" s="2" t="inlineStr">
        <is>
          <t>1QTVTNMT hạng III.2</t>
        </is>
      </c>
      <c r="G91" s="2" t="n">
        <v>1</v>
      </c>
      <c r="H91" s="2" t="n">
        <v>1</v>
      </c>
      <c r="I91" s="2">
        <f>G91*H91</f>
        <v/>
      </c>
      <c r="J91" s="2">
        <f>D91*I91</f>
        <v/>
      </c>
    </row>
    <row r="92">
      <c r="A92" s="3" t="inlineStr">
        <is>
          <t>20</t>
        </is>
      </c>
      <c r="B92" s="3" t="inlineStr">
        <is>
          <t>NT7a</t>
        </is>
      </c>
      <c r="C92" s="3" t="inlineStr">
        <is>
          <t>Coliform</t>
        </is>
      </c>
      <c r="D92" s="3" t="n">
        <v>4</v>
      </c>
      <c r="E92" s="3" t="inlineStr">
        <is>
          <t>Ngoại nghiệp</t>
        </is>
      </c>
      <c r="F92" s="3" t="inlineStr">
        <is>
          <t>1QTVTNMT hạng III.2</t>
        </is>
      </c>
      <c r="G92" s="3" t="n">
        <v>0.2</v>
      </c>
      <c r="H92" s="3" t="n">
        <v>1.2</v>
      </c>
      <c r="I92" s="3">
        <f>G92*H92</f>
        <v/>
      </c>
      <c r="J92" s="3">
        <f>D92*I92</f>
        <v/>
      </c>
    </row>
    <row r="93">
      <c r="A93" s="2" t="inlineStr">
        <is>
          <t>1</t>
        </is>
      </c>
      <c r="B93" s="2" t="inlineStr">
        <is>
          <t>NB16a</t>
        </is>
      </c>
      <c r="C93" s="2" t="inlineStr">
        <is>
          <t>COD</t>
        </is>
      </c>
      <c r="D93" s="2" t="n">
        <v>4</v>
      </c>
      <c r="E93" s="2" t="inlineStr">
        <is>
          <t>Ngoại nghiệp</t>
        </is>
      </c>
      <c r="F93" s="2" t="inlineStr">
        <is>
          <t>1QTVTNMT hạng IV.3</t>
        </is>
      </c>
      <c r="G93" s="2" t="n">
        <v>0.3</v>
      </c>
      <c r="H93" s="2" t="n">
        <v>1.2</v>
      </c>
      <c r="I93" s="2">
        <f>G93*H93</f>
        <v/>
      </c>
      <c r="J93" s="2">
        <f>D93*I93</f>
        <v/>
      </c>
    </row>
    <row r="94">
      <c r="A94" s="3" t="inlineStr">
        <is>
          <t>1</t>
        </is>
      </c>
      <c r="B94" s="3" t="inlineStr">
        <is>
          <t>NB16a</t>
        </is>
      </c>
      <c r="C94" s="3" t="inlineStr">
        <is>
          <t>COD</t>
        </is>
      </c>
      <c r="D94" s="3" t="n">
        <v>4</v>
      </c>
      <c r="E94" s="3" t="inlineStr">
        <is>
          <t>Nội nghiệp</t>
        </is>
      </c>
      <c r="F94" s="3" t="inlineStr">
        <is>
          <t>1QTVTNMT hạng III.1</t>
        </is>
      </c>
      <c r="G94" s="3" t="n">
        <v>0.5</v>
      </c>
      <c r="H94" s="3" t="n">
        <v>1</v>
      </c>
      <c r="I94" s="3">
        <f>G94*H94</f>
        <v/>
      </c>
      <c r="J94" s="3">
        <f>D94*I94</f>
        <v/>
      </c>
    </row>
    <row r="95">
      <c r="A95" s="2" t="inlineStr">
        <is>
          <t>2</t>
        </is>
      </c>
      <c r="B95" s="2" t="inlineStr">
        <is>
          <t>NB17a</t>
        </is>
      </c>
      <c r="C95" s="2" t="inlineStr">
        <is>
          <t>TSS</t>
        </is>
      </c>
      <c r="D95" s="2" t="n">
        <v>4</v>
      </c>
      <c r="E95" s="2" t="inlineStr">
        <is>
          <t>Ngoại nghiệp</t>
        </is>
      </c>
      <c r="F95" s="2" t="inlineStr">
        <is>
          <t>1QTVTNMT hạng IV.2</t>
        </is>
      </c>
      <c r="G95" s="2" t="n">
        <v>0.3</v>
      </c>
      <c r="H95" s="2" t="n">
        <v>1.2</v>
      </c>
      <c r="I95" s="2">
        <f>G95*H95</f>
        <v/>
      </c>
      <c r="J95" s="2">
        <f>D95*I95</f>
        <v/>
      </c>
    </row>
    <row r="96">
      <c r="A96" s="3" t="inlineStr">
        <is>
          <t>2</t>
        </is>
      </c>
      <c r="B96" s="3" t="inlineStr">
        <is>
          <t>NB17a</t>
        </is>
      </c>
      <c r="C96" s="3" t="inlineStr">
        <is>
          <t>TSS</t>
        </is>
      </c>
      <c r="D96" s="3" t="n">
        <v>4</v>
      </c>
      <c r="E96" s="3" t="inlineStr">
        <is>
          <t>Nội nghiệp</t>
        </is>
      </c>
      <c r="F96" s="3" t="inlineStr">
        <is>
          <t>1QTVTNMT hạng III.3</t>
        </is>
      </c>
      <c r="G96" s="3" t="n">
        <v>0.35</v>
      </c>
      <c r="H96" s="3" t="n">
        <v>1</v>
      </c>
      <c r="I96" s="3">
        <f>G96*H96</f>
        <v/>
      </c>
      <c r="J96" s="3">
        <f>D96*I96</f>
        <v/>
      </c>
    </row>
    <row r="97">
      <c r="A97" s="2" t="inlineStr">
        <is>
          <t>3</t>
        </is>
      </c>
      <c r="B97" s="2" t="inlineStr">
        <is>
          <t>NB10</t>
        </is>
      </c>
      <c r="C97" s="2" t="inlineStr">
        <is>
          <t>Phosphat</t>
        </is>
      </c>
      <c r="D97" s="2" t="n">
        <v>4</v>
      </c>
      <c r="E97" s="2" t="inlineStr">
        <is>
          <t>Ngoại nghiệp</t>
        </is>
      </c>
      <c r="F97" s="2" t="inlineStr">
        <is>
          <t>1QTVTNMT hạng III.2</t>
        </is>
      </c>
      <c r="G97" s="2" t="n">
        <v>0.35</v>
      </c>
      <c r="H97" s="2" t="n">
        <v>1.2</v>
      </c>
      <c r="I97" s="2">
        <f>G97*H97</f>
        <v/>
      </c>
      <c r="J97" s="2">
        <f>D97*I97</f>
        <v/>
      </c>
    </row>
    <row r="98">
      <c r="A98" s="3" t="inlineStr">
        <is>
          <t>3</t>
        </is>
      </c>
      <c r="B98" s="3" t="inlineStr">
        <is>
          <t>NB10</t>
        </is>
      </c>
      <c r="C98" s="3" t="inlineStr">
        <is>
          <t>Phosphat</t>
        </is>
      </c>
      <c r="D98" s="3" t="n">
        <v>4</v>
      </c>
      <c r="E98" s="3" t="inlineStr">
        <is>
          <t>Nội nghiệp</t>
        </is>
      </c>
      <c r="F98" s="3" t="inlineStr">
        <is>
          <t>1QTVTNMT hạng III.3</t>
        </is>
      </c>
      <c r="G98" s="3" t="n">
        <v>0.4</v>
      </c>
      <c r="H98" s="3" t="n">
        <v>1</v>
      </c>
      <c r="I98" s="3">
        <f>G98*H98</f>
        <v/>
      </c>
      <c r="J98" s="3">
        <f>D98*I98</f>
        <v/>
      </c>
    </row>
    <row r="99">
      <c r="A99" s="2" t="inlineStr">
        <is>
          <t>4</t>
        </is>
      </c>
      <c r="B99" s="2" t="inlineStr">
        <is>
          <t>NB15</t>
        </is>
      </c>
      <c r="C99" s="2" t="inlineStr">
        <is>
          <t>Florua</t>
        </is>
      </c>
      <c r="D99" s="2" t="n">
        <v>4</v>
      </c>
      <c r="E99" s="2" t="inlineStr">
        <is>
          <t>Ngoại nghiệp</t>
        </is>
      </c>
      <c r="F99" s="2" t="inlineStr">
        <is>
          <t>1QTVTNMT hạng III.2</t>
        </is>
      </c>
      <c r="G99" s="2" t="n">
        <v>0.3</v>
      </c>
      <c r="H99" s="2" t="n">
        <v>1.2</v>
      </c>
      <c r="I99" s="2">
        <f>G99*H99</f>
        <v/>
      </c>
      <c r="J99" s="2">
        <f>D99*I99</f>
        <v/>
      </c>
    </row>
    <row r="100">
      <c r="A100" s="3" t="inlineStr">
        <is>
          <t>4</t>
        </is>
      </c>
      <c r="B100" s="3" t="inlineStr">
        <is>
          <t>NB15</t>
        </is>
      </c>
      <c r="C100" s="3" t="inlineStr">
        <is>
          <t>Florua</t>
        </is>
      </c>
      <c r="D100" s="3" t="n">
        <v>4</v>
      </c>
      <c r="E100" s="3" t="inlineStr">
        <is>
          <t>Nội nghiệp</t>
        </is>
      </c>
      <c r="F100" s="3" t="inlineStr">
        <is>
          <t>1QTVTNMT hạng III.3</t>
        </is>
      </c>
      <c r="G100" s="3" t="n">
        <v>0.35</v>
      </c>
      <c r="H100" s="3" t="n">
        <v>1</v>
      </c>
      <c r="I100" s="3">
        <f>G100*H100</f>
        <v/>
      </c>
      <c r="J100" s="3">
        <f>D100*I100</f>
        <v/>
      </c>
    </row>
    <row r="101">
      <c r="A101" s="2" t="inlineStr">
        <is>
          <t>5</t>
        </is>
      </c>
      <c r="B101" s="2" t="inlineStr">
        <is>
          <t>NB20</t>
        </is>
      </c>
      <c r="C101" s="2" t="inlineStr">
        <is>
          <t>Xyanua</t>
        </is>
      </c>
      <c r="D101" s="2" t="n">
        <v>4</v>
      </c>
      <c r="E101" s="2" t="inlineStr">
        <is>
          <t>Ngoại nghiệp</t>
        </is>
      </c>
      <c r="F101" s="2" t="inlineStr">
        <is>
          <t>1QTVTNMT hạng III.3</t>
        </is>
      </c>
      <c r="G101" s="2" t="n">
        <v>0.3</v>
      </c>
      <c r="H101" s="2" t="n">
        <v>1.2</v>
      </c>
      <c r="I101" s="2">
        <f>G101*H101</f>
        <v/>
      </c>
      <c r="J101" s="2">
        <f>D101*I101</f>
        <v/>
      </c>
    </row>
    <row r="102">
      <c r="A102" s="3" t="inlineStr">
        <is>
          <t>5</t>
        </is>
      </c>
      <c r="B102" s="3" t="inlineStr">
        <is>
          <t>NB20</t>
        </is>
      </c>
      <c r="C102" s="3" t="inlineStr">
        <is>
          <t>Xyanua</t>
        </is>
      </c>
      <c r="D102" s="3" t="n">
        <v>4</v>
      </c>
      <c r="E102" s="3" t="inlineStr">
        <is>
          <t>Nội nghiệp</t>
        </is>
      </c>
      <c r="F102" s="3" t="inlineStr">
        <is>
          <t>1QTVTNMT hạng III.3</t>
        </is>
      </c>
      <c r="G102" s="3" t="n">
        <v>0.35</v>
      </c>
      <c r="H102" s="3" t="n">
        <v>1</v>
      </c>
      <c r="I102" s="3">
        <f>G102*H102</f>
        <v/>
      </c>
      <c r="J102" s="3">
        <f>D102*I102</f>
        <v/>
      </c>
    </row>
    <row r="103">
      <c r="A103" s="2" t="inlineStr">
        <is>
          <t>6</t>
        </is>
      </c>
      <c r="B103" s="2" t="inlineStr">
        <is>
          <t>NB21</t>
        </is>
      </c>
      <c r="C103" s="2" t="inlineStr">
        <is>
          <t>Asen</t>
        </is>
      </c>
      <c r="D103" s="2" t="n">
        <v>4</v>
      </c>
      <c r="E103" s="2" t="inlineStr">
        <is>
          <t>Ngoại nghiệp</t>
        </is>
      </c>
      <c r="F103" s="2" t="inlineStr">
        <is>
          <t>1QTVTNMT hạng III.3</t>
        </is>
      </c>
      <c r="G103" s="2" t="n">
        <v>0.3</v>
      </c>
      <c r="H103" s="2" t="n">
        <v>1.2</v>
      </c>
      <c r="I103" s="2">
        <f>G103*H103</f>
        <v/>
      </c>
      <c r="J103" s="2">
        <f>D103*I103</f>
        <v/>
      </c>
    </row>
    <row r="104">
      <c r="A104" s="3" t="inlineStr">
        <is>
          <t>6</t>
        </is>
      </c>
      <c r="B104" s="3" t="inlineStr">
        <is>
          <t>NB21</t>
        </is>
      </c>
      <c r="C104" s="3" t="inlineStr">
        <is>
          <t>Asen</t>
        </is>
      </c>
      <c r="D104" s="3" t="n">
        <v>4</v>
      </c>
      <c r="E104" s="3" t="inlineStr">
        <is>
          <t>Nội nghiệp</t>
        </is>
      </c>
      <c r="F104" s="3" t="inlineStr">
        <is>
          <t>1QTVTNMT hạng III.3</t>
        </is>
      </c>
      <c r="G104" s="3" t="n">
        <v>0.35</v>
      </c>
      <c r="H104" s="3" t="n">
        <v>1</v>
      </c>
      <c r="I104" s="3">
        <f>G104*H104</f>
        <v/>
      </c>
      <c r="J104" s="3">
        <f>D104*I104</f>
        <v/>
      </c>
    </row>
    <row r="105">
      <c r="A105" s="2" t="inlineStr">
        <is>
          <t>7</t>
        </is>
      </c>
      <c r="B105" s="2" t="inlineStr">
        <is>
          <t>NB21</t>
        </is>
      </c>
      <c r="C105" s="2" t="inlineStr">
        <is>
          <t>Cadimi</t>
        </is>
      </c>
      <c r="D105" s="2" t="n">
        <v>4</v>
      </c>
      <c r="E105" s="2" t="inlineStr">
        <is>
          <t>Ngoại nghiệp</t>
        </is>
      </c>
      <c r="F105" s="2" t="inlineStr">
        <is>
          <t>1QTVTNMT hạng III.3</t>
        </is>
      </c>
      <c r="G105" s="2" t="n">
        <v>0.3</v>
      </c>
      <c r="H105" s="2" t="n">
        <v>1.2</v>
      </c>
      <c r="I105" s="2">
        <f>G105*H105</f>
        <v/>
      </c>
      <c r="J105" s="2">
        <f>D105*I105</f>
        <v/>
      </c>
    </row>
    <row r="106">
      <c r="A106" s="3" t="inlineStr">
        <is>
          <t>7</t>
        </is>
      </c>
      <c r="B106" s="3" t="inlineStr">
        <is>
          <t>NB21</t>
        </is>
      </c>
      <c r="C106" s="3" t="inlineStr">
        <is>
          <t>Cadimi</t>
        </is>
      </c>
      <c r="D106" s="3" t="n">
        <v>4</v>
      </c>
      <c r="E106" s="3" t="inlineStr">
        <is>
          <t>Nội nghiệp</t>
        </is>
      </c>
      <c r="F106" s="3" t="inlineStr">
        <is>
          <t>1QTVTNMT hạng III.3</t>
        </is>
      </c>
      <c r="G106" s="3" t="n">
        <v>0.35</v>
      </c>
      <c r="H106" s="3" t="n">
        <v>1</v>
      </c>
      <c r="I106" s="3">
        <f>G106*H106</f>
        <v/>
      </c>
      <c r="J106" s="3">
        <f>D106*I106</f>
        <v/>
      </c>
    </row>
    <row r="107">
      <c r="A107" s="2" t="inlineStr">
        <is>
          <t>8</t>
        </is>
      </c>
      <c r="B107" s="2" t="inlineStr">
        <is>
          <t>NB21</t>
        </is>
      </c>
      <c r="C107" s="2" t="inlineStr">
        <is>
          <t>Chì</t>
        </is>
      </c>
      <c r="D107" s="2" t="n">
        <v>4</v>
      </c>
      <c r="E107" s="2" t="inlineStr">
        <is>
          <t>Ngoại nghiệp</t>
        </is>
      </c>
      <c r="F107" s="2" t="inlineStr">
        <is>
          <t>1QTVTNMT hạng III.3</t>
        </is>
      </c>
      <c r="G107" s="2" t="n">
        <v>0.3</v>
      </c>
      <c r="H107" s="2" t="n">
        <v>1.2</v>
      </c>
      <c r="I107" s="2">
        <f>G107*H107</f>
        <v/>
      </c>
      <c r="J107" s="2">
        <f>D107*I107</f>
        <v/>
      </c>
    </row>
    <row r="108">
      <c r="A108" s="3" t="inlineStr">
        <is>
          <t>8</t>
        </is>
      </c>
      <c r="B108" s="3" t="inlineStr">
        <is>
          <t>NB21</t>
        </is>
      </c>
      <c r="C108" s="3" t="inlineStr">
        <is>
          <t>Chì</t>
        </is>
      </c>
      <c r="D108" s="3" t="n">
        <v>4</v>
      </c>
      <c r="E108" s="3" t="inlineStr">
        <is>
          <t>Nội nghiệp</t>
        </is>
      </c>
      <c r="F108" s="3" t="inlineStr">
        <is>
          <t>1QTVTNMT hạng III.3</t>
        </is>
      </c>
      <c r="G108" s="3" t="n">
        <v>0.35</v>
      </c>
      <c r="H108" s="3" t="n">
        <v>1</v>
      </c>
      <c r="I108" s="3">
        <f>G108*H108</f>
        <v/>
      </c>
      <c r="J108" s="3">
        <f>D108*I108</f>
        <v/>
      </c>
    </row>
    <row r="109">
      <c r="A109" s="2" t="inlineStr">
        <is>
          <t>9</t>
        </is>
      </c>
      <c r="B109" s="2" t="inlineStr">
        <is>
          <t>NB15h</t>
        </is>
      </c>
      <c r="C109" s="2" t="inlineStr">
        <is>
          <t>Crom (VI)</t>
        </is>
      </c>
      <c r="D109" s="2" t="n">
        <v>4</v>
      </c>
      <c r="E109" s="2" t="inlineStr">
        <is>
          <t>Ngoại nghiệp</t>
        </is>
      </c>
      <c r="F109" s="2" t="inlineStr">
        <is>
          <t>1QTVTNMT hạng III.2</t>
        </is>
      </c>
      <c r="G109" s="2" t="n">
        <v>0.3</v>
      </c>
      <c r="H109" s="2" t="n">
        <v>1.2</v>
      </c>
      <c r="I109" s="2">
        <f>G109*H109</f>
        <v/>
      </c>
      <c r="J109" s="2">
        <f>D109*I109</f>
        <v/>
      </c>
    </row>
    <row r="110">
      <c r="A110" s="3" t="inlineStr">
        <is>
          <t>9</t>
        </is>
      </c>
      <c r="B110" s="3" t="inlineStr">
        <is>
          <t>NB15h</t>
        </is>
      </c>
      <c r="C110" s="3" t="inlineStr">
        <is>
          <t>Crom (VI)</t>
        </is>
      </c>
      <c r="D110" s="3" t="n">
        <v>4</v>
      </c>
      <c r="E110" s="3" t="inlineStr">
        <is>
          <t>Nội nghiệp</t>
        </is>
      </c>
      <c r="F110" s="3" t="inlineStr">
        <is>
          <t>1QTVTNMT hạng III.2</t>
        </is>
      </c>
      <c r="G110" s="3" t="n">
        <v>0.5</v>
      </c>
      <c r="H110" s="3" t="n">
        <v>1</v>
      </c>
      <c r="I110" s="3">
        <f>G110*H110</f>
        <v/>
      </c>
      <c r="J110" s="3">
        <f>D110*I110</f>
        <v/>
      </c>
    </row>
    <row r="111">
      <c r="A111" s="2" t="inlineStr">
        <is>
          <t>10</t>
        </is>
      </c>
      <c r="B111" s="2" t="inlineStr">
        <is>
          <t>NB21</t>
        </is>
      </c>
      <c r="C111" s="2" t="inlineStr">
        <is>
          <t>Tổng Cr</t>
        </is>
      </c>
      <c r="D111" s="2" t="n">
        <v>4</v>
      </c>
      <c r="E111" s="2" t="inlineStr">
        <is>
          <t>Ngoại nghiệp</t>
        </is>
      </c>
      <c r="F111" s="2" t="inlineStr">
        <is>
          <t>1QTVTNMT hạng III.3</t>
        </is>
      </c>
      <c r="G111" s="2" t="n">
        <v>0.3</v>
      </c>
      <c r="H111" s="2" t="n">
        <v>1.2</v>
      </c>
      <c r="I111" s="2">
        <f>G111*H111</f>
        <v/>
      </c>
      <c r="J111" s="2">
        <f>D111*I111</f>
        <v/>
      </c>
    </row>
    <row r="112">
      <c r="A112" s="3" t="inlineStr">
        <is>
          <t>10</t>
        </is>
      </c>
      <c r="B112" s="3" t="inlineStr">
        <is>
          <t>NB21</t>
        </is>
      </c>
      <c r="C112" s="3" t="inlineStr">
        <is>
          <t>Tổng Cr</t>
        </is>
      </c>
      <c r="D112" s="3" t="n">
        <v>4</v>
      </c>
      <c r="E112" s="3" t="inlineStr">
        <is>
          <t>Nội nghiệp</t>
        </is>
      </c>
      <c r="F112" s="3" t="inlineStr">
        <is>
          <t>1QTVTNMT hạng III.3</t>
        </is>
      </c>
      <c r="G112" s="3" t="n">
        <v>0.35</v>
      </c>
      <c r="H112" s="3" t="n">
        <v>1</v>
      </c>
      <c r="I112" s="3">
        <f>G112*H112</f>
        <v/>
      </c>
      <c r="J112" s="3">
        <f>D112*I112</f>
        <v/>
      </c>
    </row>
    <row r="113">
      <c r="A113" s="2" t="inlineStr">
        <is>
          <t>11</t>
        </is>
      </c>
      <c r="B113" s="2" t="inlineStr">
        <is>
          <t>NB21</t>
        </is>
      </c>
      <c r="C113" s="2" t="inlineStr">
        <is>
          <t>Đồng</t>
        </is>
      </c>
      <c r="D113" s="2" t="n">
        <v>4</v>
      </c>
      <c r="E113" s="2" t="inlineStr">
        <is>
          <t>Ngoại nghiệp</t>
        </is>
      </c>
      <c r="F113" s="2" t="inlineStr">
        <is>
          <t>1QTVTNMT hạng III.3</t>
        </is>
      </c>
      <c r="G113" s="2" t="n">
        <v>0.3</v>
      </c>
      <c r="H113" s="2" t="n">
        <v>1.2</v>
      </c>
      <c r="I113" s="2">
        <f>G113*H113</f>
        <v/>
      </c>
      <c r="J113" s="2">
        <f>D113*I113</f>
        <v/>
      </c>
    </row>
    <row r="114">
      <c r="A114" s="3" t="inlineStr">
        <is>
          <t>11</t>
        </is>
      </c>
      <c r="B114" s="3" t="inlineStr">
        <is>
          <t>NB21</t>
        </is>
      </c>
      <c r="C114" s="3" t="inlineStr">
        <is>
          <t>Đồng</t>
        </is>
      </c>
      <c r="D114" s="3" t="n">
        <v>4</v>
      </c>
      <c r="E114" s="3" t="inlineStr">
        <is>
          <t>Nội nghiệp</t>
        </is>
      </c>
      <c r="F114" s="3" t="inlineStr">
        <is>
          <t>1QTVTNMT hạng III.3</t>
        </is>
      </c>
      <c r="G114" s="3" t="n">
        <v>0.35</v>
      </c>
      <c r="H114" s="3" t="n">
        <v>1</v>
      </c>
      <c r="I114" s="3">
        <f>G114*H114</f>
        <v/>
      </c>
      <c r="J114" s="3">
        <f>D114*I114</f>
        <v/>
      </c>
    </row>
    <row r="115">
      <c r="A115" s="2" t="inlineStr">
        <is>
          <t>12</t>
        </is>
      </c>
      <c r="B115" s="2" t="inlineStr">
        <is>
          <t>NB21</t>
        </is>
      </c>
      <c r="C115" s="2" t="inlineStr">
        <is>
          <t>Kẽm</t>
        </is>
      </c>
      <c r="D115" s="2" t="n">
        <v>4</v>
      </c>
      <c r="E115" s="2" t="inlineStr">
        <is>
          <t>Ngoại nghiệp</t>
        </is>
      </c>
      <c r="F115" s="2" t="inlineStr">
        <is>
          <t>1QTVTNMT hạng III.3</t>
        </is>
      </c>
      <c r="G115" s="2" t="n">
        <v>0.3</v>
      </c>
      <c r="H115" s="2" t="n">
        <v>1.2</v>
      </c>
      <c r="I115" s="2">
        <f>G115*H115</f>
        <v/>
      </c>
      <c r="J115" s="2">
        <f>D115*I115</f>
        <v/>
      </c>
    </row>
    <row r="116">
      <c r="A116" s="3" t="inlineStr">
        <is>
          <t>12</t>
        </is>
      </c>
      <c r="B116" s="3" t="inlineStr">
        <is>
          <t>NB21</t>
        </is>
      </c>
      <c r="C116" s="3" t="inlineStr">
        <is>
          <t>Kẽm</t>
        </is>
      </c>
      <c r="D116" s="3" t="n">
        <v>4</v>
      </c>
      <c r="E116" s="3" t="inlineStr">
        <is>
          <t>Nội nghiệp</t>
        </is>
      </c>
      <c r="F116" s="3" t="inlineStr">
        <is>
          <t>1QTVTNMT hạng III.3</t>
        </is>
      </c>
      <c r="G116" s="3" t="n">
        <v>0.35</v>
      </c>
      <c r="H116" s="3" t="n">
        <v>1</v>
      </c>
      <c r="I116" s="3">
        <f>G116*H116</f>
        <v/>
      </c>
      <c r="J116" s="3">
        <f>D116*I116</f>
        <v/>
      </c>
    </row>
    <row r="117">
      <c r="A117" s="2" t="inlineStr">
        <is>
          <t>13</t>
        </is>
      </c>
      <c r="B117" s="2" t="inlineStr">
        <is>
          <t>NB21</t>
        </is>
      </c>
      <c r="C117" s="2" t="inlineStr">
        <is>
          <t>Mangan</t>
        </is>
      </c>
      <c r="D117" s="2" t="n">
        <v>4</v>
      </c>
      <c r="E117" s="2" t="inlineStr">
        <is>
          <t>Ngoại nghiệp</t>
        </is>
      </c>
      <c r="F117" s="2" t="inlineStr">
        <is>
          <t>1QTVTNMT hạng III.3</t>
        </is>
      </c>
      <c r="G117" s="2" t="n">
        <v>0.3</v>
      </c>
      <c r="H117" s="2" t="n">
        <v>1.2</v>
      </c>
      <c r="I117" s="2">
        <f>G117*H117</f>
        <v/>
      </c>
      <c r="J117" s="2">
        <f>D117*I117</f>
        <v/>
      </c>
    </row>
    <row r="118">
      <c r="A118" s="3" t="inlineStr">
        <is>
          <t>13</t>
        </is>
      </c>
      <c r="B118" s="3" t="inlineStr">
        <is>
          <t>NB21</t>
        </is>
      </c>
      <c r="C118" s="3" t="inlineStr">
        <is>
          <t>Mangan</t>
        </is>
      </c>
      <c r="D118" s="3" t="n">
        <v>4</v>
      </c>
      <c r="E118" s="3" t="inlineStr">
        <is>
          <t>Nội nghiệp</t>
        </is>
      </c>
      <c r="F118" s="3" t="inlineStr">
        <is>
          <t>1QTVTNMT hạng III.3</t>
        </is>
      </c>
      <c r="G118" s="3" t="n">
        <v>0.35</v>
      </c>
      <c r="H118" s="3" t="n">
        <v>1</v>
      </c>
      <c r="I118" s="3">
        <f>G118*H118</f>
        <v/>
      </c>
      <c r="J118" s="3">
        <f>D118*I118</f>
        <v/>
      </c>
    </row>
    <row r="119">
      <c r="A119" s="2" t="inlineStr">
        <is>
          <t>14</t>
        </is>
      </c>
      <c r="B119" s="2" t="inlineStr">
        <is>
          <t>NB21</t>
        </is>
      </c>
      <c r="C119" s="2" t="inlineStr">
        <is>
          <t>Sắt</t>
        </is>
      </c>
      <c r="D119" s="2" t="n">
        <v>4</v>
      </c>
      <c r="E119" s="2" t="inlineStr">
        <is>
          <t>Ngoại nghiệp</t>
        </is>
      </c>
      <c r="F119" s="2" t="inlineStr">
        <is>
          <t>1QTVTNMT hạng III.3</t>
        </is>
      </c>
      <c r="G119" s="2" t="n">
        <v>0.3</v>
      </c>
      <c r="H119" s="2" t="n">
        <v>1.2</v>
      </c>
      <c r="I119" s="2">
        <f>G119*H119</f>
        <v/>
      </c>
      <c r="J119" s="2">
        <f>D119*I119</f>
        <v/>
      </c>
    </row>
    <row r="120">
      <c r="A120" s="3" t="inlineStr">
        <is>
          <t>14</t>
        </is>
      </c>
      <c r="B120" s="3" t="inlineStr">
        <is>
          <t>NB21</t>
        </is>
      </c>
      <c r="C120" s="3" t="inlineStr">
        <is>
          <t>Sắt</t>
        </is>
      </c>
      <c r="D120" s="3" t="n">
        <v>4</v>
      </c>
      <c r="E120" s="3" t="inlineStr">
        <is>
          <t>Nội nghiệp</t>
        </is>
      </c>
      <c r="F120" s="3" t="inlineStr">
        <is>
          <t>1QTVTNMT hạng III.3</t>
        </is>
      </c>
      <c r="G120" s="3" t="n">
        <v>0.35</v>
      </c>
      <c r="H120" s="3" t="n">
        <v>1</v>
      </c>
      <c r="I120" s="3">
        <f>G120*H120</f>
        <v/>
      </c>
      <c r="J120" s="3">
        <f>D120*I120</f>
        <v/>
      </c>
    </row>
    <row r="121">
      <c r="A121" s="2" t="inlineStr">
        <is>
          <t>15</t>
        </is>
      </c>
      <c r="B121" s="2" t="inlineStr">
        <is>
          <t>NB21</t>
        </is>
      </c>
      <c r="C121" s="2" t="inlineStr">
        <is>
          <t>Thủy ngân</t>
        </is>
      </c>
      <c r="D121" s="2" t="n">
        <v>4</v>
      </c>
      <c r="E121" s="2" t="inlineStr">
        <is>
          <t>Ngoại nghiệp</t>
        </is>
      </c>
      <c r="F121" s="2" t="inlineStr">
        <is>
          <t>1QTVTNMT hạng III.3</t>
        </is>
      </c>
      <c r="G121" s="2" t="n">
        <v>0.3</v>
      </c>
      <c r="H121" s="2" t="n">
        <v>1.2</v>
      </c>
      <c r="I121" s="2">
        <f>G121*H121</f>
        <v/>
      </c>
      <c r="J121" s="2">
        <f>D121*I121</f>
        <v/>
      </c>
    </row>
    <row r="122">
      <c r="A122" s="3" t="inlineStr">
        <is>
          <t>15</t>
        </is>
      </c>
      <c r="B122" s="3" t="inlineStr">
        <is>
          <t>NB21</t>
        </is>
      </c>
      <c r="C122" s="3" t="inlineStr">
        <is>
          <t>Thủy ngân</t>
        </is>
      </c>
      <c r="D122" s="3" t="n">
        <v>4</v>
      </c>
      <c r="E122" s="3" t="inlineStr">
        <is>
          <t>Nội nghiệp</t>
        </is>
      </c>
      <c r="F122" s="3" t="inlineStr">
        <is>
          <t>1QTVTNMT hạng III.3</t>
        </is>
      </c>
      <c r="G122" s="3" t="n">
        <v>0.35</v>
      </c>
      <c r="H122" s="3" t="n">
        <v>1</v>
      </c>
      <c r="I122" s="3">
        <f>G122*H122</f>
        <v/>
      </c>
      <c r="J122" s="3">
        <f>D122*I122</f>
        <v/>
      </c>
    </row>
    <row r="123">
      <c r="A123" s="2" t="inlineStr">
        <is>
          <t>16</t>
        </is>
      </c>
      <c r="B123" s="2" t="inlineStr">
        <is>
          <t>NB10</t>
        </is>
      </c>
      <c r="C123" s="2" t="inlineStr">
        <is>
          <t>Tổng Phenol</t>
        </is>
      </c>
      <c r="D123" s="2" t="n">
        <v>4</v>
      </c>
      <c r="E123" s="2" t="inlineStr">
        <is>
          <t>Ngoại nghiệp</t>
        </is>
      </c>
      <c r="F123" s="2" t="inlineStr">
        <is>
          <t>1QTVTNMT hạng III.2</t>
        </is>
      </c>
      <c r="G123" s="2" t="n">
        <v>0.35</v>
      </c>
      <c r="H123" s="2" t="n">
        <v>1.2</v>
      </c>
      <c r="I123" s="2">
        <f>G123*H123</f>
        <v/>
      </c>
      <c r="J123" s="2">
        <f>D123*I123</f>
        <v/>
      </c>
    </row>
    <row r="124">
      <c r="A124" s="3" t="inlineStr">
        <is>
          <t>16</t>
        </is>
      </c>
      <c r="B124" s="3" t="inlineStr">
        <is>
          <t>NB10</t>
        </is>
      </c>
      <c r="C124" s="3" t="inlineStr">
        <is>
          <t>Tổng Phenol</t>
        </is>
      </c>
      <c r="D124" s="3" t="n">
        <v>4</v>
      </c>
      <c r="E124" s="3" t="inlineStr">
        <is>
          <t>Nội nghiệp</t>
        </is>
      </c>
      <c r="F124" s="3" t="inlineStr">
        <is>
          <t>1QTVTNMT hạng III.3</t>
        </is>
      </c>
      <c r="G124" s="3" t="n">
        <v>0.4</v>
      </c>
      <c r="H124" s="3" t="n">
        <v>1</v>
      </c>
      <c r="I124" s="3">
        <f>G124*H124</f>
        <v/>
      </c>
      <c r="J124" s="3">
        <f>D124*I124</f>
        <v/>
      </c>
    </row>
    <row r="125">
      <c r="A125" s="2" t="inlineStr">
        <is>
          <t>17</t>
        </is>
      </c>
      <c r="B125" s="2" t="inlineStr">
        <is>
          <t>NB22</t>
        </is>
      </c>
      <c r="C125" s="2" t="inlineStr">
        <is>
          <t>Tổng dầu mỡ khoáng</t>
        </is>
      </c>
      <c r="D125" s="2" t="n">
        <v>4</v>
      </c>
      <c r="E125" s="2" t="inlineStr">
        <is>
          <t>Ngoại nghiệp</t>
        </is>
      </c>
      <c r="F125" s="2" t="inlineStr">
        <is>
          <t>1QTVTNMT hạng III.3</t>
        </is>
      </c>
      <c r="G125" s="2" t="n">
        <v>0.3</v>
      </c>
      <c r="H125" s="2" t="n">
        <v>1.2</v>
      </c>
      <c r="I125" s="2">
        <f>G125*H125</f>
        <v/>
      </c>
      <c r="J125" s="2">
        <f>D125*I125</f>
        <v/>
      </c>
    </row>
    <row r="126">
      <c r="A126" s="3" t="inlineStr">
        <is>
          <t>17</t>
        </is>
      </c>
      <c r="B126" s="3" t="inlineStr">
        <is>
          <t>NB22</t>
        </is>
      </c>
      <c r="C126" s="3" t="inlineStr">
        <is>
          <t>Tổng dầu mỡ khoáng</t>
        </is>
      </c>
      <c r="D126" s="3" t="n">
        <v>4</v>
      </c>
      <c r="E126" s="3" t="inlineStr">
        <is>
          <t>Nội nghiệp</t>
        </is>
      </c>
      <c r="F126" s="3" t="inlineStr">
        <is>
          <t>1QTVTNMT hạng III.3</t>
        </is>
      </c>
      <c r="G126" s="3" t="n">
        <v>0.35</v>
      </c>
      <c r="H126" s="3" t="n">
        <v>1</v>
      </c>
      <c r="I126" s="3">
        <f>G126*H126</f>
        <v/>
      </c>
      <c r="J126" s="3">
        <f>D126*I126</f>
        <v/>
      </c>
    </row>
    <row r="127">
      <c r="A127" s="2" t="inlineStr">
        <is>
          <t>18</t>
        </is>
      </c>
      <c r="B127" s="2" t="inlineStr">
        <is>
          <t>NB18</t>
        </is>
      </c>
      <c r="C127" s="2" t="inlineStr">
        <is>
          <t>Coliform</t>
        </is>
      </c>
      <c r="D127" s="2" t="n">
        <v>4</v>
      </c>
      <c r="E127" s="2" t="inlineStr">
        <is>
          <t>Ngoại nghiệp</t>
        </is>
      </c>
      <c r="F127" s="2" t="inlineStr">
        <is>
          <t>1QTVTNMT hạng III.2</t>
        </is>
      </c>
      <c r="G127" s="2" t="n">
        <v>0.3</v>
      </c>
      <c r="H127" s="2" t="n">
        <v>1.2</v>
      </c>
      <c r="I127" s="2">
        <f>G127*H127</f>
        <v/>
      </c>
      <c r="J127" s="2">
        <f>D127*I127</f>
        <v/>
      </c>
    </row>
    <row r="128">
      <c r="A128" s="3" t="inlineStr">
        <is>
          <t>1</t>
        </is>
      </c>
      <c r="B128" s="3" t="inlineStr">
        <is>
          <t>NB10</t>
        </is>
      </c>
      <c r="C128" s="3" t="inlineStr">
        <is>
          <t>pH</t>
        </is>
      </c>
      <c r="D128" s="3" t="n">
        <v>10</v>
      </c>
      <c r="E128" s="3" t="inlineStr">
        <is>
          <t>Ngoại nghiệp</t>
        </is>
      </c>
      <c r="F128" s="3" t="inlineStr">
        <is>
          <t>1QTVTNMT hạng III.2</t>
        </is>
      </c>
      <c r="G128" s="3" t="n">
        <v>0.35</v>
      </c>
      <c r="H128" s="3" t="n">
        <v>1.2</v>
      </c>
      <c r="I128" s="3">
        <f>G128*H128</f>
        <v/>
      </c>
      <c r="J128" s="3">
        <f>D128*I128</f>
        <v/>
      </c>
    </row>
    <row r="129">
      <c r="A129" s="2" t="inlineStr">
        <is>
          <t>1</t>
        </is>
      </c>
      <c r="B129" s="2" t="inlineStr">
        <is>
          <t>NB10</t>
        </is>
      </c>
      <c r="C129" s="2" t="inlineStr">
        <is>
          <t>pH</t>
        </is>
      </c>
      <c r="D129" s="2" t="n">
        <v>10</v>
      </c>
      <c r="E129" s="2" t="inlineStr">
        <is>
          <t>Nội nghiệp</t>
        </is>
      </c>
      <c r="F129" s="2" t="inlineStr">
        <is>
          <t>1QTVTNMT hạng III.3</t>
        </is>
      </c>
      <c r="G129" s="2" t="n">
        <v>0.4</v>
      </c>
      <c r="H129" s="2" t="n">
        <v>1</v>
      </c>
      <c r="I129" s="2">
        <f>G129*H129</f>
        <v/>
      </c>
      <c r="J129" s="2">
        <f>D129*I129</f>
        <v/>
      </c>
    </row>
    <row r="130">
      <c r="A130" s="3" t="inlineStr">
        <is>
          <t>2</t>
        </is>
      </c>
      <c r="B130" s="3" t="inlineStr">
        <is>
          <t>NB5</t>
        </is>
      </c>
      <c r="C130" s="3" t="inlineStr">
        <is>
          <t>Nhiệt độ</t>
        </is>
      </c>
      <c r="D130" s="3" t="n">
        <v>10</v>
      </c>
      <c r="E130" s="3" t="inlineStr">
        <is>
          <t>Ngoại nghiệp</t>
        </is>
      </c>
      <c r="F130" s="3" t="inlineStr">
        <is>
          <t>1QTVTNMT hạng III.1</t>
        </is>
      </c>
      <c r="G130" s="3" t="n">
        <v>0.35</v>
      </c>
      <c r="H130" s="3" t="n">
        <v>1.2</v>
      </c>
      <c r="I130" s="3">
        <f>G130*H130</f>
        <v/>
      </c>
      <c r="J130" s="3">
        <f>D130*I130</f>
        <v/>
      </c>
    </row>
    <row r="131">
      <c r="A131" s="2" t="inlineStr">
        <is>
          <t>2</t>
        </is>
      </c>
      <c r="B131" s="2" t="inlineStr">
        <is>
          <t>NB5</t>
        </is>
      </c>
      <c r="C131" s="2" t="inlineStr">
        <is>
          <t>Nhiệt độ</t>
        </is>
      </c>
      <c r="D131" s="2" t="n">
        <v>10</v>
      </c>
      <c r="E131" s="2" t="inlineStr">
        <is>
          <t>Nội nghiệp</t>
        </is>
      </c>
      <c r="F131" s="2" t="inlineStr">
        <is>
          <t>1QTVTNMT hạng III.2</t>
        </is>
      </c>
      <c r="G131" s="2" t="n">
        <v>0.4</v>
      </c>
      <c r="H131" s="2" t="n">
        <v>1</v>
      </c>
      <c r="I131" s="2">
        <f>G131*H131</f>
        <v/>
      </c>
      <c r="J131" s="2">
        <f>D131*I131</f>
        <v/>
      </c>
    </row>
    <row r="132">
      <c r="A132" s="3" t="inlineStr">
        <is>
          <t>3</t>
        </is>
      </c>
      <c r="B132" s="3" t="inlineStr">
        <is>
          <t>NB11</t>
        </is>
      </c>
      <c r="C132" s="3" t="inlineStr">
        <is>
          <t>DO</t>
        </is>
      </c>
      <c r="D132" s="3" t="n">
        <v>10</v>
      </c>
      <c r="E132" s="3" t="inlineStr">
        <is>
          <t>Ngoại nghiệp</t>
        </is>
      </c>
      <c r="F132" s="3" t="inlineStr">
        <is>
          <t>1QTVTNMT hạng III.3</t>
        </is>
      </c>
      <c r="G132" s="3" t="n">
        <v>0.35</v>
      </c>
      <c r="H132" s="3" t="n">
        <v>1.2</v>
      </c>
      <c r="I132" s="3">
        <f>G132*H132</f>
        <v/>
      </c>
      <c r="J132" s="3">
        <f>D132*I132</f>
        <v/>
      </c>
    </row>
    <row r="133">
      <c r="A133" s="2" t="inlineStr">
        <is>
          <t>3</t>
        </is>
      </c>
      <c r="B133" s="2" t="inlineStr">
        <is>
          <t>NB11</t>
        </is>
      </c>
      <c r="C133" s="2" t="inlineStr">
        <is>
          <t>DO</t>
        </is>
      </c>
      <c r="D133" s="2" t="n">
        <v>10</v>
      </c>
      <c r="E133" s="2" t="inlineStr">
        <is>
          <t>Nội nghiệp</t>
        </is>
      </c>
      <c r="F133" s="2" t="inlineStr">
        <is>
          <t>1QTVTNMT hạng III.3</t>
        </is>
      </c>
      <c r="G133" s="2" t="n">
        <v>0.4</v>
      </c>
      <c r="H133" s="2" t="n">
        <v>1</v>
      </c>
      <c r="I133" s="2">
        <f>G133*H133</f>
        <v/>
      </c>
      <c r="J133" s="2">
        <f>D133*I133</f>
        <v/>
      </c>
    </row>
    <row r="134">
      <c r="A134" s="3" t="inlineStr">
        <is>
          <t>4</t>
        </is>
      </c>
      <c r="B134" s="3" t="inlineStr">
        <is>
          <t>NB17a</t>
        </is>
      </c>
      <c r="C134" s="3" t="inlineStr">
        <is>
          <t>Tổng chất rắn lơ</t>
        </is>
      </c>
      <c r="D134" s="3" t="n">
        <v>10</v>
      </c>
      <c r="E134" s="3" t="inlineStr">
        <is>
          <t>Ngoại nghiệp</t>
        </is>
      </c>
      <c r="F134" s="3" t="inlineStr">
        <is>
          <t>1QTVTNMT hạng IV.2</t>
        </is>
      </c>
      <c r="G134" s="3" t="n">
        <v>0.3</v>
      </c>
      <c r="H134" s="3" t="n">
        <v>1.2</v>
      </c>
      <c r="I134" s="3">
        <f>G134*H134</f>
        <v/>
      </c>
      <c r="J134" s="3">
        <f>D134*I134</f>
        <v/>
      </c>
    </row>
    <row r="135">
      <c r="A135" s="2" t="inlineStr">
        <is>
          <t>4</t>
        </is>
      </c>
      <c r="B135" s="2" t="inlineStr">
        <is>
          <t>NB17a</t>
        </is>
      </c>
      <c r="C135" s="2" t="inlineStr">
        <is>
          <t>Tổng chất rắn lơ</t>
        </is>
      </c>
      <c r="D135" s="2" t="n">
        <v>10</v>
      </c>
      <c r="E135" s="2" t="inlineStr">
        <is>
          <t>Nội nghiệp</t>
        </is>
      </c>
      <c r="F135" s="2" t="inlineStr">
        <is>
          <t>1QTVTNMT hạng III.3</t>
        </is>
      </c>
      <c r="G135" s="2" t="n">
        <v>0.35</v>
      </c>
      <c r="H135" s="2" t="n">
        <v>1</v>
      </c>
      <c r="I135" s="2">
        <f>G135*H135</f>
        <v/>
      </c>
      <c r="J135" s="2">
        <f>D135*I135</f>
        <v/>
      </c>
    </row>
    <row r="136">
      <c r="A136" s="3" t="inlineStr">
        <is>
          <t>5</t>
        </is>
      </c>
      <c r="B136" s="3" t="inlineStr">
        <is>
          <t>NB15</t>
        </is>
      </c>
      <c r="C136" s="3" t="inlineStr">
        <is>
          <t>Amoni (tính theo N)</t>
        </is>
      </c>
      <c r="D136" s="3" t="n">
        <v>10</v>
      </c>
      <c r="E136" s="3" t="inlineStr">
        <is>
          <t>Ngoại nghiệp</t>
        </is>
      </c>
      <c r="F136" s="3" t="inlineStr">
        <is>
          <t>1QTVTNMT hạng III.2</t>
        </is>
      </c>
      <c r="G136" s="3" t="n">
        <v>0.3</v>
      </c>
      <c r="H136" s="3" t="n">
        <v>1.2</v>
      </c>
      <c r="I136" s="3">
        <f>G136*H136</f>
        <v/>
      </c>
      <c r="J136" s="3">
        <f>D136*I136</f>
        <v/>
      </c>
    </row>
    <row r="137">
      <c r="A137" s="2" t="inlineStr">
        <is>
          <t>5</t>
        </is>
      </c>
      <c r="B137" s="2" t="inlineStr">
        <is>
          <t>NB15</t>
        </is>
      </c>
      <c r="C137" s="2" t="inlineStr">
        <is>
          <t>Amoni (tính theo N)</t>
        </is>
      </c>
      <c r="D137" s="2" t="n">
        <v>10</v>
      </c>
      <c r="E137" s="2" t="inlineStr">
        <is>
          <t>Nội nghiệp</t>
        </is>
      </c>
      <c r="F137" s="2" t="inlineStr">
        <is>
          <t>1QTVTNMT hạng III.3</t>
        </is>
      </c>
      <c r="G137" s="2" t="n">
        <v>0.35</v>
      </c>
      <c r="H137" s="2" t="n">
        <v>1</v>
      </c>
      <c r="I137" s="2">
        <f>G137*H137</f>
        <v/>
      </c>
      <c r="J137" s="2">
        <f>D137*I137</f>
        <v/>
      </c>
    </row>
    <row r="138">
      <c r="A138" s="3" t="inlineStr">
        <is>
          <t>6</t>
        </is>
      </c>
      <c r="B138" s="3" t="inlineStr">
        <is>
          <t>NB10</t>
        </is>
      </c>
      <c r="C138" s="3" t="inlineStr">
        <is>
          <t>Phosphat</t>
        </is>
      </c>
      <c r="D138" s="3" t="n">
        <v>10</v>
      </c>
      <c r="E138" s="3" t="inlineStr">
        <is>
          <t>Ngoại nghiệp</t>
        </is>
      </c>
      <c r="F138" s="3" t="inlineStr">
        <is>
          <t>1QTVTNMT hạng III.2</t>
        </is>
      </c>
      <c r="G138" s="3" t="n">
        <v>0.35</v>
      </c>
      <c r="H138" s="3" t="n">
        <v>1.2</v>
      </c>
      <c r="I138" s="3">
        <f>G138*H138</f>
        <v/>
      </c>
      <c r="J138" s="3">
        <f>D138*I138</f>
        <v/>
      </c>
    </row>
    <row r="139">
      <c r="A139" s="2" t="inlineStr">
        <is>
          <t>6</t>
        </is>
      </c>
      <c r="B139" s="2" t="inlineStr">
        <is>
          <t>NB10</t>
        </is>
      </c>
      <c r="C139" s="2" t="inlineStr">
        <is>
          <t>Phosphat</t>
        </is>
      </c>
      <c r="D139" s="2" t="n">
        <v>10</v>
      </c>
      <c r="E139" s="2" t="inlineStr">
        <is>
          <t>Nội nghiệp</t>
        </is>
      </c>
      <c r="F139" s="2" t="inlineStr">
        <is>
          <t>1QTVTNMT hạng III.3</t>
        </is>
      </c>
      <c r="G139" s="2" t="n">
        <v>0.4</v>
      </c>
      <c r="H139" s="2" t="n">
        <v>1</v>
      </c>
      <c r="I139" s="2">
        <f>G139*H139</f>
        <v/>
      </c>
      <c r="J139" s="2">
        <f>D139*I139</f>
        <v/>
      </c>
    </row>
    <row r="140">
      <c r="A140" s="3" t="inlineStr">
        <is>
          <t>7</t>
        </is>
      </c>
      <c r="B140" s="3" t="inlineStr">
        <is>
          <t>NB15</t>
        </is>
      </c>
      <c r="C140" s="3" t="inlineStr">
        <is>
          <t>Florua</t>
        </is>
      </c>
      <c r="D140" s="3" t="n">
        <v>10</v>
      </c>
      <c r="E140" s="3" t="inlineStr">
        <is>
          <t>Ngoại nghiệp</t>
        </is>
      </c>
      <c r="F140" s="3" t="inlineStr">
        <is>
          <t>1QTVTNMT hạng III.2</t>
        </is>
      </c>
      <c r="G140" s="3" t="n">
        <v>0.3</v>
      </c>
      <c r="H140" s="3" t="n">
        <v>1.2</v>
      </c>
      <c r="I140" s="3">
        <f>G140*H140</f>
        <v/>
      </c>
      <c r="J140" s="3">
        <f>D140*I140</f>
        <v/>
      </c>
    </row>
    <row r="141">
      <c r="A141" s="2" t="inlineStr">
        <is>
          <t>7</t>
        </is>
      </c>
      <c r="B141" s="2" t="inlineStr">
        <is>
          <t>NB15</t>
        </is>
      </c>
      <c r="C141" s="2" t="inlineStr">
        <is>
          <t>Florua</t>
        </is>
      </c>
      <c r="D141" s="2" t="n">
        <v>10</v>
      </c>
      <c r="E141" s="2" t="inlineStr">
        <is>
          <t>Nội nghiệp</t>
        </is>
      </c>
      <c r="F141" s="2" t="inlineStr">
        <is>
          <t>1QTVTNMT hạng III.3</t>
        </is>
      </c>
      <c r="G141" s="2" t="n">
        <v>0.35</v>
      </c>
      <c r="H141" s="2" t="n">
        <v>1</v>
      </c>
      <c r="I141" s="2">
        <f>G141*H141</f>
        <v/>
      </c>
      <c r="J141" s="2">
        <f>D141*I141</f>
        <v/>
      </c>
    </row>
    <row r="142">
      <c r="A142" s="3" t="inlineStr">
        <is>
          <t>8</t>
        </is>
      </c>
      <c r="B142" s="3" t="inlineStr">
        <is>
          <t>NB20</t>
        </is>
      </c>
      <c r="C142" s="3" t="inlineStr">
        <is>
          <t>Xyanua</t>
        </is>
      </c>
      <c r="D142" s="3" t="n">
        <v>10</v>
      </c>
      <c r="E142" s="3" t="inlineStr">
        <is>
          <t>Ngoại nghiệp</t>
        </is>
      </c>
      <c r="F142" s="3" t="inlineStr">
        <is>
          <t>1QTVTNMT hạng III.3</t>
        </is>
      </c>
      <c r="G142" s="3" t="n">
        <v>0.3</v>
      </c>
      <c r="H142" s="3" t="n">
        <v>1.2</v>
      </c>
      <c r="I142" s="3">
        <f>G142*H142</f>
        <v/>
      </c>
      <c r="J142" s="3">
        <f>D142*I142</f>
        <v/>
      </c>
    </row>
    <row r="143">
      <c r="A143" s="2" t="inlineStr">
        <is>
          <t>8</t>
        </is>
      </c>
      <c r="B143" s="2" t="inlineStr">
        <is>
          <t>NB20</t>
        </is>
      </c>
      <c r="C143" s="2" t="inlineStr">
        <is>
          <t>Xyanua</t>
        </is>
      </c>
      <c r="D143" s="2" t="n">
        <v>10</v>
      </c>
      <c r="E143" s="2" t="inlineStr">
        <is>
          <t>Nội nghiệp</t>
        </is>
      </c>
      <c r="F143" s="2" t="inlineStr">
        <is>
          <t>1QTVTNMT hạng III.3</t>
        </is>
      </c>
      <c r="G143" s="2" t="n">
        <v>0.35</v>
      </c>
      <c r="H143" s="2" t="n">
        <v>1</v>
      </c>
      <c r="I143" s="2">
        <f>G143*H143</f>
        <v/>
      </c>
      <c r="J143" s="2">
        <f>D143*I143</f>
        <v/>
      </c>
    </row>
    <row r="144">
      <c r="A144" s="3" t="inlineStr">
        <is>
          <t>9</t>
        </is>
      </c>
      <c r="B144" s="3" t="inlineStr">
        <is>
          <t>NB21</t>
        </is>
      </c>
      <c r="C144" s="3" t="inlineStr">
        <is>
          <t>Cd</t>
        </is>
      </c>
      <c r="D144" s="3" t="n">
        <v>10</v>
      </c>
      <c r="E144" s="3" t="inlineStr">
        <is>
          <t>Ngoại nghiệp</t>
        </is>
      </c>
      <c r="F144" s="3" t="inlineStr">
        <is>
          <t>1QTVTNMT hạng III.3</t>
        </is>
      </c>
      <c r="G144" s="3" t="n">
        <v>0.3</v>
      </c>
      <c r="H144" s="3" t="n">
        <v>1.2</v>
      </c>
      <c r="I144" s="3">
        <f>G144*H144</f>
        <v/>
      </c>
      <c r="J144" s="3">
        <f>D144*I144</f>
        <v/>
      </c>
    </row>
    <row r="145">
      <c r="A145" s="2" t="inlineStr">
        <is>
          <t>9</t>
        </is>
      </c>
      <c r="B145" s="2" t="inlineStr">
        <is>
          <t>NB21</t>
        </is>
      </c>
      <c r="C145" s="2" t="inlineStr">
        <is>
          <t>Cd</t>
        </is>
      </c>
      <c r="D145" s="2" t="n">
        <v>10</v>
      </c>
      <c r="E145" s="2" t="inlineStr">
        <is>
          <t>Nội nghiệp</t>
        </is>
      </c>
      <c r="F145" s="2" t="inlineStr">
        <is>
          <t>1QTVTNMT hạng III.3</t>
        </is>
      </c>
      <c r="G145" s="2" t="n">
        <v>0.35</v>
      </c>
      <c r="H145" s="2" t="n">
        <v>1</v>
      </c>
      <c r="I145" s="2">
        <f>G145*H145</f>
        <v/>
      </c>
      <c r="J145" s="2">
        <f>D145*I145</f>
        <v/>
      </c>
    </row>
    <row r="146">
      <c r="A146" s="3" t="inlineStr">
        <is>
          <t>10</t>
        </is>
      </c>
      <c r="B146" s="3" t="inlineStr">
        <is>
          <t>NB21</t>
        </is>
      </c>
      <c r="C146" s="3" t="inlineStr">
        <is>
          <t>As</t>
        </is>
      </c>
      <c r="D146" s="3" t="n">
        <v>10</v>
      </c>
      <c r="E146" s="3" t="inlineStr">
        <is>
          <t>Ngoại nghiệp</t>
        </is>
      </c>
      <c r="F146" s="3" t="inlineStr">
        <is>
          <t>1QTVTNMT hạng III.3</t>
        </is>
      </c>
      <c r="G146" s="3" t="n">
        <v>0.3</v>
      </c>
      <c r="H146" s="3" t="n">
        <v>1.2</v>
      </c>
      <c r="I146" s="3">
        <f>G146*H146</f>
        <v/>
      </c>
      <c r="J146" s="3">
        <f>D146*I146</f>
        <v/>
      </c>
    </row>
    <row r="147">
      <c r="A147" s="2" t="inlineStr">
        <is>
          <t>10</t>
        </is>
      </c>
      <c r="B147" s="2" t="inlineStr">
        <is>
          <t>NB21</t>
        </is>
      </c>
      <c r="C147" s="2" t="inlineStr">
        <is>
          <t>As</t>
        </is>
      </c>
      <c r="D147" s="2" t="n">
        <v>10</v>
      </c>
      <c r="E147" s="2" t="inlineStr">
        <is>
          <t>Nội nghiệp</t>
        </is>
      </c>
      <c r="F147" s="2" t="inlineStr">
        <is>
          <t>1QTVTNMT hạng III.3</t>
        </is>
      </c>
      <c r="G147" s="2" t="n">
        <v>0.35</v>
      </c>
      <c r="H147" s="2" t="n">
        <v>1</v>
      </c>
      <c r="I147" s="2">
        <f>G147*H147</f>
        <v/>
      </c>
      <c r="J147" s="2">
        <f>D147*I147</f>
        <v/>
      </c>
    </row>
    <row r="148">
      <c r="A148" s="3" t="inlineStr">
        <is>
          <t>11</t>
        </is>
      </c>
      <c r="B148" s="3" t="inlineStr">
        <is>
          <t>NB21</t>
        </is>
      </c>
      <c r="C148" s="3" t="inlineStr">
        <is>
          <t>Hg</t>
        </is>
      </c>
      <c r="D148" s="3" t="n">
        <v>10</v>
      </c>
      <c r="E148" s="3" t="inlineStr">
        <is>
          <t>Ngoại nghiệp</t>
        </is>
      </c>
      <c r="F148" s="3" t="inlineStr">
        <is>
          <t>1QTVTNMT hạng III.3</t>
        </is>
      </c>
      <c r="G148" s="3" t="n">
        <v>0.3</v>
      </c>
      <c r="H148" s="3" t="n">
        <v>1.2</v>
      </c>
      <c r="I148" s="3">
        <f>G148*H148</f>
        <v/>
      </c>
      <c r="J148" s="3">
        <f>D148*I148</f>
        <v/>
      </c>
    </row>
    <row r="149">
      <c r="A149" s="2" t="inlineStr">
        <is>
          <t>11</t>
        </is>
      </c>
      <c r="B149" s="2" t="inlineStr">
        <is>
          <t>NB21</t>
        </is>
      </c>
      <c r="C149" s="2" t="inlineStr">
        <is>
          <t>Hg</t>
        </is>
      </c>
      <c r="D149" s="2" t="n">
        <v>10</v>
      </c>
      <c r="E149" s="2" t="inlineStr">
        <is>
          <t>Nội nghiệp</t>
        </is>
      </c>
      <c r="F149" s="2" t="inlineStr">
        <is>
          <t>1QTVTNMT hạng III.3</t>
        </is>
      </c>
      <c r="G149" s="2" t="n">
        <v>0.35</v>
      </c>
      <c r="H149" s="2" t="n">
        <v>1</v>
      </c>
      <c r="I149" s="2">
        <f>G149*H149</f>
        <v/>
      </c>
      <c r="J149" s="2">
        <f>D149*I149</f>
        <v/>
      </c>
    </row>
    <row r="150">
      <c r="A150" s="3" t="inlineStr">
        <is>
          <t>12</t>
        </is>
      </c>
      <c r="B150" s="3" t="inlineStr">
        <is>
          <t>NB21</t>
        </is>
      </c>
      <c r="C150" s="3" t="inlineStr">
        <is>
          <t>Cu</t>
        </is>
      </c>
      <c r="D150" s="3" t="n">
        <v>10</v>
      </c>
      <c r="E150" s="3" t="inlineStr">
        <is>
          <t>Ngoại nghiệp</t>
        </is>
      </c>
      <c r="F150" s="3" t="inlineStr">
        <is>
          <t>1QTVTNMT hạng III.3</t>
        </is>
      </c>
      <c r="G150" s="3" t="n">
        <v>0.3</v>
      </c>
      <c r="H150" s="3" t="n">
        <v>1.2</v>
      </c>
      <c r="I150" s="3">
        <f>G150*H150</f>
        <v/>
      </c>
      <c r="J150" s="3">
        <f>D150*I150</f>
        <v/>
      </c>
    </row>
    <row r="151">
      <c r="A151" s="2" t="inlineStr">
        <is>
          <t>12</t>
        </is>
      </c>
      <c r="B151" s="2" t="inlineStr">
        <is>
          <t>NB21</t>
        </is>
      </c>
      <c r="C151" s="2" t="inlineStr">
        <is>
          <t>Cu</t>
        </is>
      </c>
      <c r="D151" s="2" t="n">
        <v>10</v>
      </c>
      <c r="E151" s="2" t="inlineStr">
        <is>
          <t>Nội nghiệp</t>
        </is>
      </c>
      <c r="F151" s="2" t="inlineStr">
        <is>
          <t>1QTVTNMT hạng III.3</t>
        </is>
      </c>
      <c r="G151" s="2" t="n">
        <v>0.35</v>
      </c>
      <c r="H151" s="2" t="n">
        <v>1</v>
      </c>
      <c r="I151" s="2">
        <f>G151*H151</f>
        <v/>
      </c>
      <c r="J151" s="2">
        <f>D151*I151</f>
        <v/>
      </c>
    </row>
    <row r="152">
      <c r="A152" s="3" t="inlineStr">
        <is>
          <t>13</t>
        </is>
      </c>
      <c r="B152" s="3" t="inlineStr">
        <is>
          <t>NB21</t>
        </is>
      </c>
      <c r="C152" s="3" t="inlineStr">
        <is>
          <t>Pb</t>
        </is>
      </c>
      <c r="D152" s="3" t="n">
        <v>10</v>
      </c>
      <c r="E152" s="3" t="inlineStr">
        <is>
          <t>Ngoại nghiệp</t>
        </is>
      </c>
      <c r="F152" s="3" t="inlineStr">
        <is>
          <t>1QTVTNMT hạng III.3</t>
        </is>
      </c>
      <c r="G152" s="3" t="n">
        <v>0.3</v>
      </c>
      <c r="H152" s="3" t="n">
        <v>1.2</v>
      </c>
      <c r="I152" s="3">
        <f>G152*H152</f>
        <v/>
      </c>
      <c r="J152" s="3">
        <f>D152*I152</f>
        <v/>
      </c>
    </row>
    <row r="153">
      <c r="A153" s="2" t="inlineStr">
        <is>
          <t>13</t>
        </is>
      </c>
      <c r="B153" s="2" t="inlineStr">
        <is>
          <t>NB21</t>
        </is>
      </c>
      <c r="C153" s="2" t="inlineStr">
        <is>
          <t>Pb</t>
        </is>
      </c>
      <c r="D153" s="2" t="n">
        <v>10</v>
      </c>
      <c r="E153" s="2" t="inlineStr">
        <is>
          <t>Nội nghiệp</t>
        </is>
      </c>
      <c r="F153" s="2" t="inlineStr">
        <is>
          <t>1QTVTNMT hạng III.3</t>
        </is>
      </c>
      <c r="G153" s="2" t="n">
        <v>0.35</v>
      </c>
      <c r="H153" s="2" t="n">
        <v>1</v>
      </c>
      <c r="I153" s="2">
        <f>G153*H153</f>
        <v/>
      </c>
      <c r="J153" s="2">
        <f>D153*I153</f>
        <v/>
      </c>
    </row>
    <row r="154">
      <c r="A154" s="3" t="inlineStr">
        <is>
          <t>14</t>
        </is>
      </c>
      <c r="B154" s="3" t="inlineStr">
        <is>
          <t>NB21</t>
        </is>
      </c>
      <c r="C154" s="3" t="inlineStr">
        <is>
          <t>Fe</t>
        </is>
      </c>
      <c r="D154" s="3" t="n">
        <v>10</v>
      </c>
      <c r="E154" s="3" t="inlineStr">
        <is>
          <t>Ngoại nghiệp</t>
        </is>
      </c>
      <c r="F154" s="3" t="inlineStr">
        <is>
          <t>1QTVTNMT hạng III.3</t>
        </is>
      </c>
      <c r="G154" s="3" t="n">
        <v>0.3</v>
      </c>
      <c r="H154" s="3" t="n">
        <v>1.2</v>
      </c>
      <c r="I154" s="3">
        <f>G154*H154</f>
        <v/>
      </c>
      <c r="J154" s="3">
        <f>D154*I154</f>
        <v/>
      </c>
    </row>
    <row r="155">
      <c r="A155" s="2" t="inlineStr">
        <is>
          <t>14</t>
        </is>
      </c>
      <c r="B155" s="2" t="inlineStr">
        <is>
          <t>NB21</t>
        </is>
      </c>
      <c r="C155" s="2" t="inlineStr">
        <is>
          <t>Fe</t>
        </is>
      </c>
      <c r="D155" s="2" t="n">
        <v>10</v>
      </c>
      <c r="E155" s="2" t="inlineStr">
        <is>
          <t>Nội nghiệp</t>
        </is>
      </c>
      <c r="F155" s="2" t="inlineStr">
        <is>
          <t>1QTVTNMT hạng III.3</t>
        </is>
      </c>
      <c r="G155" s="2" t="n">
        <v>0.35</v>
      </c>
      <c r="H155" s="2" t="n">
        <v>1</v>
      </c>
      <c r="I155" s="2">
        <f>G155*H155</f>
        <v/>
      </c>
      <c r="J155" s="2">
        <f>D155*I155</f>
        <v/>
      </c>
    </row>
    <row r="156">
      <c r="A156" s="3" t="inlineStr">
        <is>
          <t>15</t>
        </is>
      </c>
      <c r="B156" s="3" t="inlineStr">
        <is>
          <t>NB21</t>
        </is>
      </c>
      <c r="C156" s="3" t="inlineStr">
        <is>
          <t>Zn</t>
        </is>
      </c>
      <c r="D156" s="3" t="n">
        <v>10</v>
      </c>
      <c r="E156" s="3" t="inlineStr">
        <is>
          <t>Ngoại nghiệp</t>
        </is>
      </c>
      <c r="F156" s="3" t="inlineStr">
        <is>
          <t>1QTVTNMT hạng III.3</t>
        </is>
      </c>
      <c r="G156" s="3" t="n">
        <v>0.3</v>
      </c>
      <c r="H156" s="3" t="n">
        <v>1.2</v>
      </c>
      <c r="I156" s="3">
        <f>G156*H156</f>
        <v/>
      </c>
      <c r="J156" s="3">
        <f>D156*I156</f>
        <v/>
      </c>
    </row>
    <row r="157">
      <c r="A157" s="2" t="inlineStr">
        <is>
          <t>15</t>
        </is>
      </c>
      <c r="B157" s="2" t="inlineStr">
        <is>
          <t>NB21</t>
        </is>
      </c>
      <c r="C157" s="2" t="inlineStr">
        <is>
          <t>Zn</t>
        </is>
      </c>
      <c r="D157" s="2" t="n">
        <v>10</v>
      </c>
      <c r="E157" s="2" t="inlineStr">
        <is>
          <t>Nội nghiệp</t>
        </is>
      </c>
      <c r="F157" s="2" t="inlineStr">
        <is>
          <t>1QTVTNMT hạng III.3</t>
        </is>
      </c>
      <c r="G157" s="2" t="n">
        <v>0.35</v>
      </c>
      <c r="H157" s="2" t="n">
        <v>1</v>
      </c>
      <c r="I157" s="2">
        <f>G157*H157</f>
        <v/>
      </c>
      <c r="J157" s="2">
        <f>D157*I157</f>
        <v/>
      </c>
    </row>
    <row r="158">
      <c r="A158" s="3" t="inlineStr">
        <is>
          <t>16</t>
        </is>
      </c>
      <c r="B158" s="3" t="inlineStr">
        <is>
          <t>NB21</t>
        </is>
      </c>
      <c r="C158" s="3" t="inlineStr">
        <is>
          <t>Tổng Cr</t>
        </is>
      </c>
      <c r="D158" s="3" t="n">
        <v>10</v>
      </c>
      <c r="E158" s="3" t="inlineStr">
        <is>
          <t>Ngoại nghiệp</t>
        </is>
      </c>
      <c r="F158" s="3" t="inlineStr">
        <is>
          <t>1QTVTNMT hạng III.3</t>
        </is>
      </c>
      <c r="G158" s="3" t="n">
        <v>0.3</v>
      </c>
      <c r="H158" s="3" t="n">
        <v>1.2</v>
      </c>
      <c r="I158" s="3">
        <f>G158*H158</f>
        <v/>
      </c>
      <c r="J158" s="3">
        <f>D158*I158</f>
        <v/>
      </c>
    </row>
    <row r="159">
      <c r="A159" s="2" t="inlineStr">
        <is>
          <t>16</t>
        </is>
      </c>
      <c r="B159" s="2" t="inlineStr">
        <is>
          <t>NB21</t>
        </is>
      </c>
      <c r="C159" s="2" t="inlineStr">
        <is>
          <t>Tổng Cr</t>
        </is>
      </c>
      <c r="D159" s="2" t="n">
        <v>10</v>
      </c>
      <c r="E159" s="2" t="inlineStr">
        <is>
          <t>Nội nghiệp</t>
        </is>
      </c>
      <c r="F159" s="2" t="inlineStr">
        <is>
          <t>1QTVTNMT hạng III.3</t>
        </is>
      </c>
      <c r="G159" s="2" t="n">
        <v>0.35</v>
      </c>
      <c r="H159" s="2" t="n">
        <v>1</v>
      </c>
      <c r="I159" s="2">
        <f>G159*H159</f>
        <v/>
      </c>
      <c r="J159" s="2">
        <f>D159*I159</f>
        <v/>
      </c>
    </row>
    <row r="160">
      <c r="A160" s="3" t="inlineStr">
        <is>
          <t>17</t>
        </is>
      </c>
      <c r="B160" s="3" t="inlineStr">
        <is>
          <t>NB21</t>
        </is>
      </c>
      <c r="C160" s="3" t="inlineStr">
        <is>
          <t>Mn</t>
        </is>
      </c>
      <c r="D160" s="3" t="n">
        <v>10</v>
      </c>
      <c r="E160" s="3" t="inlineStr">
        <is>
          <t>Ngoại nghiệp</t>
        </is>
      </c>
      <c r="F160" s="3" t="inlineStr">
        <is>
          <t>1QTVTNMT hạng III.3</t>
        </is>
      </c>
      <c r="G160" s="3" t="n">
        <v>0.3</v>
      </c>
      <c r="H160" s="3" t="n">
        <v>1.2</v>
      </c>
      <c r="I160" s="3">
        <f>G160*H160</f>
        <v/>
      </c>
      <c r="J160" s="3">
        <f>D160*I160</f>
        <v/>
      </c>
    </row>
    <row r="161">
      <c r="A161" s="2" t="inlineStr">
        <is>
          <t>17</t>
        </is>
      </c>
      <c r="B161" s="2" t="inlineStr">
        <is>
          <t>NB21</t>
        </is>
      </c>
      <c r="C161" s="2" t="inlineStr">
        <is>
          <t>Mn</t>
        </is>
      </c>
      <c r="D161" s="2" t="n">
        <v>10</v>
      </c>
      <c r="E161" s="2" t="inlineStr">
        <is>
          <t>Nội nghiệp</t>
        </is>
      </c>
      <c r="F161" s="2" t="inlineStr">
        <is>
          <t>1QTVTNMT hạng III.3</t>
        </is>
      </c>
      <c r="G161" s="2" t="n">
        <v>0.35</v>
      </c>
      <c r="H161" s="2" t="n">
        <v>1</v>
      </c>
      <c r="I161" s="2">
        <f>G161*H161</f>
        <v/>
      </c>
      <c r="J161" s="2">
        <f>D161*I161</f>
        <v/>
      </c>
    </row>
    <row r="162">
      <c r="A162" s="3" t="inlineStr">
        <is>
          <t>18</t>
        </is>
      </c>
      <c r="B162" s="3" t="inlineStr">
        <is>
          <t>NB21</t>
        </is>
      </c>
      <c r="C162" s="3" t="inlineStr">
        <is>
          <t>Cr VI</t>
        </is>
      </c>
      <c r="D162" s="3" t="n">
        <v>10</v>
      </c>
      <c r="E162" s="3" t="inlineStr">
        <is>
          <t>Ngoại nghiệp</t>
        </is>
      </c>
      <c r="F162" s="3" t="inlineStr">
        <is>
          <t>1QTVTNMT hạng III.3</t>
        </is>
      </c>
      <c r="G162" s="3" t="n">
        <v>0.3</v>
      </c>
      <c r="H162" s="3" t="n">
        <v>1.2</v>
      </c>
      <c r="I162" s="3">
        <f>G162*H162</f>
        <v/>
      </c>
      <c r="J162" s="3">
        <f>D162*I162</f>
        <v/>
      </c>
    </row>
    <row r="163">
      <c r="A163" s="2" t="inlineStr">
        <is>
          <t>18</t>
        </is>
      </c>
      <c r="B163" s="2" t="inlineStr">
        <is>
          <t>NB21</t>
        </is>
      </c>
      <c r="C163" s="2" t="inlineStr">
        <is>
          <t>Cr VI</t>
        </is>
      </c>
      <c r="D163" s="2" t="n">
        <v>10</v>
      </c>
      <c r="E163" s="2" t="inlineStr">
        <is>
          <t>Nội nghiệp</t>
        </is>
      </c>
      <c r="F163" s="2" t="inlineStr">
        <is>
          <t>1QTVTNMT hạng III.3</t>
        </is>
      </c>
      <c r="G163" s="2" t="n">
        <v>0.35</v>
      </c>
      <c r="H163" s="2" t="n">
        <v>1</v>
      </c>
      <c r="I163" s="2">
        <f>G163*H163</f>
        <v/>
      </c>
      <c r="J163" s="2">
        <f>D163*I163</f>
        <v/>
      </c>
    </row>
    <row r="164">
      <c r="A164" s="3" t="inlineStr">
        <is>
          <t>19</t>
        </is>
      </c>
      <c r="B164" s="3" t="inlineStr">
        <is>
          <t>NB10</t>
        </is>
      </c>
      <c r="C164" s="3" t="inlineStr">
        <is>
          <t>Tổng Phenol</t>
        </is>
      </c>
      <c r="D164" s="3" t="n">
        <v>10</v>
      </c>
      <c r="E164" s="3" t="inlineStr">
        <is>
          <t>Ngoại nghiệp</t>
        </is>
      </c>
      <c r="F164" s="3" t="inlineStr">
        <is>
          <t>1QTVTNMT hạng III.2</t>
        </is>
      </c>
      <c r="G164" s="3" t="n">
        <v>0.35</v>
      </c>
      <c r="H164" s="3" t="n">
        <v>1.2</v>
      </c>
      <c r="I164" s="3">
        <f>G164*H164</f>
        <v/>
      </c>
      <c r="J164" s="3">
        <f>D164*I164</f>
        <v/>
      </c>
    </row>
    <row r="165">
      <c r="A165" s="2" t="inlineStr">
        <is>
          <t>19</t>
        </is>
      </c>
      <c r="B165" s="2" t="inlineStr">
        <is>
          <t>NB10</t>
        </is>
      </c>
      <c r="C165" s="2" t="inlineStr">
        <is>
          <t>Tổng Phenol</t>
        </is>
      </c>
      <c r="D165" s="2" t="n">
        <v>10</v>
      </c>
      <c r="E165" s="2" t="inlineStr">
        <is>
          <t>Nội nghiệp</t>
        </is>
      </c>
      <c r="F165" s="2" t="inlineStr">
        <is>
          <t>1QTVTNMT hạng III.3</t>
        </is>
      </c>
      <c r="G165" s="2" t="n">
        <v>0.4</v>
      </c>
      <c r="H165" s="2" t="n">
        <v>1</v>
      </c>
      <c r="I165" s="2">
        <f>G165*H165</f>
        <v/>
      </c>
      <c r="J165" s="2">
        <f>D165*I165</f>
        <v/>
      </c>
    </row>
    <row r="166">
      <c r="A166" s="3" t="inlineStr">
        <is>
          <t>20</t>
        </is>
      </c>
      <c r="B166" s="3" t="inlineStr">
        <is>
          <t>NB22</t>
        </is>
      </c>
      <c r="C166" s="3" t="inlineStr">
        <is>
          <t>Tổng dầu mỡ khoáng</t>
        </is>
      </c>
      <c r="D166" s="3" t="n">
        <v>10</v>
      </c>
      <c r="E166" s="3" t="inlineStr">
        <is>
          <t>Ngoại nghiệp</t>
        </is>
      </c>
      <c r="F166" s="3" t="inlineStr">
        <is>
          <t>1QTVTNMT hạng III.3</t>
        </is>
      </c>
      <c r="G166" s="3" t="n">
        <v>0.3</v>
      </c>
      <c r="H166" s="3" t="n">
        <v>1.2</v>
      </c>
      <c r="I166" s="3">
        <f>G166*H166</f>
        <v/>
      </c>
      <c r="J166" s="3">
        <f>D166*I166</f>
        <v/>
      </c>
    </row>
    <row r="167">
      <c r="A167" s="2" t="inlineStr">
        <is>
          <t>20</t>
        </is>
      </c>
      <c r="B167" s="2" t="inlineStr">
        <is>
          <t>NB22</t>
        </is>
      </c>
      <c r="C167" s="2" t="inlineStr">
        <is>
          <t>Tổng dầu mỡ khoáng</t>
        </is>
      </c>
      <c r="D167" s="2" t="n">
        <v>10</v>
      </c>
      <c r="E167" s="2" t="inlineStr">
        <is>
          <t>Nội nghiệp</t>
        </is>
      </c>
      <c r="F167" s="2" t="inlineStr">
        <is>
          <t>1QTVTNMT hạng III.3</t>
        </is>
      </c>
      <c r="G167" s="2" t="n">
        <v>0.35</v>
      </c>
      <c r="H167" s="2" t="n">
        <v>1</v>
      </c>
      <c r="I167" s="2">
        <f>G167*H167</f>
        <v/>
      </c>
      <c r="J167" s="2">
        <f>D167*I167</f>
        <v/>
      </c>
    </row>
    <row r="168">
      <c r="A168" s="3" t="inlineStr">
        <is>
          <t>21</t>
        </is>
      </c>
      <c r="B168" s="3" t="inlineStr">
        <is>
          <t>NB18</t>
        </is>
      </c>
      <c r="C168" s="3" t="inlineStr">
        <is>
          <t>Coliform</t>
        </is>
      </c>
      <c r="D168" s="3" t="n">
        <v>10</v>
      </c>
      <c r="E168" s="3" t="inlineStr">
        <is>
          <t>Ngoại nghiệp</t>
        </is>
      </c>
      <c r="F168" s="3" t="inlineStr">
        <is>
          <t>1QTVTNMT hạng III.2</t>
        </is>
      </c>
      <c r="G168" s="3" t="n">
        <v>0.3</v>
      </c>
      <c r="H168" s="3" t="n">
        <v>1.2</v>
      </c>
      <c r="I168" s="3">
        <f>G168*H168</f>
        <v/>
      </c>
      <c r="J168" s="3">
        <f>D168*I168</f>
        <v/>
      </c>
    </row>
    <row r="169">
      <c r="A169" s="2" t="inlineStr">
        <is>
          <t>1</t>
        </is>
      </c>
      <c r="B169" s="2" t="inlineStr">
        <is>
          <t>NB10</t>
        </is>
      </c>
      <c r="C169" s="2" t="inlineStr">
        <is>
          <t>Phiêu sinh thực vật</t>
        </is>
      </c>
      <c r="D169" s="2" t="n">
        <v>5</v>
      </c>
      <c r="E169" s="2" t="inlineStr">
        <is>
          <t>Ngoại nghiệp</t>
        </is>
      </c>
      <c r="F169" s="2" t="inlineStr">
        <is>
          <t>1QTVTNMT hạng III.2</t>
        </is>
      </c>
      <c r="G169" s="2" t="n">
        <v>0.35</v>
      </c>
      <c r="H169" s="2" t="n">
        <v>1.2</v>
      </c>
      <c r="I169" s="2">
        <f>G169*H169</f>
        <v/>
      </c>
      <c r="J169" s="2">
        <f>D169*I169</f>
        <v/>
      </c>
    </row>
    <row r="170">
      <c r="A170" s="3" t="inlineStr">
        <is>
          <t>1</t>
        </is>
      </c>
      <c r="B170" s="3" t="inlineStr">
        <is>
          <t>NB10</t>
        </is>
      </c>
      <c r="C170" s="3" t="inlineStr">
        <is>
          <t>Phiêu sinh thực vật</t>
        </is>
      </c>
      <c r="D170" s="3" t="n">
        <v>5</v>
      </c>
      <c r="E170" s="3" t="inlineStr">
        <is>
          <t>Nội nghiệp</t>
        </is>
      </c>
      <c r="F170" s="3" t="inlineStr">
        <is>
          <t>1QTVTNMT hạng III.3</t>
        </is>
      </c>
      <c r="G170" s="3" t="n">
        <v>0.4</v>
      </c>
      <c r="H170" s="3" t="n">
        <v>1</v>
      </c>
      <c r="I170" s="3">
        <f>G170*H170</f>
        <v/>
      </c>
      <c r="J170" s="3">
        <f>D170*I170</f>
        <v/>
      </c>
    </row>
    <row r="171">
      <c r="A171" s="2" t="inlineStr">
        <is>
          <t>2</t>
        </is>
      </c>
      <c r="B171" s="2" t="inlineStr">
        <is>
          <t>NB10</t>
        </is>
      </c>
      <c r="C171" s="2" t="inlineStr">
        <is>
          <t>Phiêu sinh động vật</t>
        </is>
      </c>
      <c r="D171" s="2" t="n">
        <v>5</v>
      </c>
      <c r="E171" s="2" t="inlineStr">
        <is>
          <t>Ngoại nghiệp</t>
        </is>
      </c>
      <c r="F171" s="2" t="inlineStr">
        <is>
          <t>1QTVTNMT hạng III.2</t>
        </is>
      </c>
      <c r="G171" s="2" t="n">
        <v>0.35</v>
      </c>
      <c r="H171" s="2" t="n">
        <v>1.2</v>
      </c>
      <c r="I171" s="2">
        <f>G171*H171</f>
        <v/>
      </c>
      <c r="J171" s="2">
        <f>D171*I171</f>
        <v/>
      </c>
    </row>
    <row r="172">
      <c r="A172" s="3" t="inlineStr">
        <is>
          <t>2</t>
        </is>
      </c>
      <c r="B172" s="3" t="inlineStr">
        <is>
          <t>NB10</t>
        </is>
      </c>
      <c r="C172" s="3" t="inlineStr">
        <is>
          <t>Phiêu sinh động vật</t>
        </is>
      </c>
      <c r="D172" s="3" t="n">
        <v>5</v>
      </c>
      <c r="E172" s="3" t="inlineStr">
        <is>
          <t>Nội nghiệp</t>
        </is>
      </c>
      <c r="F172" s="3" t="inlineStr">
        <is>
          <t>1QTVTNMT hạng III.3</t>
        </is>
      </c>
      <c r="G172" s="3" t="n">
        <v>0.4</v>
      </c>
      <c r="H172" s="3" t="n">
        <v>1</v>
      </c>
      <c r="I172" s="3">
        <f>G172*H172</f>
        <v/>
      </c>
      <c r="J172" s="3">
        <f>D172*I172</f>
        <v/>
      </c>
    </row>
    <row r="173">
      <c r="A173" s="2" t="inlineStr">
        <is>
          <t>3</t>
        </is>
      </c>
      <c r="B173" s="2" t="inlineStr">
        <is>
          <t>NB19c</t>
        </is>
      </c>
      <c r="C173" s="2" t="inlineStr">
        <is>
          <t>Động vật đáy</t>
        </is>
      </c>
      <c r="D173" s="2" t="n">
        <v>5</v>
      </c>
      <c r="E173" s="2" t="inlineStr">
        <is>
          <t>Ngoại nghiệp</t>
        </is>
      </c>
      <c r="F173" s="2" t="inlineStr">
        <is>
          <t>1QTVTNMT hạng III.3</t>
        </is>
      </c>
      <c r="G173" s="2" t="n">
        <v>0.3</v>
      </c>
      <c r="H173" s="2" t="n">
        <v>1.2</v>
      </c>
      <c r="I173" s="2">
        <f>G173*H173</f>
        <v/>
      </c>
      <c r="J173" s="2">
        <f>D173*I173</f>
        <v/>
      </c>
    </row>
    <row r="174">
      <c r="A174" s="3" t="inlineStr">
        <is>
          <t>3</t>
        </is>
      </c>
      <c r="B174" s="3" t="inlineStr">
        <is>
          <t>NB19c</t>
        </is>
      </c>
      <c r="C174" s="3" t="inlineStr">
        <is>
          <t>Động vật đáy</t>
        </is>
      </c>
      <c r="D174" s="3" t="n">
        <v>5</v>
      </c>
      <c r="E174" s="3" t="inlineStr">
        <is>
          <t>Nội nghiệp</t>
        </is>
      </c>
      <c r="F174" s="3" t="inlineStr">
        <is>
          <t>1QTVTNMT hạng III.3</t>
        </is>
      </c>
      <c r="G174" s="3" t="n">
        <v>0.35</v>
      </c>
      <c r="H174" s="3" t="n">
        <v>1</v>
      </c>
      <c r="I174" s="3">
        <f>G174*H174</f>
        <v/>
      </c>
      <c r="J174" s="3">
        <f>D174*I174</f>
        <v/>
      </c>
    </row>
    <row r="175">
      <c r="A175" s="2" t="inlineStr">
        <is>
          <t>1</t>
        </is>
      </c>
      <c r="B175" s="2" t="inlineStr">
        <is>
          <t>NT4b</t>
        </is>
      </c>
      <c r="C175" s="2" t="inlineStr">
        <is>
          <t>Màu</t>
        </is>
      </c>
      <c r="D175" s="2" t="n">
        <v>4</v>
      </c>
      <c r="E175" s="2" t="inlineStr">
        <is>
          <t>Ngoại nghiệp</t>
        </is>
      </c>
      <c r="F175" s="2" t="inlineStr">
        <is>
          <t>1QTVTNMT hạng III.1</t>
        </is>
      </c>
      <c r="G175" s="2" t="n">
        <v>0.2</v>
      </c>
      <c r="H175" s="2" t="n">
        <v>1.2</v>
      </c>
      <c r="I175" s="2">
        <f>G175*H175</f>
        <v/>
      </c>
      <c r="J175" s="2">
        <f>D175*I175</f>
        <v/>
      </c>
    </row>
    <row r="176">
      <c r="A176" s="3" t="inlineStr">
        <is>
          <t>2</t>
        </is>
      </c>
      <c r="B176" s="3" t="inlineStr">
        <is>
          <t>NT5a</t>
        </is>
      </c>
      <c r="C176" s="3" t="inlineStr">
        <is>
          <t>BOD5</t>
        </is>
      </c>
      <c r="D176" s="3" t="n">
        <v>4</v>
      </c>
      <c r="E176" s="3" t="inlineStr">
        <is>
          <t>Ngoại nghiệp</t>
        </is>
      </c>
      <c r="F176" s="3" t="inlineStr">
        <is>
          <t>1QTVTNMT hạng III.1</t>
        </is>
      </c>
      <c r="G176" s="3" t="n">
        <v>0.2</v>
      </c>
      <c r="H176" s="3" t="n">
        <v>1.2</v>
      </c>
      <c r="I176" s="3">
        <f>G176*H176</f>
        <v/>
      </c>
      <c r="J176" s="3">
        <f>D176*I176</f>
        <v/>
      </c>
    </row>
    <row r="177">
      <c r="A177" s="2" t="inlineStr">
        <is>
          <t>2</t>
        </is>
      </c>
      <c r="B177" s="2" t="inlineStr">
        <is>
          <t>NT5a</t>
        </is>
      </c>
      <c r="C177" s="2" t="inlineStr">
        <is>
          <t>BOD5</t>
        </is>
      </c>
      <c r="D177" s="2" t="n">
        <v>4</v>
      </c>
      <c r="E177" s="2" t="inlineStr">
        <is>
          <t>Nội nghiệp</t>
        </is>
      </c>
      <c r="F177" s="2" t="inlineStr">
        <is>
          <t>1QTVTNMT hạng III.1</t>
        </is>
      </c>
      <c r="G177" s="2" t="n">
        <v>0.47</v>
      </c>
      <c r="H177" s="2" t="n">
        <v>1</v>
      </c>
      <c r="I177" s="2">
        <f>G177*H177</f>
        <v/>
      </c>
      <c r="J177" s="2">
        <f>D177*I177</f>
        <v/>
      </c>
    </row>
    <row r="178">
      <c r="A178" s="3" t="inlineStr">
        <is>
          <t>3</t>
        </is>
      </c>
      <c r="B178" s="3" t="inlineStr">
        <is>
          <t>NT10l1</t>
        </is>
      </c>
      <c r="C178" s="3" t="inlineStr">
        <is>
          <t>Asen</t>
        </is>
      </c>
      <c r="D178" s="3" t="n">
        <v>4</v>
      </c>
      <c r="E178" s="3" t="inlineStr">
        <is>
          <t>Ngoại nghiệp</t>
        </is>
      </c>
      <c r="F178" s="3" t="inlineStr">
        <is>
          <t>1QTVTNMT hạng III.2</t>
        </is>
      </c>
      <c r="G178" s="3" t="n">
        <v>0.15</v>
      </c>
      <c r="H178" s="3" t="n">
        <v>1.2</v>
      </c>
      <c r="I178" s="3">
        <f>G178*H178</f>
        <v/>
      </c>
      <c r="J178" s="3">
        <f>D178*I178</f>
        <v/>
      </c>
    </row>
    <row r="179">
      <c r="A179" s="2" t="inlineStr">
        <is>
          <t>3</t>
        </is>
      </c>
      <c r="B179" s="2" t="inlineStr">
        <is>
          <t>NT10l1</t>
        </is>
      </c>
      <c r="C179" s="2" t="inlineStr">
        <is>
          <t>Asen</t>
        </is>
      </c>
      <c r="D179" s="2" t="n">
        <v>4</v>
      </c>
      <c r="E179" s="2" t="inlineStr">
        <is>
          <t>Nội nghiệp</t>
        </is>
      </c>
      <c r="F179" s="2" t="inlineStr">
        <is>
          <t>1QTVTNMT hạng III.3</t>
        </is>
      </c>
      <c r="G179" s="2" t="n">
        <v>0.8</v>
      </c>
      <c r="H179" s="2" t="n">
        <v>1</v>
      </c>
      <c r="I179" s="2">
        <f>G179*H179</f>
        <v/>
      </c>
      <c r="J179" s="2">
        <f>D179*I179</f>
        <v/>
      </c>
    </row>
    <row r="180">
      <c r="A180" s="3" t="inlineStr">
        <is>
          <t>4</t>
        </is>
      </c>
      <c r="B180" s="3" t="inlineStr">
        <is>
          <t>NT10l2</t>
        </is>
      </c>
      <c r="C180" s="3" t="inlineStr">
        <is>
          <t>Thủy ngân</t>
        </is>
      </c>
      <c r="D180" s="3" t="n">
        <v>4</v>
      </c>
      <c r="E180" s="3" t="inlineStr">
        <is>
          <t>Ngoại nghiệp</t>
        </is>
      </c>
      <c r="F180" s="3" t="inlineStr">
        <is>
          <t>1QTVTNMT hạng III.2</t>
        </is>
      </c>
      <c r="G180" s="3" t="n">
        <v>0.15</v>
      </c>
      <c r="H180" s="3" t="n">
        <v>1.2</v>
      </c>
      <c r="I180" s="3">
        <f>G180*H180</f>
        <v/>
      </c>
      <c r="J180" s="3">
        <f>D180*I180</f>
        <v/>
      </c>
    </row>
    <row r="181">
      <c r="A181" s="2" t="inlineStr">
        <is>
          <t>4</t>
        </is>
      </c>
      <c r="B181" s="2" t="inlineStr">
        <is>
          <t>NT10l2</t>
        </is>
      </c>
      <c r="C181" s="2" t="inlineStr">
        <is>
          <t>Thủy ngân</t>
        </is>
      </c>
      <c r="D181" s="2" t="n">
        <v>4</v>
      </c>
      <c r="E181" s="2" t="inlineStr">
        <is>
          <t>Nội nghiệp</t>
        </is>
      </c>
      <c r="F181" s="2" t="inlineStr">
        <is>
          <t>1QTVTNMT hạng III.3</t>
        </is>
      </c>
      <c r="G181" s="2" t="n">
        <v>0.8</v>
      </c>
      <c r="H181" s="2" t="n">
        <v>1</v>
      </c>
      <c r="I181" s="2">
        <f>G181*H181</f>
        <v/>
      </c>
      <c r="J181" s="2">
        <f>D181*I181</f>
        <v/>
      </c>
    </row>
    <row r="182">
      <c r="A182" s="3" t="inlineStr">
        <is>
          <t>5</t>
        </is>
      </c>
      <c r="B182" s="3" t="inlineStr">
        <is>
          <t>NT10k1</t>
        </is>
      </c>
      <c r="C182" s="3" t="inlineStr">
        <is>
          <t>Chì</t>
        </is>
      </c>
      <c r="D182" s="3" t="n">
        <v>4</v>
      </c>
      <c r="E182" s="3" t="inlineStr">
        <is>
          <t>Ngoại nghiệp</t>
        </is>
      </c>
      <c r="F182" s="3" t="inlineStr">
        <is>
          <t>1QTVTNMT hạng III.2</t>
        </is>
      </c>
      <c r="G182" s="3" t="n">
        <v>0.15</v>
      </c>
      <c r="H182" s="3" t="n">
        <v>1.2</v>
      </c>
      <c r="I182" s="3">
        <f>G182*H182</f>
        <v/>
      </c>
      <c r="J182" s="3">
        <f>D182*I182</f>
        <v/>
      </c>
    </row>
    <row r="183">
      <c r="A183" s="2" t="inlineStr">
        <is>
          <t>5</t>
        </is>
      </c>
      <c r="B183" s="2" t="inlineStr">
        <is>
          <t>NT10k1</t>
        </is>
      </c>
      <c r="C183" s="2" t="inlineStr">
        <is>
          <t>Chì</t>
        </is>
      </c>
      <c r="D183" s="2" t="n">
        <v>4</v>
      </c>
      <c r="E183" s="2" t="inlineStr">
        <is>
          <t>Nội nghiệp</t>
        </is>
      </c>
      <c r="F183" s="2" t="inlineStr">
        <is>
          <t>1QTVTNMT hạng III.3</t>
        </is>
      </c>
      <c r="G183" s="2" t="n">
        <v>0.8</v>
      </c>
      <c r="H183" s="2" t="n">
        <v>1</v>
      </c>
      <c r="I183" s="2">
        <f>G183*H183</f>
        <v/>
      </c>
      <c r="J183" s="2">
        <f>D183*I183</f>
        <v/>
      </c>
    </row>
    <row r="184">
      <c r="A184" s="3" t="inlineStr">
        <is>
          <t>6</t>
        </is>
      </c>
      <c r="B184" s="3" t="inlineStr">
        <is>
          <t>NT10k2</t>
        </is>
      </c>
      <c r="C184" s="3" t="inlineStr">
        <is>
          <t>Cadimi</t>
        </is>
      </c>
      <c r="D184" s="3" t="n">
        <v>4</v>
      </c>
      <c r="E184" s="3" t="inlineStr">
        <is>
          <t>Ngoại nghiệp</t>
        </is>
      </c>
      <c r="F184" s="3" t="inlineStr">
        <is>
          <t>1QTVTNMT hạng III.2</t>
        </is>
      </c>
      <c r="G184" s="3" t="n">
        <v>0.15</v>
      </c>
      <c r="H184" s="3" t="n">
        <v>1.2</v>
      </c>
      <c r="I184" s="3">
        <f>G184*H184</f>
        <v/>
      </c>
      <c r="J184" s="3">
        <f>D184*I184</f>
        <v/>
      </c>
    </row>
    <row r="185">
      <c r="A185" s="2" t="inlineStr">
        <is>
          <t>6</t>
        </is>
      </c>
      <c r="B185" s="2" t="inlineStr">
        <is>
          <t>NT10k2</t>
        </is>
      </c>
      <c r="C185" s="2" t="inlineStr">
        <is>
          <t>Cadimi</t>
        </is>
      </c>
      <c r="D185" s="2" t="n">
        <v>4</v>
      </c>
      <c r="E185" s="2" t="inlineStr">
        <is>
          <t>Nội nghiệp</t>
        </is>
      </c>
      <c r="F185" s="2" t="inlineStr">
        <is>
          <t>1QTVTNMT hạng III.3</t>
        </is>
      </c>
      <c r="G185" s="2" t="n">
        <v>0.8</v>
      </c>
      <c r="H185" s="2" t="n">
        <v>1</v>
      </c>
      <c r="I185" s="2">
        <f>G185*H185</f>
        <v/>
      </c>
      <c r="J185" s="2">
        <f>D185*I185</f>
        <v/>
      </c>
    </row>
    <row r="186">
      <c r="A186" s="3" t="inlineStr">
        <is>
          <t>7</t>
        </is>
      </c>
      <c r="B186" s="3" t="inlineStr">
        <is>
          <t>NT10m5</t>
        </is>
      </c>
      <c r="C186" s="3" t="inlineStr">
        <is>
          <t>Crom (III)</t>
        </is>
      </c>
      <c r="D186" s="3" t="n">
        <v>4</v>
      </c>
      <c r="E186" s="3" t="inlineStr">
        <is>
          <t>Ngoại nghiệp</t>
        </is>
      </c>
      <c r="F186" s="3" t="inlineStr">
        <is>
          <t>1QTVTNMT hạng III.2</t>
        </is>
      </c>
      <c r="G186" s="3" t="n">
        <v>0.15</v>
      </c>
      <c r="H186" s="3" t="n">
        <v>1.2</v>
      </c>
      <c r="I186" s="3">
        <f>G186*H186</f>
        <v/>
      </c>
      <c r="J186" s="3">
        <f>D186*I186</f>
        <v/>
      </c>
    </row>
    <row r="187">
      <c r="A187" s="2" t="inlineStr">
        <is>
          <t>7</t>
        </is>
      </c>
      <c r="B187" s="2" t="inlineStr">
        <is>
          <t>NT10m5</t>
        </is>
      </c>
      <c r="C187" s="2" t="inlineStr">
        <is>
          <t>Crom (III)</t>
        </is>
      </c>
      <c r="D187" s="2" t="n">
        <v>4</v>
      </c>
      <c r="E187" s="2" t="inlineStr">
        <is>
          <t>Nội nghiệp</t>
        </is>
      </c>
      <c r="F187" s="2" t="inlineStr">
        <is>
          <t>1QTVTNMT hạng III.2</t>
        </is>
      </c>
      <c r="G187" s="2" t="n">
        <v>0.7</v>
      </c>
      <c r="H187" s="2" t="n">
        <v>1</v>
      </c>
      <c r="I187" s="2">
        <f>G187*H187</f>
        <v/>
      </c>
      <c r="J187" s="2">
        <f>D187*I187</f>
        <v/>
      </c>
    </row>
    <row r="188">
      <c r="A188" s="3" t="inlineStr">
        <is>
          <t>8</t>
        </is>
      </c>
      <c r="B188" s="3" t="inlineStr">
        <is>
          <t>NT10đ</t>
        </is>
      </c>
      <c r="C188" s="3" t="inlineStr">
        <is>
          <t>Crom (VI)</t>
        </is>
      </c>
      <c r="D188" s="3" t="n">
        <v>4</v>
      </c>
      <c r="E188" s="3" t="inlineStr">
        <is>
          <t>Ngoại nghiệp</t>
        </is>
      </c>
      <c r="F188" s="3" t="inlineStr">
        <is>
          <t>1QTVTNMT hạng III.2</t>
        </is>
      </c>
      <c r="G188" s="3" t="n">
        <v>0.2</v>
      </c>
      <c r="H188" s="3" t="n">
        <v>1.2</v>
      </c>
      <c r="I188" s="3">
        <f>G188*H188</f>
        <v/>
      </c>
      <c r="J188" s="3">
        <f>D188*I188</f>
        <v/>
      </c>
    </row>
    <row r="189">
      <c r="A189" s="2" t="inlineStr">
        <is>
          <t>8</t>
        </is>
      </c>
      <c r="B189" s="2" t="inlineStr">
        <is>
          <t>NT10đ</t>
        </is>
      </c>
      <c r="C189" s="2" t="inlineStr">
        <is>
          <t>Crom (VI)</t>
        </is>
      </c>
      <c r="D189" s="2" t="n">
        <v>4</v>
      </c>
      <c r="E189" s="2" t="inlineStr">
        <is>
          <t>Nội nghiệp</t>
        </is>
      </c>
      <c r="F189" s="2" t="inlineStr">
        <is>
          <t>1QTVTNMT hạng III.2</t>
        </is>
      </c>
      <c r="G189" s="2" t="n">
        <v>0.52</v>
      </c>
      <c r="H189" s="2" t="n">
        <v>1</v>
      </c>
      <c r="I189" s="2">
        <f>G189*H189</f>
        <v/>
      </c>
      <c r="J189" s="2">
        <f>D189*I189</f>
        <v/>
      </c>
    </row>
    <row r="190">
      <c r="A190" s="3" t="inlineStr">
        <is>
          <t>9</t>
        </is>
      </c>
      <c r="B190" s="3" t="inlineStr">
        <is>
          <t>NT10m1</t>
        </is>
      </c>
      <c r="C190" s="3" t="inlineStr">
        <is>
          <t>Đồng</t>
        </is>
      </c>
      <c r="D190" s="3" t="n">
        <v>4</v>
      </c>
      <c r="E190" s="3" t="inlineStr">
        <is>
          <t>Ngoại nghiệp</t>
        </is>
      </c>
      <c r="F190" s="3" t="inlineStr">
        <is>
          <t>1QTVTNMT hạng III.2</t>
        </is>
      </c>
      <c r="G190" s="3" t="n">
        <v>0.15</v>
      </c>
      <c r="H190" s="3" t="n">
        <v>1.2</v>
      </c>
      <c r="I190" s="3">
        <f>G190*H190</f>
        <v/>
      </c>
      <c r="J190" s="3">
        <f>D190*I190</f>
        <v/>
      </c>
    </row>
    <row r="191">
      <c r="A191" s="2" t="inlineStr">
        <is>
          <t>9</t>
        </is>
      </c>
      <c r="B191" s="2" t="inlineStr">
        <is>
          <t>NT10m1</t>
        </is>
      </c>
      <c r="C191" s="2" t="inlineStr">
        <is>
          <t>Đồng</t>
        </is>
      </c>
      <c r="D191" s="2" t="n">
        <v>4</v>
      </c>
      <c r="E191" s="2" t="inlineStr">
        <is>
          <t>Nội nghiệp</t>
        </is>
      </c>
      <c r="F191" s="2" t="inlineStr">
        <is>
          <t>1QTVTNMT hạng III.2</t>
        </is>
      </c>
      <c r="G191" s="2" t="n">
        <v>0.7</v>
      </c>
      <c r="H191" s="2" t="n">
        <v>1</v>
      </c>
      <c r="I191" s="2">
        <f>G191*H191</f>
        <v/>
      </c>
      <c r="J191" s="2">
        <f>D191*I191</f>
        <v/>
      </c>
    </row>
    <row r="192">
      <c r="A192" s="3" t="inlineStr">
        <is>
          <t>10</t>
        </is>
      </c>
      <c r="B192" s="3" t="inlineStr">
        <is>
          <t>NT10m2</t>
        </is>
      </c>
      <c r="C192" s="3" t="inlineStr">
        <is>
          <t>Kẽm</t>
        </is>
      </c>
      <c r="D192" s="3" t="n">
        <v>4</v>
      </c>
      <c r="E192" s="3" t="inlineStr">
        <is>
          <t>Ngoại nghiệp</t>
        </is>
      </c>
      <c r="F192" s="3" t="inlineStr">
        <is>
          <t>1QTVTNMT hạng III.2</t>
        </is>
      </c>
      <c r="G192" s="3" t="n">
        <v>0.15</v>
      </c>
      <c r="H192" s="3" t="n">
        <v>1.2</v>
      </c>
      <c r="I192" s="3">
        <f>G192*H192</f>
        <v/>
      </c>
      <c r="J192" s="3">
        <f>D192*I192</f>
        <v/>
      </c>
    </row>
    <row r="193">
      <c r="A193" s="2" t="inlineStr">
        <is>
          <t>10</t>
        </is>
      </c>
      <c r="B193" s="2" t="inlineStr">
        <is>
          <t>NT10m2</t>
        </is>
      </c>
      <c r="C193" s="2" t="inlineStr">
        <is>
          <t>Kẽm</t>
        </is>
      </c>
      <c r="D193" s="2" t="n">
        <v>4</v>
      </c>
      <c r="E193" s="2" t="inlineStr">
        <is>
          <t>Nội nghiệp</t>
        </is>
      </c>
      <c r="F193" s="2" t="inlineStr">
        <is>
          <t>1QTVTNMT hạng III.2</t>
        </is>
      </c>
      <c r="G193" s="2" t="n">
        <v>0.7</v>
      </c>
      <c r="H193" s="2" t="n">
        <v>1</v>
      </c>
      <c r="I193" s="2">
        <f>G193*H193</f>
        <v/>
      </c>
      <c r="J193" s="2">
        <f>D193*I193</f>
        <v/>
      </c>
    </row>
    <row r="194">
      <c r="A194" s="3" t="inlineStr">
        <is>
          <t>11</t>
        </is>
      </c>
      <c r="B194" s="3" t="inlineStr">
        <is>
          <t>NT10m6</t>
        </is>
      </c>
      <c r="C194" s="3" t="inlineStr">
        <is>
          <t>Niken</t>
        </is>
      </c>
      <c r="D194" s="3" t="n">
        <v>4</v>
      </c>
      <c r="E194" s="3" t="inlineStr">
        <is>
          <t>Ngoại nghiệp</t>
        </is>
      </c>
      <c r="F194" s="3" t="inlineStr">
        <is>
          <t>1QTVTNMT hạng III.2</t>
        </is>
      </c>
      <c r="G194" s="3" t="n">
        <v>0.15</v>
      </c>
      <c r="H194" s="3" t="n">
        <v>1.2</v>
      </c>
      <c r="I194" s="3">
        <f>G194*H194</f>
        <v/>
      </c>
      <c r="J194" s="3">
        <f>D194*I194</f>
        <v/>
      </c>
    </row>
    <row r="195">
      <c r="A195" s="2" t="inlineStr">
        <is>
          <t>11</t>
        </is>
      </c>
      <c r="B195" s="2" t="inlineStr">
        <is>
          <t>NT10m6</t>
        </is>
      </c>
      <c r="C195" s="2" t="inlineStr">
        <is>
          <t>Niken</t>
        </is>
      </c>
      <c r="D195" s="2" t="n">
        <v>4</v>
      </c>
      <c r="E195" s="2" t="inlineStr">
        <is>
          <t>Nội nghiệp</t>
        </is>
      </c>
      <c r="F195" s="2" t="inlineStr">
        <is>
          <t>1QTVTNMT hạng III.2</t>
        </is>
      </c>
      <c r="G195" s="2" t="n">
        <v>0.7</v>
      </c>
      <c r="H195" s="2" t="n">
        <v>1</v>
      </c>
      <c r="I195" s="2">
        <f>G195*H195</f>
        <v/>
      </c>
      <c r="J195" s="2">
        <f>D195*I195</f>
        <v/>
      </c>
    </row>
    <row r="196">
      <c r="A196" s="3" t="inlineStr">
        <is>
          <t>12</t>
        </is>
      </c>
      <c r="B196" s="3" t="inlineStr">
        <is>
          <t>NT10m3</t>
        </is>
      </c>
      <c r="C196" s="3" t="inlineStr">
        <is>
          <t>Mangan</t>
        </is>
      </c>
      <c r="D196" s="3" t="n">
        <v>4</v>
      </c>
      <c r="E196" s="3" t="inlineStr">
        <is>
          <t>Ngoại nghiệp</t>
        </is>
      </c>
      <c r="F196" s="3" t="inlineStr">
        <is>
          <t>1QTVTNMT hạng III.2</t>
        </is>
      </c>
      <c r="G196" s="3" t="n">
        <v>0.15</v>
      </c>
      <c r="H196" s="3" t="n">
        <v>1.2</v>
      </c>
      <c r="I196" s="3">
        <f>G196*H196</f>
        <v/>
      </c>
      <c r="J196" s="3">
        <f>D196*I196</f>
        <v/>
      </c>
    </row>
    <row r="197">
      <c r="A197" s="2" t="inlineStr">
        <is>
          <t>12</t>
        </is>
      </c>
      <c r="B197" s="2" t="inlineStr">
        <is>
          <t>NT10m3</t>
        </is>
      </c>
      <c r="C197" s="2" t="inlineStr">
        <is>
          <t>Mangan</t>
        </is>
      </c>
      <c r="D197" s="2" t="n">
        <v>4</v>
      </c>
      <c r="E197" s="2" t="inlineStr">
        <is>
          <t>Nội nghiệp</t>
        </is>
      </c>
      <c r="F197" s="2" t="inlineStr">
        <is>
          <t>1QTVTNMT hạng III.2</t>
        </is>
      </c>
      <c r="G197" s="2" t="n">
        <v>0.7</v>
      </c>
      <c r="H197" s="2" t="n">
        <v>1</v>
      </c>
      <c r="I197" s="2">
        <f>G197*H197</f>
        <v/>
      </c>
      <c r="J197" s="2">
        <f>D197*I197</f>
        <v/>
      </c>
    </row>
    <row r="198">
      <c r="A198" s="3" t="inlineStr">
        <is>
          <t>13</t>
        </is>
      </c>
      <c r="B198" s="3" t="inlineStr">
        <is>
          <t>NT10m4</t>
        </is>
      </c>
      <c r="C198" s="3" t="inlineStr">
        <is>
          <t>Sắt</t>
        </is>
      </c>
      <c r="D198" s="3" t="n">
        <v>4</v>
      </c>
      <c r="E198" s="3" t="inlineStr">
        <is>
          <t>Ngoại nghiệp</t>
        </is>
      </c>
      <c r="F198" s="3" t="inlineStr">
        <is>
          <t>1QTVTNMT hạng III.2</t>
        </is>
      </c>
      <c r="G198" s="3" t="n">
        <v>0.15</v>
      </c>
      <c r="H198" s="3" t="n">
        <v>1.2</v>
      </c>
      <c r="I198" s="3">
        <f>G198*H198</f>
        <v/>
      </c>
      <c r="J198" s="3">
        <f>D198*I198</f>
        <v/>
      </c>
    </row>
    <row r="199">
      <c r="A199" s="2" t="inlineStr">
        <is>
          <t>13</t>
        </is>
      </c>
      <c r="B199" s="2" t="inlineStr">
        <is>
          <t>NT10m4</t>
        </is>
      </c>
      <c r="C199" s="2" t="inlineStr">
        <is>
          <t>Sắt</t>
        </is>
      </c>
      <c r="D199" s="2" t="n">
        <v>4</v>
      </c>
      <c r="E199" s="2" t="inlineStr">
        <is>
          <t>Nội nghiệp</t>
        </is>
      </c>
      <c r="F199" s="2" t="inlineStr">
        <is>
          <t>1QTVTNMT hạng III.2</t>
        </is>
      </c>
      <c r="G199" s="2" t="n">
        <v>0.7</v>
      </c>
      <c r="H199" s="2" t="n">
        <v>1</v>
      </c>
      <c r="I199" s="2">
        <f>G199*H199</f>
        <v/>
      </c>
      <c r="J199" s="2">
        <f>D199*I199</f>
        <v/>
      </c>
    </row>
    <row r="200">
      <c r="A200" s="3" t="inlineStr">
        <is>
          <t>14</t>
        </is>
      </c>
      <c r="B200" s="3" t="inlineStr">
        <is>
          <t>NT9</t>
        </is>
      </c>
      <c r="C200" s="3" t="inlineStr">
        <is>
          <t>Tổng Xyanua</t>
        </is>
      </c>
      <c r="D200" s="3" t="n">
        <v>4</v>
      </c>
      <c r="E200" s="3" t="inlineStr">
        <is>
          <t>Ngoại nghiệp</t>
        </is>
      </c>
      <c r="F200" s="3" t="inlineStr">
        <is>
          <t>1QTVTNMT hạng III.2</t>
        </is>
      </c>
      <c r="G200" s="3" t="n">
        <v>0.2</v>
      </c>
      <c r="H200" s="3" t="n">
        <v>1.2</v>
      </c>
      <c r="I200" s="3">
        <f>G200*H200</f>
        <v/>
      </c>
      <c r="J200" s="3">
        <f>D200*I200</f>
        <v/>
      </c>
    </row>
    <row r="201">
      <c r="A201" s="2" t="inlineStr">
        <is>
          <t>14</t>
        </is>
      </c>
      <c r="B201" s="2" t="inlineStr">
        <is>
          <t>NT9</t>
        </is>
      </c>
      <c r="C201" s="2" t="inlineStr">
        <is>
          <t>Tổng Xyanua</t>
        </is>
      </c>
      <c r="D201" s="2" t="n">
        <v>4</v>
      </c>
      <c r="E201" s="2" t="inlineStr">
        <is>
          <t>Nội nghiệp</t>
        </is>
      </c>
      <c r="F201" s="2" t="inlineStr">
        <is>
          <t>1QTVTNMT hạng III.2</t>
        </is>
      </c>
      <c r="G201" s="2" t="n">
        <v>0.62</v>
      </c>
      <c r="H201" s="2" t="n">
        <v>1</v>
      </c>
      <c r="I201" s="2">
        <f>G201*H201</f>
        <v/>
      </c>
      <c r="J201" s="2">
        <f>D201*I201</f>
        <v/>
      </c>
    </row>
    <row r="202">
      <c r="A202" s="3" t="inlineStr">
        <is>
          <t>15</t>
        </is>
      </c>
      <c r="B202" s="3" t="inlineStr">
        <is>
          <t>NT8</t>
        </is>
      </c>
      <c r="C202" s="3" t="inlineStr">
        <is>
          <t>Tổng dầu mỡ khoáng</t>
        </is>
      </c>
      <c r="D202" s="3" t="n">
        <v>4</v>
      </c>
      <c r="E202" s="3" t="inlineStr">
        <is>
          <t>Ngoại nghiệp</t>
        </is>
      </c>
      <c r="F202" s="3" t="inlineStr">
        <is>
          <t>1QTVTNMT hạng III.3</t>
        </is>
      </c>
      <c r="G202" s="3" t="n">
        <v>0.2</v>
      </c>
      <c r="H202" s="3" t="n">
        <v>1.2</v>
      </c>
      <c r="I202" s="3">
        <f>G202*H202</f>
        <v/>
      </c>
      <c r="J202" s="3">
        <f>D202*I202</f>
        <v/>
      </c>
    </row>
    <row r="203">
      <c r="A203" s="2" t="inlineStr">
        <is>
          <t>15</t>
        </is>
      </c>
      <c r="B203" s="2" t="inlineStr">
        <is>
          <t>NT8</t>
        </is>
      </c>
      <c r="C203" s="2" t="inlineStr">
        <is>
          <t>Tổng dầu mỡ khoáng</t>
        </is>
      </c>
      <c r="D203" s="2" t="n">
        <v>4</v>
      </c>
      <c r="E203" s="2" t="inlineStr">
        <is>
          <t>Nội nghiệp</t>
        </is>
      </c>
      <c r="F203" s="2" t="inlineStr">
        <is>
          <t>1QTVTNMT hạng III.2</t>
        </is>
      </c>
      <c r="G203" s="2" t="n">
        <v>0.95</v>
      </c>
      <c r="H203" s="2" t="n">
        <v>1</v>
      </c>
      <c r="I203" s="2">
        <f>G203*H203</f>
        <v/>
      </c>
      <c r="J203" s="2">
        <f>D203*I203</f>
        <v/>
      </c>
    </row>
    <row r="204">
      <c r="A204" s="3" t="inlineStr">
        <is>
          <t>16</t>
        </is>
      </c>
      <c r="B204" s="3" t="inlineStr">
        <is>
          <t>NT10d</t>
        </is>
      </c>
      <c r="C204" s="3" t="inlineStr">
        <is>
          <t>Sunfua</t>
        </is>
      </c>
      <c r="D204" s="3" t="n">
        <v>4</v>
      </c>
      <c r="E204" s="3" t="inlineStr">
        <is>
          <t>Ngoại nghiệp</t>
        </is>
      </c>
      <c r="F204" s="3" t="inlineStr">
        <is>
          <t>1QTVTNMT hạng III.2</t>
        </is>
      </c>
      <c r="G204" s="3" t="n">
        <v>0.2</v>
      </c>
      <c r="H204" s="3" t="n">
        <v>1.2</v>
      </c>
      <c r="I204" s="3">
        <f>G204*H204</f>
        <v/>
      </c>
      <c r="J204" s="3">
        <f>D204*I204</f>
        <v/>
      </c>
    </row>
    <row r="205">
      <c r="A205" s="2" t="inlineStr">
        <is>
          <t>16</t>
        </is>
      </c>
      <c r="B205" s="2" t="inlineStr">
        <is>
          <t>NT10d</t>
        </is>
      </c>
      <c r="C205" s="2" t="inlineStr">
        <is>
          <t>Sunfua</t>
        </is>
      </c>
      <c r="D205" s="2" t="n">
        <v>4</v>
      </c>
      <c r="E205" s="2" t="inlineStr">
        <is>
          <t>Nội nghiệp</t>
        </is>
      </c>
      <c r="F205" s="2" t="inlineStr">
        <is>
          <t>1QTVTNMT hạng III.2</t>
        </is>
      </c>
      <c r="G205" s="2" t="n">
        <v>0.5</v>
      </c>
      <c r="H205" s="2" t="n">
        <v>1</v>
      </c>
      <c r="I205" s="2">
        <f>G205*H205</f>
        <v/>
      </c>
      <c r="J205" s="2">
        <f>D205*I205</f>
        <v/>
      </c>
    </row>
    <row r="206">
      <c r="A206" s="3" t="inlineStr">
        <is>
          <t>17</t>
        </is>
      </c>
      <c r="B206" s="3" t="inlineStr">
        <is>
          <t>NT10b</t>
        </is>
      </c>
      <c r="C206" s="3" t="inlineStr">
        <is>
          <t>Tổng N</t>
        </is>
      </c>
      <c r="D206" s="3" t="n">
        <v>4</v>
      </c>
      <c r="E206" s="3" t="inlineStr">
        <is>
          <t>Ngoại nghiệp</t>
        </is>
      </c>
      <c r="F206" s="3" t="inlineStr">
        <is>
          <t>1QTVTNMT hạng III.2</t>
        </is>
      </c>
      <c r="G206" s="3" t="n">
        <v>0.2</v>
      </c>
      <c r="H206" s="3" t="n">
        <v>1.2</v>
      </c>
      <c r="I206" s="3">
        <f>G206*H206</f>
        <v/>
      </c>
      <c r="J206" s="3">
        <f>D206*I206</f>
        <v/>
      </c>
    </row>
    <row r="207">
      <c r="A207" s="2" t="inlineStr">
        <is>
          <t>17</t>
        </is>
      </c>
      <c r="B207" s="2" t="inlineStr">
        <is>
          <t>NT10b</t>
        </is>
      </c>
      <c r="C207" s="2" t="inlineStr">
        <is>
          <t>Tổng N</t>
        </is>
      </c>
      <c r="D207" s="2" t="n">
        <v>4</v>
      </c>
      <c r="E207" s="2" t="inlineStr">
        <is>
          <t>Nội nghiệp</t>
        </is>
      </c>
      <c r="F207" s="2" t="inlineStr">
        <is>
          <t>1QTVTNMT hạng III.2</t>
        </is>
      </c>
      <c r="G207" s="2" t="n">
        <v>0.62</v>
      </c>
      <c r="H207" s="2" t="n">
        <v>1</v>
      </c>
      <c r="I207" s="2">
        <f>G207*H207</f>
        <v/>
      </c>
      <c r="J207" s="2">
        <f>D207*I207</f>
        <v/>
      </c>
    </row>
    <row r="208">
      <c r="A208" s="3" t="inlineStr">
        <is>
          <t>18</t>
        </is>
      </c>
      <c r="B208" s="3" t="inlineStr">
        <is>
          <t>NT10a</t>
        </is>
      </c>
      <c r="C208" s="3" t="inlineStr">
        <is>
          <t>Tổng P</t>
        </is>
      </c>
      <c r="D208" s="3" t="n">
        <v>4</v>
      </c>
      <c r="E208" s="3" t="inlineStr">
        <is>
          <t>Ngoại nghiệp</t>
        </is>
      </c>
      <c r="F208" s="3" t="inlineStr">
        <is>
          <t>1QTVTNMT hạng III.2</t>
        </is>
      </c>
      <c r="G208" s="3" t="n">
        <v>0.2</v>
      </c>
      <c r="H208" s="3" t="n">
        <v>1.2</v>
      </c>
      <c r="I208" s="3">
        <f>G208*H208</f>
        <v/>
      </c>
      <c r="J208" s="3">
        <f>D208*I208</f>
        <v/>
      </c>
    </row>
    <row r="209">
      <c r="A209" s="2" t="inlineStr">
        <is>
          <t>18</t>
        </is>
      </c>
      <c r="B209" s="2" t="inlineStr">
        <is>
          <t>NT10a</t>
        </is>
      </c>
      <c r="C209" s="2" t="inlineStr">
        <is>
          <t>Tổng P</t>
        </is>
      </c>
      <c r="D209" s="2" t="n">
        <v>4</v>
      </c>
      <c r="E209" s="2" t="inlineStr">
        <is>
          <t>Nội nghiệp</t>
        </is>
      </c>
      <c r="F209" s="2" t="inlineStr">
        <is>
          <t>1QTVTNMT hạng III.2</t>
        </is>
      </c>
      <c r="G209" s="2" t="n">
        <v>0.62</v>
      </c>
      <c r="H209" s="2" t="n">
        <v>1</v>
      </c>
      <c r="I209" s="2">
        <f>G209*H209</f>
        <v/>
      </c>
      <c r="J209" s="2">
        <f>D209*I209</f>
        <v/>
      </c>
    </row>
    <row r="210">
      <c r="A210" s="3" t="inlineStr">
        <is>
          <t>19</t>
        </is>
      </c>
      <c r="B210" s="3" t="inlineStr">
        <is>
          <t>NT10j</t>
        </is>
      </c>
      <c r="C210" s="3" t="inlineStr">
        <is>
          <t>Clo dư</t>
        </is>
      </c>
      <c r="D210" s="3" t="n">
        <v>4</v>
      </c>
      <c r="E210" s="3" t="inlineStr">
        <is>
          <t>Ngoại nghiệp</t>
        </is>
      </c>
      <c r="F210" s="3" t="inlineStr">
        <is>
          <t>1QTVTNMT hạng III.2</t>
        </is>
      </c>
      <c r="G210" s="3" t="n">
        <v>0.2</v>
      </c>
      <c r="H210" s="3" t="n">
        <v>1.2</v>
      </c>
      <c r="I210" s="3">
        <f>G210*H210</f>
        <v/>
      </c>
      <c r="J210" s="3">
        <f>D210*I210</f>
        <v/>
      </c>
    </row>
    <row r="211">
      <c r="A211" s="2" t="inlineStr">
        <is>
          <t>19</t>
        </is>
      </c>
      <c r="B211" s="2" t="inlineStr">
        <is>
          <t>NT10j</t>
        </is>
      </c>
      <c r="C211" s="2" t="inlineStr">
        <is>
          <t>Clo dư</t>
        </is>
      </c>
      <c r="D211" s="2" t="n">
        <v>4</v>
      </c>
      <c r="E211" s="2" t="inlineStr">
        <is>
          <t>Nội nghiệp</t>
        </is>
      </c>
      <c r="F211" s="2" t="inlineStr">
        <is>
          <t>1QTVTNMT hạng III.2</t>
        </is>
      </c>
      <c r="G211" s="2" t="n">
        <v>1</v>
      </c>
      <c r="H211" s="2" t="n">
        <v>1</v>
      </c>
      <c r="I211" s="2">
        <f>G211*H211</f>
        <v/>
      </c>
      <c r="J211" s="2">
        <f>D211*I211</f>
        <v/>
      </c>
    </row>
    <row r="212">
      <c r="A212" s="3" t="inlineStr">
        <is>
          <t>20</t>
        </is>
      </c>
      <c r="B212" s="3" t="inlineStr">
        <is>
          <t>NT7a</t>
        </is>
      </c>
      <c r="C212" s="3" t="inlineStr">
        <is>
          <t>Coliform</t>
        </is>
      </c>
      <c r="D212" s="3" t="n">
        <v>4</v>
      </c>
      <c r="E212" s="3" t="inlineStr">
        <is>
          <t>Ngoại nghiệp</t>
        </is>
      </c>
      <c r="F212" s="3" t="inlineStr">
        <is>
          <t>1QTVTNMT hạng III.2</t>
        </is>
      </c>
      <c r="G212" s="3" t="n">
        <v>0.2</v>
      </c>
      <c r="H212" s="3" t="n">
        <v>1.2</v>
      </c>
      <c r="I212" s="3">
        <f>G212*H212</f>
        <v/>
      </c>
      <c r="J212" s="3">
        <f>D212*I212</f>
        <v/>
      </c>
    </row>
    <row r="213">
      <c r="A213" s="2" t="inlineStr">
        <is>
          <t>1</t>
        </is>
      </c>
      <c r="B213" s="2" t="inlineStr">
        <is>
          <t>KT9c</t>
        </is>
      </c>
      <c r="C213" s="2" t="inlineStr">
        <is>
          <t>Amoniac</t>
        </is>
      </c>
      <c r="D213" s="2" t="n">
        <v>4</v>
      </c>
      <c r="E213" s="2" t="inlineStr">
        <is>
          <t>Ngoại nghiệp</t>
        </is>
      </c>
      <c r="F213" s="2" t="inlineStr">
        <is>
          <t>1QTVTNMT hạng III.3</t>
        </is>
      </c>
      <c r="G213" s="2" t="n">
        <v>0.75</v>
      </c>
      <c r="H213" s="2" t="n">
        <v>1.2</v>
      </c>
      <c r="I213" s="2">
        <f>G213*H213</f>
        <v/>
      </c>
      <c r="J213" s="2">
        <f>D213*I213</f>
        <v/>
      </c>
    </row>
    <row r="214">
      <c r="A214" s="3" t="inlineStr">
        <is>
          <t>1</t>
        </is>
      </c>
      <c r="B214" s="3" t="inlineStr">
        <is>
          <t>KT9c</t>
        </is>
      </c>
      <c r="C214" s="3" t="inlineStr">
        <is>
          <t>Amoniac</t>
        </is>
      </c>
      <c r="D214" s="3" t="n">
        <v>4</v>
      </c>
      <c r="E214" s="3" t="inlineStr">
        <is>
          <t>Nội nghiệp</t>
        </is>
      </c>
      <c r="F214" s="3" t="inlineStr">
        <is>
          <t>1QTVTNMT hạng III.2</t>
        </is>
      </c>
      <c r="G214" s="3" t="n">
        <v>0.8</v>
      </c>
      <c r="H214" s="3" t="n">
        <v>1</v>
      </c>
      <c r="I214" s="3">
        <f>G214*H214</f>
        <v/>
      </c>
      <c r="J214" s="3">
        <f>D214*I214</f>
        <v/>
      </c>
    </row>
    <row r="215">
      <c r="A215" s="2" t="inlineStr">
        <is>
          <t>1</t>
        </is>
      </c>
      <c r="B215" s="2" t="inlineStr">
        <is>
          <t>KK1a</t>
        </is>
      </c>
      <c r="C215" s="2" t="inlineStr">
        <is>
          <t>Nhiệt độ</t>
        </is>
      </c>
      <c r="D215" s="2" t="n">
        <v>10</v>
      </c>
      <c r="E215" s="2" t="inlineStr">
        <is>
          <t>Ngoại nghiệp</t>
        </is>
      </c>
      <c r="F215" s="2" t="inlineStr">
        <is>
          <t>1QTVTNMT hạng IV.2</t>
        </is>
      </c>
      <c r="G215" s="2" t="n">
        <v>0.22</v>
      </c>
      <c r="H215" s="2" t="n">
        <v>1.2</v>
      </c>
      <c r="I215" s="2">
        <f>G215*H215</f>
        <v/>
      </c>
      <c r="J215" s="2">
        <f>D215*I215</f>
        <v/>
      </c>
    </row>
    <row r="216">
      <c r="A216" s="3" t="inlineStr">
        <is>
          <t>2</t>
        </is>
      </c>
      <c r="B216" s="3" t="inlineStr">
        <is>
          <t>KK1b</t>
        </is>
      </c>
      <c r="C216" s="3" t="inlineStr">
        <is>
          <t>Độ ẩm</t>
        </is>
      </c>
      <c r="D216" s="3" t="n">
        <v>10</v>
      </c>
      <c r="E216" s="3" t="inlineStr">
        <is>
          <t>Ngoại nghiệp</t>
        </is>
      </c>
      <c r="F216" s="3" t="inlineStr">
        <is>
          <t>1QTVTNMT hạng IV.2</t>
        </is>
      </c>
      <c r="G216" s="3" t="n">
        <v>0.22</v>
      </c>
      <c r="H216" s="3" t="n">
        <v>1.2</v>
      </c>
      <c r="I216" s="3">
        <f>G216*H216</f>
        <v/>
      </c>
      <c r="J216" s="3">
        <f>D216*I216</f>
        <v/>
      </c>
    </row>
    <row r="217">
      <c r="A217" s="2" t="inlineStr">
        <is>
          <t>3</t>
        </is>
      </c>
      <c r="B217" s="2" t="inlineStr">
        <is>
          <t>KK2b</t>
        </is>
      </c>
      <c r="C217" s="2" t="inlineStr">
        <is>
          <t>Hướng gió</t>
        </is>
      </c>
      <c r="D217" s="2" t="n">
        <v>10</v>
      </c>
      <c r="E217" s="2" t="inlineStr">
        <is>
          <t>Ngoại nghiệp</t>
        </is>
      </c>
      <c r="F217" s="2" t="inlineStr">
        <is>
          <t>1QTVTNMT hạng IV.2</t>
        </is>
      </c>
      <c r="G217" s="2" t="n">
        <v>0.22</v>
      </c>
      <c r="H217" s="2" t="n">
        <v>1.2</v>
      </c>
      <c r="I217" s="2">
        <f>G217*H217</f>
        <v/>
      </c>
      <c r="J217" s="2">
        <f>D217*I217</f>
        <v/>
      </c>
    </row>
    <row r="218">
      <c r="A218" s="3" t="inlineStr">
        <is>
          <t>4</t>
        </is>
      </c>
      <c r="B218" s="3" t="inlineStr">
        <is>
          <t>KK2a</t>
        </is>
      </c>
      <c r="C218" s="3" t="inlineStr">
        <is>
          <t>Tốc độ gió</t>
        </is>
      </c>
      <c r="D218" s="3" t="n">
        <v>10</v>
      </c>
      <c r="E218" s="3" t="inlineStr">
        <is>
          <t>Ngoại nghiệp</t>
        </is>
      </c>
      <c r="F218" s="3" t="inlineStr">
        <is>
          <t>1QTVTNMT hạng IV.2</t>
        </is>
      </c>
      <c r="G218" s="3" t="n">
        <v>0.22</v>
      </c>
      <c r="H218" s="3" t="n">
        <v>1.2</v>
      </c>
      <c r="I218" s="3">
        <f>G218*H218</f>
        <v/>
      </c>
      <c r="J218" s="3">
        <f>D218*I218</f>
        <v/>
      </c>
    </row>
    <row r="219">
      <c r="A219" s="2" t="inlineStr">
        <is>
          <t>5</t>
        </is>
      </c>
      <c r="B219" s="2" t="inlineStr">
        <is>
          <t>TO1a</t>
        </is>
      </c>
      <c r="C219" s="2" t="inlineStr">
        <is>
          <t>Tiếng ồn</t>
        </is>
      </c>
      <c r="D219" s="2" t="n">
        <v>10</v>
      </c>
      <c r="E219" s="2" t="inlineStr">
        <is>
          <t>Ngoại nghiệp</t>
        </is>
      </c>
      <c r="F219" s="2" t="inlineStr">
        <is>
          <t>1QTVTNMT hạng IV.2</t>
        </is>
      </c>
      <c r="G219" s="2" t="n">
        <v>0.3</v>
      </c>
      <c r="H219" s="2" t="n">
        <v>1.2</v>
      </c>
      <c r="I219" s="2">
        <f>G219*H219</f>
        <v/>
      </c>
      <c r="J219" s="2">
        <f>D219*I219</f>
        <v/>
      </c>
    </row>
    <row r="220">
      <c r="A220" s="3" t="inlineStr">
        <is>
          <t>5</t>
        </is>
      </c>
      <c r="B220" s="3" t="inlineStr">
        <is>
          <t>TO1a</t>
        </is>
      </c>
      <c r="C220" s="3" t="inlineStr">
        <is>
          <t>Tiếng ồn</t>
        </is>
      </c>
      <c r="D220" s="3" t="n">
        <v>10</v>
      </c>
      <c r="E220" s="3" t="inlineStr">
        <is>
          <t>Nội nghiệp</t>
        </is>
      </c>
      <c r="F220" s="3" t="inlineStr">
        <is>
          <t>1QTVTNMT hạng III.2</t>
        </is>
      </c>
      <c r="G220" s="3" t="n">
        <v>0.2</v>
      </c>
      <c r="H220" s="3" t="n">
        <v>1</v>
      </c>
      <c r="I220" s="3">
        <f>G220*H220</f>
        <v/>
      </c>
      <c r="J220" s="3">
        <f>D220*I220</f>
        <v/>
      </c>
    </row>
    <row r="221">
      <c r="A221" s="2" t="inlineStr">
        <is>
          <t>6</t>
        </is>
      </c>
      <c r="B221" s="2" t="inlineStr">
        <is>
          <t>ĐR01</t>
        </is>
      </c>
      <c r="C221" s="2" t="inlineStr">
        <is>
          <t>Độ rung</t>
        </is>
      </c>
      <c r="D221" s="2" t="n">
        <v>10</v>
      </c>
      <c r="E221" s="2" t="inlineStr">
        <is>
          <t>Ngoại nghiệp</t>
        </is>
      </c>
      <c r="F221" s="2" t="inlineStr">
        <is>
          <t>1QTVTNMT hạng IV.2</t>
        </is>
      </c>
      <c r="G221" s="2" t="n">
        <v>0.45</v>
      </c>
      <c r="H221" s="2" t="n">
        <v>1.2</v>
      </c>
      <c r="I221" s="2">
        <f>G221*H221</f>
        <v/>
      </c>
      <c r="J221" s="2">
        <f>D221*I221</f>
        <v/>
      </c>
    </row>
    <row r="222">
      <c r="A222" s="3" t="inlineStr">
        <is>
          <t>6</t>
        </is>
      </c>
      <c r="B222" s="3" t="inlineStr">
        <is>
          <t>ĐR01</t>
        </is>
      </c>
      <c r="C222" s="3" t="inlineStr">
        <is>
          <t>Độ rung</t>
        </is>
      </c>
      <c r="D222" s="3" t="n">
        <v>10</v>
      </c>
      <c r="E222" s="3" t="inlineStr">
        <is>
          <t>Nội nghiệp</t>
        </is>
      </c>
      <c r="F222" s="3" t="inlineStr">
        <is>
          <t>1QTVTNMT hạng III.2</t>
        </is>
      </c>
      <c r="G222" s="3" t="n">
        <v>0.2</v>
      </c>
      <c r="H222" s="3" t="n">
        <v>1</v>
      </c>
      <c r="I222" s="3">
        <f>G222*H222</f>
        <v/>
      </c>
      <c r="J222" s="3">
        <f>D222*I222</f>
        <v/>
      </c>
    </row>
    <row r="223">
      <c r="A223" s="2" t="inlineStr">
        <is>
          <t>7</t>
        </is>
      </c>
      <c r="B223" s="2" t="inlineStr">
        <is>
          <t>KK4a</t>
        </is>
      </c>
      <c r="C223" s="2" t="inlineStr">
        <is>
          <t>Tổng bụi lơ lửng</t>
        </is>
      </c>
      <c r="D223" s="2" t="n">
        <v>10</v>
      </c>
      <c r="E223" s="2" t="inlineStr">
        <is>
          <t>Ngoại nghiệp</t>
        </is>
      </c>
      <c r="F223" s="2" t="inlineStr">
        <is>
          <t>1QTVTNMT hạng III.2</t>
        </is>
      </c>
      <c r="G223" s="2" t="n">
        <v>0.7</v>
      </c>
      <c r="H223" s="2" t="n">
        <v>1.2</v>
      </c>
      <c r="I223" s="2">
        <f>G223*H223</f>
        <v/>
      </c>
      <c r="J223" s="2">
        <f>D223*I223</f>
        <v/>
      </c>
    </row>
    <row r="224">
      <c r="A224" s="3" t="inlineStr">
        <is>
          <t>7</t>
        </is>
      </c>
      <c r="B224" s="3" t="inlineStr">
        <is>
          <t>KK4a</t>
        </is>
      </c>
      <c r="C224" s="3" t="inlineStr">
        <is>
          <t>Tổng bụi lơ lửng</t>
        </is>
      </c>
      <c r="D224" s="3" t="n">
        <v>10</v>
      </c>
      <c r="E224" s="3" t="inlineStr">
        <is>
          <t>Nội nghiệp</t>
        </is>
      </c>
      <c r="F224" s="3" t="inlineStr">
        <is>
          <t>1QTVTNMT hạng III.1</t>
        </is>
      </c>
      <c r="G224" s="3" t="n">
        <v>0.2</v>
      </c>
      <c r="H224" s="3" t="n">
        <v>1</v>
      </c>
      <c r="I224" s="3">
        <f>G224*H224</f>
        <v/>
      </c>
      <c r="J224" s="3">
        <f>D224*I224</f>
        <v/>
      </c>
    </row>
    <row r="225">
      <c r="A225" s="2" t="inlineStr">
        <is>
          <t>8</t>
        </is>
      </c>
      <c r="B225" s="2" t="inlineStr">
        <is>
          <t>KK4c</t>
        </is>
      </c>
      <c r="C225" s="2" t="inlineStr">
        <is>
          <t>Bụi PM10</t>
        </is>
      </c>
      <c r="D225" s="2" t="n">
        <v>10</v>
      </c>
      <c r="E225" s="2" t="inlineStr">
        <is>
          <t>Ngoại nghiệp</t>
        </is>
      </c>
      <c r="F225" s="2" t="inlineStr">
        <is>
          <t>1QTVTNMT hạng III.3</t>
        </is>
      </c>
      <c r="G225" s="2" t="n">
        <v>1.5</v>
      </c>
      <c r="H225" s="2" t="n">
        <v>1.2</v>
      </c>
      <c r="I225" s="2">
        <f>G225*H225</f>
        <v/>
      </c>
      <c r="J225" s="2">
        <f>D225*I225</f>
        <v/>
      </c>
    </row>
    <row r="226">
      <c r="A226" s="3" t="inlineStr">
        <is>
          <t>8</t>
        </is>
      </c>
      <c r="B226" s="3" t="inlineStr">
        <is>
          <t>KK4c</t>
        </is>
      </c>
      <c r="C226" s="3" t="inlineStr">
        <is>
          <t>Bụi PM10</t>
        </is>
      </c>
      <c r="D226" s="3" t="n">
        <v>10</v>
      </c>
      <c r="E226" s="3" t="inlineStr">
        <is>
          <t>Nội nghiệp</t>
        </is>
      </c>
      <c r="F226" s="3" t="inlineStr">
        <is>
          <t>1QTVTNMT hạng III.1</t>
        </is>
      </c>
      <c r="G226" s="3" t="n">
        <v>0.2</v>
      </c>
      <c r="H226" s="3" t="n">
        <v>1</v>
      </c>
      <c r="I226" s="3">
        <f>G226*H226</f>
        <v/>
      </c>
      <c r="J226" s="3">
        <f>D226*I226</f>
        <v/>
      </c>
    </row>
    <row r="227">
      <c r="A227" s="2" t="inlineStr">
        <is>
          <t>9</t>
        </is>
      </c>
      <c r="B227" s="2" t="inlineStr">
        <is>
          <t>KK7</t>
        </is>
      </c>
      <c r="C227" s="2" t="inlineStr">
        <is>
          <t>SO 2</t>
        </is>
      </c>
      <c r="D227" s="2" t="n">
        <v>10</v>
      </c>
      <c r="E227" s="2" t="inlineStr">
        <is>
          <t>Ngoại nghiệp</t>
        </is>
      </c>
      <c r="F227" s="2" t="inlineStr">
        <is>
          <t>1QTVTNMT hạng III.2</t>
        </is>
      </c>
      <c r="G227" s="2" t="n">
        <v>0.45</v>
      </c>
      <c r="H227" s="2" t="n">
        <v>1.2</v>
      </c>
      <c r="I227" s="2">
        <f>G227*H227</f>
        <v/>
      </c>
      <c r="J227" s="2">
        <f>D227*I227</f>
        <v/>
      </c>
    </row>
    <row r="228">
      <c r="A228" s="3" t="inlineStr">
        <is>
          <t>9</t>
        </is>
      </c>
      <c r="B228" s="3" t="inlineStr">
        <is>
          <t>KK7</t>
        </is>
      </c>
      <c r="C228" s="3" t="inlineStr">
        <is>
          <t>SO 2</t>
        </is>
      </c>
      <c r="D228" s="3" t="n">
        <v>10</v>
      </c>
      <c r="E228" s="3" t="inlineStr">
        <is>
          <t>Nội nghiệp</t>
        </is>
      </c>
      <c r="F228" s="3" t="inlineStr">
        <is>
          <t>1QTVTNMT hạng III.2</t>
        </is>
      </c>
      <c r="G228" s="3" t="n">
        <v>0.5</v>
      </c>
      <c r="H228" s="3" t="n">
        <v>1</v>
      </c>
      <c r="I228" s="3">
        <f>G228*H228</f>
        <v/>
      </c>
      <c r="J228" s="3">
        <f>D228*I228</f>
        <v/>
      </c>
    </row>
    <row r="229">
      <c r="A229" s="2" t="inlineStr">
        <is>
          <t>10</t>
        </is>
      </c>
      <c r="B229" s="2" t="inlineStr">
        <is>
          <t>KK6</t>
        </is>
      </c>
      <c r="C229" s="2" t="inlineStr">
        <is>
          <t>NO 2</t>
        </is>
      </c>
      <c r="D229" s="2" t="n">
        <v>10</v>
      </c>
      <c r="E229" s="2" t="inlineStr">
        <is>
          <t>Ngoại nghiệp</t>
        </is>
      </c>
      <c r="F229" s="2" t="inlineStr">
        <is>
          <t>1QTVTNMT hạng III.2</t>
        </is>
      </c>
      <c r="G229" s="2" t="n">
        <v>0.45</v>
      </c>
      <c r="H229" s="2" t="n">
        <v>1.2</v>
      </c>
      <c r="I229" s="2">
        <f>G229*H229</f>
        <v/>
      </c>
      <c r="J229" s="2">
        <f>D229*I229</f>
        <v/>
      </c>
    </row>
    <row r="230">
      <c r="A230" s="3" t="inlineStr">
        <is>
          <t>10</t>
        </is>
      </c>
      <c r="B230" s="3" t="inlineStr">
        <is>
          <t>KK6</t>
        </is>
      </c>
      <c r="C230" s="3" t="inlineStr">
        <is>
          <t>NO 2</t>
        </is>
      </c>
      <c r="D230" s="3" t="n">
        <v>10</v>
      </c>
      <c r="E230" s="3" t="inlineStr">
        <is>
          <t>Nội nghiệp</t>
        </is>
      </c>
      <c r="F230" s="3" t="inlineStr">
        <is>
          <t>1QTVTNMT hạng III.2</t>
        </is>
      </c>
      <c r="G230" s="3" t="n">
        <v>0.5</v>
      </c>
      <c r="H230" s="3" t="n">
        <v>1</v>
      </c>
      <c r="I230" s="3">
        <f>G230*H230</f>
        <v/>
      </c>
      <c r="J230" s="3">
        <f>D230*I230</f>
        <v/>
      </c>
    </row>
    <row r="231">
      <c r="A231" s="2" t="inlineStr">
        <is>
          <t>11</t>
        </is>
      </c>
      <c r="B231" s="2" t="inlineStr">
        <is>
          <t>KK5a</t>
        </is>
      </c>
      <c r="C231" s="2" t="inlineStr">
        <is>
          <t>CO</t>
        </is>
      </c>
      <c r="D231" s="2" t="n">
        <v>10</v>
      </c>
      <c r="E231" s="2" t="inlineStr">
        <is>
          <t>Ngoại nghiệp</t>
        </is>
      </c>
      <c r="F231" s="2" t="inlineStr">
        <is>
          <t>1QTVTNMT hạng III.2</t>
        </is>
      </c>
      <c r="G231" s="2" t="n">
        <v>0.45</v>
      </c>
      <c r="H231" s="2" t="n">
        <v>1.2</v>
      </c>
      <c r="I231" s="2">
        <f>G231*H231</f>
        <v/>
      </c>
      <c r="J231" s="2">
        <f>D231*I231</f>
        <v/>
      </c>
    </row>
    <row r="232">
      <c r="A232" s="3" t="inlineStr">
        <is>
          <t>11</t>
        </is>
      </c>
      <c r="B232" s="3" t="inlineStr">
        <is>
          <t>KK5a</t>
        </is>
      </c>
      <c r="C232" s="3" t="inlineStr">
        <is>
          <t>CO</t>
        </is>
      </c>
      <c r="D232" s="3" t="n">
        <v>10</v>
      </c>
      <c r="E232" s="3" t="inlineStr">
        <is>
          <t>Nội nghiệp</t>
        </is>
      </c>
      <c r="F232" s="3" t="inlineStr">
        <is>
          <t>1QTVTNMT hạng III.3</t>
        </is>
      </c>
      <c r="G232" s="3" t="n">
        <v>0.5</v>
      </c>
      <c r="H232" s="3" t="n">
        <v>1</v>
      </c>
      <c r="I232" s="3">
        <f>G232*H232</f>
        <v/>
      </c>
      <c r="J232" s="3">
        <f>D232*I232</f>
        <v/>
      </c>
    </row>
    <row r="233">
      <c r="A233" s="2" t="inlineStr">
        <is>
          <t>1</t>
        </is>
      </c>
      <c r="B233" s="2" t="inlineStr">
        <is>
          <t>KT16</t>
        </is>
      </c>
      <c r="C233" s="2" t="inlineStr">
        <is>
          <t>Lưu lượng</t>
        </is>
      </c>
      <c r="D233" s="2" t="n">
        <v>8</v>
      </c>
      <c r="E233" s="2" t="inlineStr">
        <is>
          <t>Ngoại nghiệp</t>
        </is>
      </c>
      <c r="F233" s="2" t="inlineStr">
        <is>
          <t>1QTVTNMT hạng III.4</t>
        </is>
      </c>
      <c r="G233" s="2" t="n">
        <v>1</v>
      </c>
      <c r="H233" s="2" t="n">
        <v>1.2</v>
      </c>
      <c r="I233" s="2">
        <f>G233*H233</f>
        <v/>
      </c>
      <c r="J233" s="2">
        <f>D233*I233</f>
        <v/>
      </c>
    </row>
    <row r="234">
      <c r="A234" s="3" t="inlineStr">
        <is>
          <t>2</t>
        </is>
      </c>
      <c r="B234" s="3" t="inlineStr">
        <is>
          <t>KT4</t>
        </is>
      </c>
      <c r="C234" s="3" t="inlineStr">
        <is>
          <t>Nhiệt độ</t>
        </is>
      </c>
      <c r="D234" s="3" t="n">
        <v>8</v>
      </c>
      <c r="E234" s="3" t="inlineStr">
        <is>
          <t>Ngoại nghiệp</t>
        </is>
      </c>
      <c r="F234" s="3" t="inlineStr">
        <is>
          <t>1QTVTNMT hạng III.3</t>
        </is>
      </c>
      <c r="G234" s="3" t="n">
        <v>0.55</v>
      </c>
      <c r="H234" s="3" t="n">
        <v>1.2</v>
      </c>
      <c r="I234" s="3">
        <f>G234*H234</f>
        <v/>
      </c>
      <c r="J234" s="3">
        <f>D234*I234</f>
        <v/>
      </c>
    </row>
    <row r="235">
      <c r="A235" s="2" t="inlineStr">
        <is>
          <t>3</t>
        </is>
      </c>
      <c r="B235" s="2" t="inlineStr">
        <is>
          <t>KT10a</t>
        </is>
      </c>
      <c r="C235" s="2" t="inlineStr">
        <is>
          <t>Bụi tổng</t>
        </is>
      </c>
      <c r="D235" s="2" t="n">
        <v>8</v>
      </c>
      <c r="E235" s="2" t="inlineStr">
        <is>
          <t>Ngoại nghiệp</t>
        </is>
      </c>
      <c r="F235" s="2" t="inlineStr">
        <is>
          <t>1QTVTNMT hạng III.4</t>
        </is>
      </c>
      <c r="G235" s="2" t="n">
        <v>4</v>
      </c>
      <c r="H235" s="2" t="n">
        <v>1.2</v>
      </c>
      <c r="I235" s="2">
        <f>G235*H235</f>
        <v/>
      </c>
      <c r="J235" s="2">
        <f>D235*I235</f>
        <v/>
      </c>
    </row>
    <row r="236">
      <c r="A236" s="3" t="inlineStr">
        <is>
          <t>3</t>
        </is>
      </c>
      <c r="B236" s="3" t="inlineStr">
        <is>
          <t>KT10a</t>
        </is>
      </c>
      <c r="C236" s="3" t="inlineStr">
        <is>
          <t>Bụi tổng</t>
        </is>
      </c>
      <c r="D236" s="3" t="n">
        <v>8</v>
      </c>
      <c r="E236" s="3" t="inlineStr">
        <is>
          <t>Nội nghiệp</t>
        </is>
      </c>
      <c r="F236" s="3" t="inlineStr">
        <is>
          <t>1QTVTNMT hạng III.2</t>
        </is>
      </c>
      <c r="G236" s="3" t="n">
        <v>0.8</v>
      </c>
      <c r="H236" s="3" t="n">
        <v>1</v>
      </c>
      <c r="I236" s="3">
        <f>G236*H236</f>
        <v/>
      </c>
      <c r="J236" s="3">
        <f>D236*I236</f>
        <v/>
      </c>
    </row>
    <row r="237">
      <c r="A237" s="2" t="inlineStr">
        <is>
          <t>4</t>
        </is>
      </c>
      <c r="B237" s="2" t="inlineStr">
        <is>
          <t>KT9b</t>
        </is>
      </c>
      <c r="C237" s="2" t="inlineStr">
        <is>
          <t>CO</t>
        </is>
      </c>
      <c r="D237" s="2" t="n">
        <v>8</v>
      </c>
      <c r="E237" s="2" t="inlineStr">
        <is>
          <t>Ngoại nghiệp</t>
        </is>
      </c>
      <c r="F237" s="2" t="inlineStr">
        <is>
          <t>1QTVTNMT hạng III.3</t>
        </is>
      </c>
      <c r="G237" s="2" t="n">
        <v>0.75</v>
      </c>
      <c r="H237" s="2" t="n">
        <v>1.2</v>
      </c>
      <c r="I237" s="2">
        <f>G237*H237</f>
        <v/>
      </c>
      <c r="J237" s="2">
        <f>D237*I237</f>
        <v/>
      </c>
    </row>
    <row r="238">
      <c r="A238" s="3" t="inlineStr">
        <is>
          <t>4</t>
        </is>
      </c>
      <c r="B238" s="3" t="inlineStr">
        <is>
          <t>KT9b</t>
        </is>
      </c>
      <c r="C238" s="3" t="inlineStr">
        <is>
          <t>CO</t>
        </is>
      </c>
      <c r="D238" s="3" t="n">
        <v>8</v>
      </c>
      <c r="E238" s="3" t="inlineStr">
        <is>
          <t>Nội nghiệp</t>
        </is>
      </c>
      <c r="F238" s="3" t="inlineStr">
        <is>
          <t>1QTVTNMT hạng III.2</t>
        </is>
      </c>
      <c r="G238" s="3" t="n">
        <v>0.8</v>
      </c>
      <c r="H238" s="3" t="n">
        <v>1</v>
      </c>
      <c r="I238" s="3">
        <f>G238*H238</f>
        <v/>
      </c>
      <c r="J238" s="3">
        <f>D238*I238</f>
        <v/>
      </c>
    </row>
    <row r="239">
      <c r="A239" s="2" t="inlineStr">
        <is>
          <t>5</t>
        </is>
      </c>
      <c r="B239" s="2" t="inlineStr">
        <is>
          <t>KT9e</t>
        </is>
      </c>
      <c r="C239" s="2" t="inlineStr">
        <is>
          <t>NOx (tính theo NO2)</t>
        </is>
      </c>
      <c r="D239" s="2" t="n">
        <v>8</v>
      </c>
      <c r="E239" s="2" t="inlineStr">
        <is>
          <t>Ngoại nghiệp</t>
        </is>
      </c>
      <c r="F239" s="2" t="inlineStr">
        <is>
          <t>1QTVTNMT hạng III.3</t>
        </is>
      </c>
      <c r="G239" s="2" t="n">
        <v>0.7</v>
      </c>
      <c r="H239" s="2" t="n">
        <v>1.2</v>
      </c>
      <c r="I239" s="2">
        <f>G239*H239</f>
        <v/>
      </c>
      <c r="J239" s="2">
        <f>D239*I239</f>
        <v/>
      </c>
    </row>
    <row r="240">
      <c r="A240" s="3" t="inlineStr">
        <is>
          <t>5</t>
        </is>
      </c>
      <c r="B240" s="3" t="inlineStr">
        <is>
          <t>KT9e</t>
        </is>
      </c>
      <c r="C240" s="3" t="inlineStr">
        <is>
          <t>NOx (tính theo NO2)</t>
        </is>
      </c>
      <c r="D240" s="3" t="n">
        <v>8</v>
      </c>
      <c r="E240" s="3" t="inlineStr">
        <is>
          <t>Nội nghiệp</t>
        </is>
      </c>
      <c r="F240" s="3" t="inlineStr">
        <is>
          <t>1QTVTNMT hạng III.2</t>
        </is>
      </c>
      <c r="G240" s="3" t="n">
        <v>0.8</v>
      </c>
      <c r="H240" s="3" t="n">
        <v>1</v>
      </c>
      <c r="I240" s="3">
        <f>G240*H240</f>
        <v/>
      </c>
      <c r="J240" s="3">
        <f>D240*I240</f>
        <v/>
      </c>
    </row>
    <row r="241">
      <c r="A241" s="2" t="inlineStr">
        <is>
          <t>6</t>
        </is>
      </c>
      <c r="B241" s="2" t="inlineStr">
        <is>
          <t>KT9đ</t>
        </is>
      </c>
      <c r="C241" s="2" t="inlineStr">
        <is>
          <t>SO 2</t>
        </is>
      </c>
      <c r="D241" s="2" t="n">
        <v>8</v>
      </c>
      <c r="E241" s="2" t="inlineStr">
        <is>
          <t>Ngoại nghiệp</t>
        </is>
      </c>
      <c r="F241" s="2" t="inlineStr">
        <is>
          <t>1QTVTNMT hạng III.3</t>
        </is>
      </c>
      <c r="G241" s="2" t="n">
        <v>0.75</v>
      </c>
      <c r="H241" s="2" t="n">
        <v>1.2</v>
      </c>
      <c r="I241" s="2">
        <f>G241*H241</f>
        <v/>
      </c>
      <c r="J241" s="2">
        <f>D241*I241</f>
        <v/>
      </c>
    </row>
    <row r="242">
      <c r="A242" s="3" t="inlineStr">
        <is>
          <t>7</t>
        </is>
      </c>
      <c r="B242" s="3" t="inlineStr">
        <is>
          <t>KT9a</t>
        </is>
      </c>
      <c r="C242" s="3" t="inlineStr">
        <is>
          <t>O2</t>
        </is>
      </c>
      <c r="D242" s="3" t="n">
        <v>8</v>
      </c>
      <c r="E242" s="3" t="inlineStr">
        <is>
          <t>Ngoại nghiệp</t>
        </is>
      </c>
      <c r="F242" s="3" t="inlineStr">
        <is>
          <t>1QTVTNMT hạng III.3</t>
        </is>
      </c>
      <c r="G242" s="3" t="n">
        <v>0.75</v>
      </c>
      <c r="H242" s="3" t="n">
        <v>1.2</v>
      </c>
      <c r="I242" s="3">
        <f>G242*H242</f>
        <v/>
      </c>
      <c r="J242" s="3">
        <f>D242*I242</f>
        <v/>
      </c>
    </row>
    <row r="243">
      <c r="A243" s="2" t="inlineStr">
        <is>
          <t>1</t>
        </is>
      </c>
      <c r="B243" s="2" t="inlineStr">
        <is>
          <t>NT1</t>
        </is>
      </c>
      <c r="C243" s="2" t="inlineStr">
        <is>
          <t>Nhiệt độ</t>
        </is>
      </c>
      <c r="D243" s="2" t="n">
        <v>8</v>
      </c>
      <c r="E243" s="2" t="inlineStr">
        <is>
          <t>Ngoại nghiệp</t>
        </is>
      </c>
      <c r="F243" s="2" t="inlineStr">
        <is>
          <t>1QTVTNMT hạng III.1</t>
        </is>
      </c>
      <c r="G243" s="2" t="n">
        <v>0.2</v>
      </c>
      <c r="H243" s="2" t="n">
        <v>1.2</v>
      </c>
      <c r="I243" s="2">
        <f>G243*H243</f>
        <v/>
      </c>
      <c r="J243" s="2">
        <f>D243*I243</f>
        <v/>
      </c>
    </row>
    <row r="244">
      <c r="A244" s="3" t="inlineStr">
        <is>
          <t>2</t>
        </is>
      </c>
      <c r="B244" s="3" t="inlineStr">
        <is>
          <t>NT2</t>
        </is>
      </c>
      <c r="C244" s="3" t="inlineStr">
        <is>
          <t>pH</t>
        </is>
      </c>
      <c r="D244" s="3" t="n">
        <v>8</v>
      </c>
      <c r="E244" s="3" t="inlineStr">
        <is>
          <t>Ngoại nghiệp</t>
        </is>
      </c>
      <c r="F244" s="3" t="inlineStr">
        <is>
          <t>1QTVTNMT hạng III.1</t>
        </is>
      </c>
      <c r="G244" s="3" t="n">
        <v>0.2</v>
      </c>
      <c r="H244" s="3" t="n">
        <v>1.2</v>
      </c>
      <c r="I244" s="3">
        <f>G244*H244</f>
        <v/>
      </c>
      <c r="J244" s="3">
        <f>D244*I244</f>
        <v/>
      </c>
    </row>
    <row r="245">
      <c r="A245" s="2" t="inlineStr">
        <is>
          <t>3</t>
        </is>
      </c>
      <c r="B245" s="2" t="inlineStr">
        <is>
          <t>NT10j</t>
        </is>
      </c>
      <c r="C245" s="2" t="inlineStr">
        <is>
          <t>Clo dư</t>
        </is>
      </c>
      <c r="D245" s="2" t="n">
        <v>8</v>
      </c>
      <c r="E245" s="2" t="inlineStr">
        <is>
          <t>Ngoại nghiệp</t>
        </is>
      </c>
      <c r="F245" s="2" t="inlineStr">
        <is>
          <t>1QTVTNMT hạng III.2</t>
        </is>
      </c>
      <c r="G245" s="2" t="n">
        <v>0.2</v>
      </c>
      <c r="H245" s="2" t="n">
        <v>1.2</v>
      </c>
      <c r="I245" s="2">
        <f>G245*H245</f>
        <v/>
      </c>
      <c r="J245" s="2">
        <f>D245*I245</f>
        <v/>
      </c>
    </row>
    <row r="246">
      <c r="A246" s="3" t="inlineStr">
        <is>
          <t>3</t>
        </is>
      </c>
      <c r="B246" s="3" t="inlineStr">
        <is>
          <t>NT10j</t>
        </is>
      </c>
      <c r="C246" s="3" t="inlineStr">
        <is>
          <t>Clo dư</t>
        </is>
      </c>
      <c r="D246" s="3" t="n">
        <v>8</v>
      </c>
      <c r="E246" s="3" t="inlineStr">
        <is>
          <t>Nội nghiệp</t>
        </is>
      </c>
      <c r="F246" s="3" t="inlineStr">
        <is>
          <t>1QTVTNMT hạng III.2</t>
        </is>
      </c>
      <c r="G246" s="3" t="n">
        <v>1</v>
      </c>
      <c r="H246" s="3" t="n">
        <v>1</v>
      </c>
      <c r="I246" s="3">
        <f>G246*H246</f>
        <v/>
      </c>
      <c r="J246" s="3">
        <f>D246*I246</f>
        <v/>
      </c>
    </row>
    <row r="247">
      <c r="A247" s="2" t="inlineStr">
        <is>
          <t>4</t>
        </is>
      </c>
      <c r="B247" s="2" t="inlineStr">
        <is>
          <t>NT5b</t>
        </is>
      </c>
      <c r="C247" s="2" t="inlineStr">
        <is>
          <t>COD</t>
        </is>
      </c>
      <c r="D247" s="2" t="n">
        <v>8</v>
      </c>
      <c r="E247" s="2" t="inlineStr">
        <is>
          <t>Ngoại nghiệp</t>
        </is>
      </c>
      <c r="F247" s="2" t="inlineStr">
        <is>
          <t>1QTVTNMT hạng III.1</t>
        </is>
      </c>
      <c r="G247" s="2" t="n">
        <v>0.2</v>
      </c>
      <c r="H247" s="2" t="n">
        <v>1.2</v>
      </c>
      <c r="I247" s="2">
        <f>G247*H247</f>
        <v/>
      </c>
      <c r="J247" s="2">
        <f>D247*I247</f>
        <v/>
      </c>
    </row>
    <row r="248">
      <c r="A248" s="3" t="inlineStr">
        <is>
          <t>4</t>
        </is>
      </c>
      <c r="B248" s="3" t="inlineStr">
        <is>
          <t>NT5b</t>
        </is>
      </c>
      <c r="C248" s="3" t="inlineStr">
        <is>
          <t>COD</t>
        </is>
      </c>
      <c r="D248" s="3" t="n">
        <v>8</v>
      </c>
      <c r="E248" s="3" t="inlineStr">
        <is>
          <t>Nội nghiệp</t>
        </is>
      </c>
      <c r="F248" s="3" t="inlineStr">
        <is>
          <t>1QTVTNMT hạng III.1</t>
        </is>
      </c>
      <c r="G248" s="3" t="n">
        <v>0.55</v>
      </c>
      <c r="H248" s="3" t="n">
        <v>1</v>
      </c>
      <c r="I248" s="3">
        <f>G248*H248</f>
        <v/>
      </c>
      <c r="J248" s="3">
        <f>D248*I248</f>
        <v/>
      </c>
    </row>
    <row r="249">
      <c r="A249" s="2" t="inlineStr">
        <is>
          <t>5</t>
        </is>
      </c>
      <c r="B249" s="2" t="inlineStr">
        <is>
          <t>NT6</t>
        </is>
      </c>
      <c r="C249" s="2" t="inlineStr">
        <is>
          <t>TSS</t>
        </is>
      </c>
      <c r="D249" s="2" t="n">
        <v>8</v>
      </c>
      <c r="E249" s="2" t="inlineStr">
        <is>
          <t>Ngoại nghiệp</t>
        </is>
      </c>
      <c r="F249" s="2" t="inlineStr">
        <is>
          <t>1QTVTNMT hạng III.1</t>
        </is>
      </c>
      <c r="G249" s="2" t="n">
        <v>0.2</v>
      </c>
      <c r="H249" s="2" t="n">
        <v>1.2</v>
      </c>
      <c r="I249" s="2">
        <f>G249*H249</f>
        <v/>
      </c>
      <c r="J249" s="2">
        <f>D249*I249</f>
        <v/>
      </c>
    </row>
    <row r="250">
      <c r="A250" s="3" t="inlineStr">
        <is>
          <t>5</t>
        </is>
      </c>
      <c r="B250" s="3" t="inlineStr">
        <is>
          <t>NT6</t>
        </is>
      </c>
      <c r="C250" s="3" t="inlineStr">
        <is>
          <t>TSS</t>
        </is>
      </c>
      <c r="D250" s="3" t="n">
        <v>8</v>
      </c>
      <c r="E250" s="3" t="inlineStr">
        <is>
          <t>Nội nghiệp</t>
        </is>
      </c>
      <c r="F250" s="3" t="inlineStr">
        <is>
          <t>1QTVTNMT hạng III.1</t>
        </is>
      </c>
      <c r="G250" s="3" t="n">
        <v>0.47</v>
      </c>
      <c r="H250" s="3" t="n">
        <v>1</v>
      </c>
      <c r="I250" s="3">
        <f>G250*H250</f>
        <v/>
      </c>
      <c r="J250" s="3">
        <f>D250*I250</f>
        <v/>
      </c>
    </row>
    <row r="251">
      <c r="A251" s="2" t="inlineStr">
        <is>
          <t>1</t>
        </is>
      </c>
      <c r="B251" s="2" t="inlineStr">
        <is>
          <t>NT1</t>
        </is>
      </c>
      <c r="C251" s="2" t="inlineStr">
        <is>
          <t>Nhiệt độ</t>
        </is>
      </c>
      <c r="D251" s="2" t="n">
        <v>8</v>
      </c>
      <c r="E251" s="2" t="inlineStr">
        <is>
          <t>Ngoại nghiệp</t>
        </is>
      </c>
      <c r="F251" s="2" t="inlineStr">
        <is>
          <t>1QTVTNMT hạng III.1</t>
        </is>
      </c>
      <c r="G251" s="2" t="n">
        <v>0.2</v>
      </c>
      <c r="H251" s="2" t="n">
        <v>1.2</v>
      </c>
      <c r="I251" s="2">
        <f>G251*H251</f>
        <v/>
      </c>
      <c r="J251" s="2">
        <f>D251*I251</f>
        <v/>
      </c>
    </row>
    <row r="252">
      <c r="A252" s="3" t="inlineStr">
        <is>
          <t>2</t>
        </is>
      </c>
      <c r="B252" s="3" t="inlineStr">
        <is>
          <t>NT2</t>
        </is>
      </c>
      <c r="C252" s="3" t="inlineStr">
        <is>
          <t>pH</t>
        </is>
      </c>
      <c r="D252" s="3" t="n">
        <v>8</v>
      </c>
      <c r="E252" s="3" t="inlineStr">
        <is>
          <t>Ngoại nghiệp</t>
        </is>
      </c>
      <c r="F252" s="3" t="inlineStr">
        <is>
          <t>1QTVTNMT hạng III.1</t>
        </is>
      </c>
      <c r="G252" s="3" t="n">
        <v>0.2</v>
      </c>
      <c r="H252" s="3" t="n">
        <v>1.2</v>
      </c>
      <c r="I252" s="3">
        <f>G252*H252</f>
        <v/>
      </c>
      <c r="J252" s="3">
        <f>D252*I252</f>
        <v/>
      </c>
    </row>
    <row r="253">
      <c r="A253" s="2" t="inlineStr">
        <is>
          <t>3</t>
        </is>
      </c>
      <c r="B253" s="2" t="inlineStr">
        <is>
          <t>NT4b</t>
        </is>
      </c>
      <c r="C253" s="2" t="inlineStr">
        <is>
          <t>Độ màu</t>
        </is>
      </c>
      <c r="D253" s="2" t="n">
        <v>8</v>
      </c>
      <c r="E253" s="2" t="inlineStr">
        <is>
          <t>Ngoại nghiệp</t>
        </is>
      </c>
      <c r="F253" s="2" t="inlineStr">
        <is>
          <t>1QTVTNMT hạng III.1</t>
        </is>
      </c>
      <c r="G253" s="2" t="n">
        <v>0.2</v>
      </c>
      <c r="H253" s="2" t="n">
        <v>1.2</v>
      </c>
      <c r="I253" s="2">
        <f>G253*H253</f>
        <v/>
      </c>
      <c r="J253" s="2">
        <f>D253*I253</f>
        <v/>
      </c>
    </row>
    <row r="254">
      <c r="A254" s="3" t="inlineStr">
        <is>
          <t>4</t>
        </is>
      </c>
      <c r="B254" s="3" t="inlineStr">
        <is>
          <t>NT5a</t>
        </is>
      </c>
      <c r="C254" s="3" t="inlineStr">
        <is>
          <t>BOD5</t>
        </is>
      </c>
      <c r="D254" s="3" t="n">
        <v>8</v>
      </c>
      <c r="E254" s="3" t="inlineStr">
        <is>
          <t>Ngoại nghiệp</t>
        </is>
      </c>
      <c r="F254" s="3" t="inlineStr">
        <is>
          <t>1QTVTNMT hạng III.1</t>
        </is>
      </c>
      <c r="G254" s="3" t="n">
        <v>0.2</v>
      </c>
      <c r="H254" s="3" t="n">
        <v>1.2</v>
      </c>
      <c r="I254" s="3">
        <f>G254*H254</f>
        <v/>
      </c>
      <c r="J254" s="3">
        <f>D254*I254</f>
        <v/>
      </c>
    </row>
    <row r="255">
      <c r="A255" s="2" t="inlineStr">
        <is>
          <t>4</t>
        </is>
      </c>
      <c r="B255" s="2" t="inlineStr">
        <is>
          <t>NT5a</t>
        </is>
      </c>
      <c r="C255" s="2" t="inlineStr">
        <is>
          <t>BOD5</t>
        </is>
      </c>
      <c r="D255" s="2" t="n">
        <v>8</v>
      </c>
      <c r="E255" s="2" t="inlineStr">
        <is>
          <t>Nội nghiệp</t>
        </is>
      </c>
      <c r="F255" s="2" t="inlineStr">
        <is>
          <t>1QTVTNMT hạng III.1</t>
        </is>
      </c>
      <c r="G255" s="2" t="n">
        <v>0.47</v>
      </c>
      <c r="H255" s="2" t="n">
        <v>1</v>
      </c>
      <c r="I255" s="2">
        <f>G255*H255</f>
        <v/>
      </c>
      <c r="J255" s="2">
        <f>D255*I255</f>
        <v/>
      </c>
    </row>
    <row r="256">
      <c r="A256" s="3" t="inlineStr">
        <is>
          <t>5</t>
        </is>
      </c>
      <c r="B256" s="3" t="inlineStr">
        <is>
          <t>NT5b</t>
        </is>
      </c>
      <c r="C256" s="3" t="inlineStr">
        <is>
          <t>COD</t>
        </is>
      </c>
      <c r="D256" s="3" t="n">
        <v>8</v>
      </c>
      <c r="E256" s="3" t="inlineStr">
        <is>
          <t>Ngoại nghiệp</t>
        </is>
      </c>
      <c r="F256" s="3" t="inlineStr">
        <is>
          <t>1QTVTNMT hạng III.1</t>
        </is>
      </c>
      <c r="G256" s="3" t="n">
        <v>0.2</v>
      </c>
      <c r="H256" s="3" t="n">
        <v>1.2</v>
      </c>
      <c r="I256" s="3">
        <f>G256*H256</f>
        <v/>
      </c>
      <c r="J256" s="3">
        <f>D256*I256</f>
        <v/>
      </c>
    </row>
    <row r="257">
      <c r="A257" s="2" t="inlineStr">
        <is>
          <t>5</t>
        </is>
      </c>
      <c r="B257" s="2" t="inlineStr">
        <is>
          <t>NT5b</t>
        </is>
      </c>
      <c r="C257" s="2" t="inlineStr">
        <is>
          <t>COD</t>
        </is>
      </c>
      <c r="D257" s="2" t="n">
        <v>8</v>
      </c>
      <c r="E257" s="2" t="inlineStr">
        <is>
          <t>Nội nghiệp</t>
        </is>
      </c>
      <c r="F257" s="2" t="inlineStr">
        <is>
          <t>1QTVTNMT hạng III.1</t>
        </is>
      </c>
      <c r="G257" s="2" t="n">
        <v>0.55</v>
      </c>
      <c r="H257" s="2" t="n">
        <v>1</v>
      </c>
      <c r="I257" s="2">
        <f>G257*H257</f>
        <v/>
      </c>
      <c r="J257" s="2">
        <f>D257*I257</f>
        <v/>
      </c>
    </row>
    <row r="258">
      <c r="A258" s="3" t="inlineStr">
        <is>
          <t>6</t>
        </is>
      </c>
      <c r="B258" s="3" t="inlineStr">
        <is>
          <t>NT6</t>
        </is>
      </c>
      <c r="C258" s="3" t="inlineStr">
        <is>
          <t>TSS</t>
        </is>
      </c>
      <c r="D258" s="3" t="n">
        <v>8</v>
      </c>
      <c r="E258" s="3" t="inlineStr">
        <is>
          <t>Ngoại nghiệp</t>
        </is>
      </c>
      <c r="F258" s="3" t="inlineStr">
        <is>
          <t>1QTVTNMT hạng III.1</t>
        </is>
      </c>
      <c r="G258" s="3" t="n">
        <v>0.2</v>
      </c>
      <c r="H258" s="3" t="n">
        <v>1.2</v>
      </c>
      <c r="I258" s="3">
        <f>G258*H258</f>
        <v/>
      </c>
      <c r="J258" s="3">
        <f>D258*I258</f>
        <v/>
      </c>
    </row>
    <row r="259">
      <c r="A259" s="2" t="inlineStr">
        <is>
          <t>6</t>
        </is>
      </c>
      <c r="B259" s="2" t="inlineStr">
        <is>
          <t>NT6</t>
        </is>
      </c>
      <c r="C259" s="2" t="inlineStr">
        <is>
          <t>TSS</t>
        </is>
      </c>
      <c r="D259" s="2" t="n">
        <v>8</v>
      </c>
      <c r="E259" s="2" t="inlineStr">
        <is>
          <t>Nội nghiệp</t>
        </is>
      </c>
      <c r="F259" s="2" t="inlineStr">
        <is>
          <t>1QTVTNMT hạng III.1</t>
        </is>
      </c>
      <c r="G259" s="2" t="n">
        <v>0.47</v>
      </c>
      <c r="H259" s="2" t="n">
        <v>1</v>
      </c>
      <c r="I259" s="2">
        <f>G259*H259</f>
        <v/>
      </c>
      <c r="J259" s="2">
        <f>D259*I259</f>
        <v/>
      </c>
    </row>
    <row r="260">
      <c r="A260" s="3" t="inlineStr">
        <is>
          <t>7</t>
        </is>
      </c>
      <c r="B260" s="3" t="inlineStr">
        <is>
          <t>NT10c</t>
        </is>
      </c>
      <c r="C260" s="3" t="inlineStr">
        <is>
          <t>Amoni (tính theo N)</t>
        </is>
      </c>
      <c r="D260" s="3" t="n">
        <v>8</v>
      </c>
      <c r="E260" s="3" t="inlineStr">
        <is>
          <t>Ngoại nghiệp</t>
        </is>
      </c>
      <c r="F260" s="3" t="inlineStr">
        <is>
          <t>1QTVTNMT hạng III.2</t>
        </is>
      </c>
      <c r="G260" s="3" t="n">
        <v>0.2</v>
      </c>
      <c r="H260" s="3" t="n">
        <v>1.2</v>
      </c>
      <c r="I260" s="3">
        <f>G260*H260</f>
        <v/>
      </c>
      <c r="J260" s="3">
        <f>D260*I260</f>
        <v/>
      </c>
    </row>
    <row r="261">
      <c r="A261" s="2" t="inlineStr">
        <is>
          <t>7</t>
        </is>
      </c>
      <c r="B261" s="2" t="inlineStr">
        <is>
          <t>NT10c</t>
        </is>
      </c>
      <c r="C261" s="2" t="inlineStr">
        <is>
          <t>Amoni (tính theo N)</t>
        </is>
      </c>
      <c r="D261" s="2" t="n">
        <v>8</v>
      </c>
      <c r="E261" s="2" t="inlineStr">
        <is>
          <t>Nội nghiệp</t>
        </is>
      </c>
      <c r="F261" s="2" t="inlineStr">
        <is>
          <t>1QTVTNMT hạng III.1</t>
        </is>
      </c>
      <c r="G261" s="2" t="n">
        <v>0.52</v>
      </c>
      <c r="H261" s="2" t="n">
        <v>1</v>
      </c>
      <c r="I261" s="2">
        <f>G261*H261</f>
        <v/>
      </c>
      <c r="J261" s="2">
        <f>D261*I261</f>
        <v/>
      </c>
    </row>
    <row r="262">
      <c r="A262" s="3" t="inlineStr">
        <is>
          <t>8</t>
        </is>
      </c>
      <c r="B262" s="3" t="inlineStr">
        <is>
          <t>NT10l1</t>
        </is>
      </c>
      <c r="C262" s="3" t="inlineStr">
        <is>
          <t>Asen</t>
        </is>
      </c>
      <c r="D262" s="3" t="n">
        <v>8</v>
      </c>
      <c r="E262" s="3" t="inlineStr">
        <is>
          <t>Ngoại nghiệp</t>
        </is>
      </c>
      <c r="F262" s="3" t="inlineStr">
        <is>
          <t>1QTVTNMT hạng III.2</t>
        </is>
      </c>
      <c r="G262" s="3" t="n">
        <v>0.15</v>
      </c>
      <c r="H262" s="3" t="n">
        <v>1.2</v>
      </c>
      <c r="I262" s="3">
        <f>G262*H262</f>
        <v/>
      </c>
      <c r="J262" s="3">
        <f>D262*I262</f>
        <v/>
      </c>
    </row>
    <row r="263">
      <c r="A263" s="2" t="inlineStr">
        <is>
          <t>8</t>
        </is>
      </c>
      <c r="B263" s="2" t="inlineStr">
        <is>
          <t>NT10l1</t>
        </is>
      </c>
      <c r="C263" s="2" t="inlineStr">
        <is>
          <t>Asen</t>
        </is>
      </c>
      <c r="D263" s="2" t="n">
        <v>8</v>
      </c>
      <c r="E263" s="2" t="inlineStr">
        <is>
          <t>Nội nghiệp</t>
        </is>
      </c>
      <c r="F263" s="2" t="inlineStr">
        <is>
          <t>1QTVTNMT hạng III.3</t>
        </is>
      </c>
      <c r="G263" s="2" t="n">
        <v>0.8</v>
      </c>
      <c r="H263" s="2" t="n">
        <v>1</v>
      </c>
      <c r="I263" s="2">
        <f>G263*H263</f>
        <v/>
      </c>
      <c r="J263" s="2">
        <f>D263*I263</f>
        <v/>
      </c>
    </row>
    <row r="264">
      <c r="A264" s="3" t="inlineStr">
        <is>
          <t>9</t>
        </is>
      </c>
      <c r="B264" s="3" t="inlineStr">
        <is>
          <t>NT10l2</t>
        </is>
      </c>
      <c r="C264" s="3" t="inlineStr">
        <is>
          <t>Thủy ngân</t>
        </is>
      </c>
      <c r="D264" s="3" t="n">
        <v>8</v>
      </c>
      <c r="E264" s="3" t="inlineStr">
        <is>
          <t>Ngoại nghiệp</t>
        </is>
      </c>
      <c r="F264" s="3" t="inlineStr">
        <is>
          <t>1QTVTNMT hạng III.2</t>
        </is>
      </c>
      <c r="G264" s="3" t="n">
        <v>0.15</v>
      </c>
      <c r="H264" s="3" t="n">
        <v>1.2</v>
      </c>
      <c r="I264" s="3">
        <f>G264*H264</f>
        <v/>
      </c>
      <c r="J264" s="3">
        <f>D264*I264</f>
        <v/>
      </c>
    </row>
    <row r="265">
      <c r="A265" s="2" t="inlineStr">
        <is>
          <t>9</t>
        </is>
      </c>
      <c r="B265" s="2" t="inlineStr">
        <is>
          <t>NT10l2</t>
        </is>
      </c>
      <c r="C265" s="2" t="inlineStr">
        <is>
          <t>Thủy ngân</t>
        </is>
      </c>
      <c r="D265" s="2" t="n">
        <v>8</v>
      </c>
      <c r="E265" s="2" t="inlineStr">
        <is>
          <t>Nội nghiệp</t>
        </is>
      </c>
      <c r="F265" s="2" t="inlineStr">
        <is>
          <t>1QTVTNMT hạng III.3</t>
        </is>
      </c>
      <c r="G265" s="2" t="n">
        <v>0.8</v>
      </c>
      <c r="H265" s="2" t="n">
        <v>1</v>
      </c>
      <c r="I265" s="2">
        <f>G265*H265</f>
        <v/>
      </c>
      <c r="J265" s="2">
        <f>D265*I265</f>
        <v/>
      </c>
    </row>
    <row r="266">
      <c r="A266" s="3" t="inlineStr">
        <is>
          <t>10</t>
        </is>
      </c>
      <c r="B266" s="3" t="inlineStr">
        <is>
          <t>NT10đ</t>
        </is>
      </c>
      <c r="C266" s="3" t="inlineStr">
        <is>
          <t>Crom (VI)</t>
        </is>
      </c>
      <c r="D266" s="3" t="n">
        <v>8</v>
      </c>
      <c r="E266" s="3" t="inlineStr">
        <is>
          <t>Ngoại nghiệp</t>
        </is>
      </c>
      <c r="F266" s="3" t="inlineStr">
        <is>
          <t>1QTVTNMT hạng III.2</t>
        </is>
      </c>
      <c r="G266" s="3" t="n">
        <v>0.2</v>
      </c>
      <c r="H266" s="3" t="n">
        <v>1.2</v>
      </c>
      <c r="I266" s="3">
        <f>G266*H266</f>
        <v/>
      </c>
      <c r="J266" s="3">
        <f>D266*I266</f>
        <v/>
      </c>
    </row>
    <row r="267">
      <c r="A267" s="2" t="inlineStr">
        <is>
          <t>10</t>
        </is>
      </c>
      <c r="B267" s="2" t="inlineStr">
        <is>
          <t>NT10đ</t>
        </is>
      </c>
      <c r="C267" s="2" t="inlineStr">
        <is>
          <t>Crom (VI)</t>
        </is>
      </c>
      <c r="D267" s="2" t="n">
        <v>8</v>
      </c>
      <c r="E267" s="2" t="inlineStr">
        <is>
          <t>Nội nghiệp</t>
        </is>
      </c>
      <c r="F267" s="2" t="inlineStr">
        <is>
          <t>1QTVTNMT hạng III.2</t>
        </is>
      </c>
      <c r="G267" s="2" t="n">
        <v>0.52</v>
      </c>
      <c r="H267" s="2" t="n">
        <v>1</v>
      </c>
      <c r="I267" s="2">
        <f>G267*H267</f>
        <v/>
      </c>
      <c r="J267" s="2">
        <f>D267*I267</f>
        <v/>
      </c>
    </row>
    <row r="268">
      <c r="A268" s="3" t="inlineStr">
        <is>
          <t>11</t>
        </is>
      </c>
      <c r="B268" s="3" t="inlineStr">
        <is>
          <t>NT10m5</t>
        </is>
      </c>
      <c r="C268" s="3" t="inlineStr">
        <is>
          <t>Crom (III)</t>
        </is>
      </c>
      <c r="D268" s="3" t="n">
        <v>8</v>
      </c>
      <c r="E268" s="3" t="inlineStr">
        <is>
          <t>Ngoại nghiệp</t>
        </is>
      </c>
      <c r="F268" s="3" t="inlineStr">
        <is>
          <t>1QTVTNMT hạng III.2</t>
        </is>
      </c>
      <c r="G268" s="3" t="n">
        <v>0.15</v>
      </c>
      <c r="H268" s="3" t="n">
        <v>1.2</v>
      </c>
      <c r="I268" s="3">
        <f>G268*H268</f>
        <v/>
      </c>
      <c r="J268" s="3">
        <f>D268*I268</f>
        <v/>
      </c>
    </row>
    <row r="269">
      <c r="A269" s="2" t="inlineStr">
        <is>
          <t>11</t>
        </is>
      </c>
      <c r="B269" s="2" t="inlineStr">
        <is>
          <t>NT10m5</t>
        </is>
      </c>
      <c r="C269" s="2" t="inlineStr">
        <is>
          <t>Crom (III)</t>
        </is>
      </c>
      <c r="D269" s="2" t="n">
        <v>8</v>
      </c>
      <c r="E269" s="2" t="inlineStr">
        <is>
          <t>Nội nghiệp</t>
        </is>
      </c>
      <c r="F269" s="2" t="inlineStr">
        <is>
          <t>1QTVTNMT hạng III.2</t>
        </is>
      </c>
      <c r="G269" s="2" t="n">
        <v>0.7</v>
      </c>
      <c r="H269" s="2" t="n">
        <v>1</v>
      </c>
      <c r="I269" s="2">
        <f>G269*H269</f>
        <v/>
      </c>
      <c r="J269" s="2">
        <f>D269*I269</f>
        <v/>
      </c>
    </row>
    <row r="270">
      <c r="A270" s="3" t="inlineStr">
        <is>
          <t>12</t>
        </is>
      </c>
      <c r="B270" s="3" t="inlineStr">
        <is>
          <t>NT10k1</t>
        </is>
      </c>
      <c r="C270" s="3" t="inlineStr">
        <is>
          <t>Chì</t>
        </is>
      </c>
      <c r="D270" s="3" t="n">
        <v>8</v>
      </c>
      <c r="E270" s="3" t="inlineStr">
        <is>
          <t>Ngoại nghiệp</t>
        </is>
      </c>
      <c r="F270" s="3" t="inlineStr">
        <is>
          <t>1QTVTNMT hạng III.2</t>
        </is>
      </c>
      <c r="G270" s="3" t="n">
        <v>0.15</v>
      </c>
      <c r="H270" s="3" t="n">
        <v>1.2</v>
      </c>
      <c r="I270" s="3">
        <f>G270*H270</f>
        <v/>
      </c>
      <c r="J270" s="3">
        <f>D270*I270</f>
        <v/>
      </c>
    </row>
    <row r="271">
      <c r="A271" s="2" t="inlineStr">
        <is>
          <t>12</t>
        </is>
      </c>
      <c r="B271" s="2" t="inlineStr">
        <is>
          <t>NT10k1</t>
        </is>
      </c>
      <c r="C271" s="2" t="inlineStr">
        <is>
          <t>Chì</t>
        </is>
      </c>
      <c r="D271" s="2" t="n">
        <v>8</v>
      </c>
      <c r="E271" s="2" t="inlineStr">
        <is>
          <t>Nội nghiệp</t>
        </is>
      </c>
      <c r="F271" s="2" t="inlineStr">
        <is>
          <t>1QTVTNMT hạng III.3</t>
        </is>
      </c>
      <c r="G271" s="2" t="n">
        <v>0.8</v>
      </c>
      <c r="H271" s="2" t="n">
        <v>1</v>
      </c>
      <c r="I271" s="2">
        <f>G271*H271</f>
        <v/>
      </c>
      <c r="J271" s="2">
        <f>D271*I271</f>
        <v/>
      </c>
    </row>
    <row r="272">
      <c r="A272" s="3" t="inlineStr">
        <is>
          <t>13</t>
        </is>
      </c>
      <c r="B272" s="3" t="inlineStr">
        <is>
          <t>NT10k2</t>
        </is>
      </c>
      <c r="C272" s="3" t="inlineStr">
        <is>
          <t>Cadimi</t>
        </is>
      </c>
      <c r="D272" s="3" t="n">
        <v>8</v>
      </c>
      <c r="E272" s="3" t="inlineStr">
        <is>
          <t>Ngoại nghiệp</t>
        </is>
      </c>
      <c r="F272" s="3" t="inlineStr">
        <is>
          <t>1QTVTNMT hạng III.2</t>
        </is>
      </c>
      <c r="G272" s="3" t="n">
        <v>0.15</v>
      </c>
      <c r="H272" s="3" t="n">
        <v>1.2</v>
      </c>
      <c r="I272" s="3">
        <f>G272*H272</f>
        <v/>
      </c>
      <c r="J272" s="3">
        <f>D272*I272</f>
        <v/>
      </c>
    </row>
    <row r="273">
      <c r="A273" s="2" t="inlineStr">
        <is>
          <t>13</t>
        </is>
      </c>
      <c r="B273" s="2" t="inlineStr">
        <is>
          <t>NT10k2</t>
        </is>
      </c>
      <c r="C273" s="2" t="inlineStr">
        <is>
          <t>Cadimi</t>
        </is>
      </c>
      <c r="D273" s="2" t="n">
        <v>8</v>
      </c>
      <c r="E273" s="2" t="inlineStr">
        <is>
          <t>Nội nghiệp</t>
        </is>
      </c>
      <c r="F273" s="2" t="inlineStr">
        <is>
          <t>1QTVTNMT hạng III.3</t>
        </is>
      </c>
      <c r="G273" s="2" t="n">
        <v>0.8</v>
      </c>
      <c r="H273" s="2" t="n">
        <v>1</v>
      </c>
      <c r="I273" s="2">
        <f>G273*H273</f>
        <v/>
      </c>
      <c r="J273" s="2">
        <f>D273*I273</f>
        <v/>
      </c>
    </row>
    <row r="274">
      <c r="A274" s="3" t="inlineStr">
        <is>
          <t>14</t>
        </is>
      </c>
      <c r="B274" s="3" t="inlineStr">
        <is>
          <t>NT10m1</t>
        </is>
      </c>
      <c r="C274" s="3" t="inlineStr">
        <is>
          <t>Đồng</t>
        </is>
      </c>
      <c r="D274" s="3" t="n">
        <v>8</v>
      </c>
      <c r="E274" s="3" t="inlineStr">
        <is>
          <t>Ngoại nghiệp</t>
        </is>
      </c>
      <c r="F274" s="3" t="inlineStr">
        <is>
          <t>1QTVTNMT hạng III.2</t>
        </is>
      </c>
      <c r="G274" s="3" t="n">
        <v>0.15</v>
      </c>
      <c r="H274" s="3" t="n">
        <v>1.2</v>
      </c>
      <c r="I274" s="3">
        <f>G274*H274</f>
        <v/>
      </c>
      <c r="J274" s="3">
        <f>D274*I274</f>
        <v/>
      </c>
    </row>
    <row r="275">
      <c r="A275" s="2" t="inlineStr">
        <is>
          <t>14</t>
        </is>
      </c>
      <c r="B275" s="2" t="inlineStr">
        <is>
          <t>NT10m1</t>
        </is>
      </c>
      <c r="C275" s="2" t="inlineStr">
        <is>
          <t>Đồng</t>
        </is>
      </c>
      <c r="D275" s="2" t="n">
        <v>8</v>
      </c>
      <c r="E275" s="2" t="inlineStr">
        <is>
          <t>Nội nghiệp</t>
        </is>
      </c>
      <c r="F275" s="2" t="inlineStr">
        <is>
          <t>1QTVTNMT hạng III.2</t>
        </is>
      </c>
      <c r="G275" s="2" t="n">
        <v>0.7</v>
      </c>
      <c r="H275" s="2" t="n">
        <v>1</v>
      </c>
      <c r="I275" s="2">
        <f>G275*H275</f>
        <v/>
      </c>
      <c r="J275" s="2">
        <f>D275*I275</f>
        <v/>
      </c>
    </row>
    <row r="276">
      <c r="A276" s="3" t="inlineStr">
        <is>
          <t>15</t>
        </is>
      </c>
      <c r="B276" s="3" t="inlineStr">
        <is>
          <t>NT10m2</t>
        </is>
      </c>
      <c r="C276" s="3" t="inlineStr">
        <is>
          <t>Kẽm</t>
        </is>
      </c>
      <c r="D276" s="3" t="n">
        <v>8</v>
      </c>
      <c r="E276" s="3" t="inlineStr">
        <is>
          <t>Ngoại nghiệp</t>
        </is>
      </c>
      <c r="F276" s="3" t="inlineStr">
        <is>
          <t>1QTVTNMT hạng III.2</t>
        </is>
      </c>
      <c r="G276" s="3" t="n">
        <v>0.15</v>
      </c>
      <c r="H276" s="3" t="n">
        <v>1.2</v>
      </c>
      <c r="I276" s="3">
        <f>G276*H276</f>
        <v/>
      </c>
      <c r="J276" s="3">
        <f>D276*I276</f>
        <v/>
      </c>
    </row>
    <row r="277">
      <c r="A277" s="2" t="inlineStr">
        <is>
          <t>15</t>
        </is>
      </c>
      <c r="B277" s="2" t="inlineStr">
        <is>
          <t>NT10m2</t>
        </is>
      </c>
      <c r="C277" s="2" t="inlineStr">
        <is>
          <t>Kẽm</t>
        </is>
      </c>
      <c r="D277" s="2" t="n">
        <v>8</v>
      </c>
      <c r="E277" s="2" t="inlineStr">
        <is>
          <t>Nội nghiệp</t>
        </is>
      </c>
      <c r="F277" s="2" t="inlineStr">
        <is>
          <t>1QTVTNMT hạng III.2</t>
        </is>
      </c>
      <c r="G277" s="2" t="n">
        <v>0.7</v>
      </c>
      <c r="H277" s="2" t="n">
        <v>1</v>
      </c>
      <c r="I277" s="2">
        <f>G277*H277</f>
        <v/>
      </c>
      <c r="J277" s="2">
        <f>D277*I277</f>
        <v/>
      </c>
    </row>
    <row r="278">
      <c r="A278" s="3" t="inlineStr">
        <is>
          <t>16</t>
        </is>
      </c>
      <c r="B278" s="3" t="inlineStr">
        <is>
          <t>NT10m6</t>
        </is>
      </c>
      <c r="C278" s="3" t="inlineStr">
        <is>
          <t>Niken</t>
        </is>
      </c>
      <c r="D278" s="3" t="n">
        <v>8</v>
      </c>
      <c r="E278" s="3" t="inlineStr">
        <is>
          <t>Ngoại nghiệp</t>
        </is>
      </c>
      <c r="F278" s="3" t="inlineStr">
        <is>
          <t>1QTVTNMT hạng III.2</t>
        </is>
      </c>
      <c r="G278" s="3" t="n">
        <v>0.15</v>
      </c>
      <c r="H278" s="3" t="n">
        <v>1.2</v>
      </c>
      <c r="I278" s="3">
        <f>G278*H278</f>
        <v/>
      </c>
      <c r="J278" s="3">
        <f>D278*I278</f>
        <v/>
      </c>
    </row>
    <row r="279">
      <c r="A279" s="2" t="inlineStr">
        <is>
          <t>16</t>
        </is>
      </c>
      <c r="B279" s="2" t="inlineStr">
        <is>
          <t>NT10m6</t>
        </is>
      </c>
      <c r="C279" s="2" t="inlineStr">
        <is>
          <t>Niken</t>
        </is>
      </c>
      <c r="D279" s="2" t="n">
        <v>8</v>
      </c>
      <c r="E279" s="2" t="inlineStr">
        <is>
          <t>Nội nghiệp</t>
        </is>
      </c>
      <c r="F279" s="2" t="inlineStr">
        <is>
          <t>1QTVTNMT hạng III.2</t>
        </is>
      </c>
      <c r="G279" s="2" t="n">
        <v>0.7</v>
      </c>
      <c r="H279" s="2" t="n">
        <v>1</v>
      </c>
      <c r="I279" s="2">
        <f>G279*H279</f>
        <v/>
      </c>
      <c r="J279" s="2">
        <f>D279*I279</f>
        <v/>
      </c>
    </row>
    <row r="280">
      <c r="A280" s="3" t="inlineStr">
        <is>
          <t>17</t>
        </is>
      </c>
      <c r="B280" s="3" t="inlineStr">
        <is>
          <t>NT10m3</t>
        </is>
      </c>
      <c r="C280" s="3" t="inlineStr">
        <is>
          <t>Mangan</t>
        </is>
      </c>
      <c r="D280" s="3" t="n">
        <v>8</v>
      </c>
      <c r="E280" s="3" t="inlineStr">
        <is>
          <t>Ngoại nghiệp</t>
        </is>
      </c>
      <c r="F280" s="3" t="inlineStr">
        <is>
          <t>1QTVTNMT hạng III.2</t>
        </is>
      </c>
      <c r="G280" s="3" t="n">
        <v>0.15</v>
      </c>
      <c r="H280" s="3" t="n">
        <v>1.2</v>
      </c>
      <c r="I280" s="3">
        <f>G280*H280</f>
        <v/>
      </c>
      <c r="J280" s="3">
        <f>D280*I280</f>
        <v/>
      </c>
    </row>
    <row r="281">
      <c r="A281" s="2" t="inlineStr">
        <is>
          <t>17</t>
        </is>
      </c>
      <c r="B281" s="2" t="inlineStr">
        <is>
          <t>NT10m3</t>
        </is>
      </c>
      <c r="C281" s="2" t="inlineStr">
        <is>
          <t>Mangan</t>
        </is>
      </c>
      <c r="D281" s="2" t="n">
        <v>8</v>
      </c>
      <c r="E281" s="2" t="inlineStr">
        <is>
          <t>Nội nghiệp</t>
        </is>
      </c>
      <c r="F281" s="2" t="inlineStr">
        <is>
          <t>1QTVTNMT hạng III.2</t>
        </is>
      </c>
      <c r="G281" s="2" t="n">
        <v>0.7</v>
      </c>
      <c r="H281" s="2" t="n">
        <v>1</v>
      </c>
      <c r="I281" s="2">
        <f>G281*H281</f>
        <v/>
      </c>
      <c r="J281" s="2">
        <f>D281*I281</f>
        <v/>
      </c>
    </row>
    <row r="282">
      <c r="A282" s="3" t="inlineStr">
        <is>
          <t>18</t>
        </is>
      </c>
      <c r="B282" s="3" t="inlineStr">
        <is>
          <t>NT10m4</t>
        </is>
      </c>
      <c r="C282" s="3" t="inlineStr">
        <is>
          <t>Sắt</t>
        </is>
      </c>
      <c r="D282" s="3" t="n">
        <v>8</v>
      </c>
      <c r="E282" s="3" t="inlineStr">
        <is>
          <t>Ngoại nghiệp</t>
        </is>
      </c>
      <c r="F282" s="3" t="inlineStr">
        <is>
          <t>1QTVTNMT hạng III.2</t>
        </is>
      </c>
      <c r="G282" s="3" t="n">
        <v>0.15</v>
      </c>
      <c r="H282" s="3" t="n">
        <v>1.2</v>
      </c>
      <c r="I282" s="3">
        <f>G282*H282</f>
        <v/>
      </c>
      <c r="J282" s="3">
        <f>D282*I282</f>
        <v/>
      </c>
    </row>
    <row r="283">
      <c r="A283" s="2" t="inlineStr">
        <is>
          <t>18</t>
        </is>
      </c>
      <c r="B283" s="2" t="inlineStr">
        <is>
          <t>NT10m4</t>
        </is>
      </c>
      <c r="C283" s="2" t="inlineStr">
        <is>
          <t>Sắt</t>
        </is>
      </c>
      <c r="D283" s="2" t="n">
        <v>8</v>
      </c>
      <c r="E283" s="2" t="inlineStr">
        <is>
          <t>Nội nghiệp</t>
        </is>
      </c>
      <c r="F283" s="2" t="inlineStr">
        <is>
          <t>1QTVTNMT hạng III.2</t>
        </is>
      </c>
      <c r="G283" s="2" t="n">
        <v>0.7</v>
      </c>
      <c r="H283" s="2" t="n">
        <v>1</v>
      </c>
      <c r="I283" s="2">
        <f>G283*H283</f>
        <v/>
      </c>
      <c r="J283" s="2">
        <f>D283*I283</f>
        <v/>
      </c>
    </row>
    <row r="284">
      <c r="A284" s="3" t="inlineStr">
        <is>
          <t>19</t>
        </is>
      </c>
      <c r="B284" s="3" t="inlineStr">
        <is>
          <t>NT9</t>
        </is>
      </c>
      <c r="C284" s="3" t="inlineStr">
        <is>
          <t>Tổng xianua</t>
        </is>
      </c>
      <c r="D284" s="3" t="n">
        <v>8</v>
      </c>
      <c r="E284" s="3" t="inlineStr">
        <is>
          <t>Ngoại nghiệp</t>
        </is>
      </c>
      <c r="F284" s="3" t="inlineStr">
        <is>
          <t>1QTVTNMT hạng III.2</t>
        </is>
      </c>
      <c r="G284" s="3" t="n">
        <v>0.2</v>
      </c>
      <c r="H284" s="3" t="n">
        <v>1.2</v>
      </c>
      <c r="I284" s="3">
        <f>G284*H284</f>
        <v/>
      </c>
      <c r="J284" s="3">
        <f>D284*I284</f>
        <v/>
      </c>
    </row>
    <row r="285">
      <c r="A285" s="2" t="inlineStr">
        <is>
          <t>19</t>
        </is>
      </c>
      <c r="B285" s="2" t="inlineStr">
        <is>
          <t>NT9</t>
        </is>
      </c>
      <c r="C285" s="2" t="inlineStr">
        <is>
          <t>Tổng xianua</t>
        </is>
      </c>
      <c r="D285" s="2" t="n">
        <v>8</v>
      </c>
      <c r="E285" s="2" t="inlineStr">
        <is>
          <t>Nội nghiệp</t>
        </is>
      </c>
      <c r="F285" s="2" t="inlineStr">
        <is>
          <t>1QTVTNMT hạng III.2</t>
        </is>
      </c>
      <c r="G285" s="2" t="n">
        <v>0.62</v>
      </c>
      <c r="H285" s="2" t="n">
        <v>1</v>
      </c>
      <c r="I285" s="2">
        <f>G285*H285</f>
        <v/>
      </c>
      <c r="J285" s="2">
        <f>D285*I285</f>
        <v/>
      </c>
    </row>
    <row r="286">
      <c r="A286" s="3" t="inlineStr">
        <is>
          <t>20</t>
        </is>
      </c>
      <c r="B286" s="3" t="inlineStr">
        <is>
          <t>NT2</t>
        </is>
      </c>
      <c r="C286" s="3" t="inlineStr">
        <is>
          <t>Tổng Phenol</t>
        </is>
      </c>
      <c r="D286" s="3" t="n">
        <v>8</v>
      </c>
      <c r="E286" s="3" t="inlineStr">
        <is>
          <t>Ngoại nghiệp</t>
        </is>
      </c>
      <c r="F286" s="3" t="inlineStr">
        <is>
          <t>1QTVTNMT hạng III.1</t>
        </is>
      </c>
      <c r="G286" s="3" t="n">
        <v>0.2</v>
      </c>
      <c r="H286" s="3" t="n">
        <v>1.2</v>
      </c>
      <c r="I286" s="3">
        <f>G286*H286</f>
        <v/>
      </c>
      <c r="J286" s="3">
        <f>D286*I286</f>
        <v/>
      </c>
    </row>
    <row r="287">
      <c r="A287" s="2" t="inlineStr">
        <is>
          <t>21</t>
        </is>
      </c>
      <c r="B287" s="2" t="inlineStr">
        <is>
          <t>NT8</t>
        </is>
      </c>
      <c r="C287" s="2" t="inlineStr">
        <is>
          <t>Tổng dầu mỡ khoáng</t>
        </is>
      </c>
      <c r="D287" s="2" t="n">
        <v>8</v>
      </c>
      <c r="E287" s="2" t="inlineStr">
        <is>
          <t>Ngoại nghiệp</t>
        </is>
      </c>
      <c r="F287" s="2" t="inlineStr">
        <is>
          <t>1QTVTNMT hạng III.3</t>
        </is>
      </c>
      <c r="G287" s="2" t="n">
        <v>0.2</v>
      </c>
      <c r="H287" s="2" t="n">
        <v>1.2</v>
      </c>
      <c r="I287" s="2">
        <f>G287*H287</f>
        <v/>
      </c>
      <c r="J287" s="2">
        <f>D287*I287</f>
        <v/>
      </c>
    </row>
    <row r="288">
      <c r="A288" s="3" t="inlineStr">
        <is>
          <t>21</t>
        </is>
      </c>
      <c r="B288" s="3" t="inlineStr">
        <is>
          <t>NT8</t>
        </is>
      </c>
      <c r="C288" s="3" t="inlineStr">
        <is>
          <t>Tổng dầu mỡ khoáng</t>
        </is>
      </c>
      <c r="D288" s="3" t="n">
        <v>8</v>
      </c>
      <c r="E288" s="3" t="inlineStr">
        <is>
          <t>Nội nghiệp</t>
        </is>
      </c>
      <c r="F288" s="3" t="inlineStr">
        <is>
          <t>1QTVTNMT hạng III.2</t>
        </is>
      </c>
      <c r="G288" s="3" t="n">
        <v>0.95</v>
      </c>
      <c r="H288" s="3" t="n">
        <v>1</v>
      </c>
      <c r="I288" s="3">
        <f>G288*H288</f>
        <v/>
      </c>
      <c r="J288" s="3">
        <f>D288*I288</f>
        <v/>
      </c>
    </row>
    <row r="289">
      <c r="A289" s="2" t="inlineStr">
        <is>
          <t>22</t>
        </is>
      </c>
      <c r="B289" s="2" t="inlineStr">
        <is>
          <t>NT10d</t>
        </is>
      </c>
      <c r="C289" s="2" t="inlineStr">
        <is>
          <t>Sunfua</t>
        </is>
      </c>
      <c r="D289" s="2" t="n">
        <v>8</v>
      </c>
      <c r="E289" s="2" t="inlineStr">
        <is>
          <t>Ngoại nghiệp</t>
        </is>
      </c>
      <c r="F289" s="2" t="inlineStr">
        <is>
          <t>1QTVTNMT hạng III.2</t>
        </is>
      </c>
      <c r="G289" s="2" t="n">
        <v>0.2</v>
      </c>
      <c r="H289" s="2" t="n">
        <v>1.2</v>
      </c>
      <c r="I289" s="2">
        <f>G289*H289</f>
        <v/>
      </c>
      <c r="J289" s="2">
        <f>D289*I289</f>
        <v/>
      </c>
    </row>
    <row r="290">
      <c r="A290" s="3" t="inlineStr">
        <is>
          <t>22</t>
        </is>
      </c>
      <c r="B290" s="3" t="inlineStr">
        <is>
          <t>NT10d</t>
        </is>
      </c>
      <c r="C290" s="3" t="inlineStr">
        <is>
          <t>Sunfua</t>
        </is>
      </c>
      <c r="D290" s="3" t="n">
        <v>8</v>
      </c>
      <c r="E290" s="3" t="inlineStr">
        <is>
          <t>Nội nghiệp</t>
        </is>
      </c>
      <c r="F290" s="3" t="inlineStr">
        <is>
          <t>1QTVTNMT hạng III.2</t>
        </is>
      </c>
      <c r="G290" s="3" t="n">
        <v>0.5</v>
      </c>
      <c r="H290" s="3" t="n">
        <v>1</v>
      </c>
      <c r="I290" s="3">
        <f>G290*H290</f>
        <v/>
      </c>
      <c r="J290" s="3">
        <f>D290*I290</f>
        <v/>
      </c>
    </row>
    <row r="291">
      <c r="A291" s="2" t="inlineStr">
        <is>
          <t>23</t>
        </is>
      </c>
      <c r="B291" s="2" t="inlineStr">
        <is>
          <t>NT10h</t>
        </is>
      </c>
      <c r="C291" s="2" t="inlineStr">
        <is>
          <t>Florua</t>
        </is>
      </c>
      <c r="D291" s="2" t="n">
        <v>8</v>
      </c>
      <c r="E291" s="2" t="inlineStr">
        <is>
          <t>Ngoại nghiệp</t>
        </is>
      </c>
      <c r="F291" s="2" t="inlineStr">
        <is>
          <t>1QTVTNMT hạng III.2</t>
        </is>
      </c>
      <c r="G291" s="2" t="n">
        <v>0.2</v>
      </c>
      <c r="H291" s="2" t="n">
        <v>1.2</v>
      </c>
      <c r="I291" s="2">
        <f>G291*H291</f>
        <v/>
      </c>
      <c r="J291" s="2">
        <f>D291*I291</f>
        <v/>
      </c>
    </row>
    <row r="292">
      <c r="A292" s="3" t="inlineStr">
        <is>
          <t>23</t>
        </is>
      </c>
      <c r="B292" s="3" t="inlineStr">
        <is>
          <t>NT10h</t>
        </is>
      </c>
      <c r="C292" s="3" t="inlineStr">
        <is>
          <t>Florua</t>
        </is>
      </c>
      <c r="D292" s="3" t="n">
        <v>8</v>
      </c>
      <c r="E292" s="3" t="inlineStr">
        <is>
          <t>Nội nghiệp</t>
        </is>
      </c>
      <c r="F292" s="3" t="inlineStr">
        <is>
          <t>1QTVTNMT hạng III.2</t>
        </is>
      </c>
      <c r="G292" s="3" t="n">
        <v>0.52</v>
      </c>
      <c r="H292" s="3" t="n">
        <v>1</v>
      </c>
      <c r="I292" s="3">
        <f>G292*H292</f>
        <v/>
      </c>
      <c r="J292" s="3">
        <f>D292*I292</f>
        <v/>
      </c>
    </row>
    <row r="293">
      <c r="A293" s="2" t="inlineStr">
        <is>
          <t>24</t>
        </is>
      </c>
      <c r="B293" s="2" t="inlineStr">
        <is>
          <t>NT10b</t>
        </is>
      </c>
      <c r="C293" s="2" t="inlineStr">
        <is>
          <t>Tổng Nitơ</t>
        </is>
      </c>
      <c r="D293" s="2" t="n">
        <v>8</v>
      </c>
      <c r="E293" s="2" t="inlineStr">
        <is>
          <t>Ngoại nghiệp</t>
        </is>
      </c>
      <c r="F293" s="2" t="inlineStr">
        <is>
          <t>1QTVTNMT hạng III.2</t>
        </is>
      </c>
      <c r="G293" s="2" t="n">
        <v>0.2</v>
      </c>
      <c r="H293" s="2" t="n">
        <v>1.2</v>
      </c>
      <c r="I293" s="2">
        <f>G293*H293</f>
        <v/>
      </c>
      <c r="J293" s="2">
        <f>D293*I293</f>
        <v/>
      </c>
    </row>
    <row r="294">
      <c r="A294" s="3" t="inlineStr">
        <is>
          <t>24</t>
        </is>
      </c>
      <c r="B294" s="3" t="inlineStr">
        <is>
          <t>NT10b</t>
        </is>
      </c>
      <c r="C294" s="3" t="inlineStr">
        <is>
          <t>Tổng Nitơ</t>
        </is>
      </c>
      <c r="D294" s="3" t="n">
        <v>8</v>
      </c>
      <c r="E294" s="3" t="inlineStr">
        <is>
          <t>Nội nghiệp</t>
        </is>
      </c>
      <c r="F294" s="3" t="inlineStr">
        <is>
          <t>1QTVTNMT hạng III.2</t>
        </is>
      </c>
      <c r="G294" s="3" t="n">
        <v>0.62</v>
      </c>
      <c r="H294" s="3" t="n">
        <v>1</v>
      </c>
      <c r="I294" s="3">
        <f>G294*H294</f>
        <v/>
      </c>
      <c r="J294" s="3">
        <f>D294*I294</f>
        <v/>
      </c>
    </row>
    <row r="295">
      <c r="A295" s="2" t="inlineStr">
        <is>
          <t>25</t>
        </is>
      </c>
      <c r="B295" s="2" t="inlineStr">
        <is>
          <t>NT2</t>
        </is>
      </c>
      <c r="C295" s="2" t="inlineStr">
        <is>
          <t>Tổng photpho (tính theo P)</t>
        </is>
      </c>
      <c r="D295" s="2" t="n">
        <v>8</v>
      </c>
      <c r="E295" s="2" t="inlineStr">
        <is>
          <t>Ngoại nghiệp</t>
        </is>
      </c>
      <c r="F295" s="2" t="inlineStr">
        <is>
          <t>1QTVTNMT hạng III.1</t>
        </is>
      </c>
      <c r="G295" s="2" t="n">
        <v>0.2</v>
      </c>
      <c r="H295" s="2" t="n">
        <v>1.2</v>
      </c>
      <c r="I295" s="2">
        <f>G295*H295</f>
        <v/>
      </c>
      <c r="J295" s="2">
        <f>D295*I295</f>
        <v/>
      </c>
    </row>
    <row r="296">
      <c r="A296" s="3" t="inlineStr">
        <is>
          <t>26</t>
        </is>
      </c>
      <c r="B296" s="3" t="inlineStr">
        <is>
          <t>NT10i</t>
        </is>
      </c>
      <c r="C296" s="3" t="inlineStr">
        <is>
          <t>Clorua</t>
        </is>
      </c>
      <c r="D296" s="3" t="n">
        <v>8</v>
      </c>
      <c r="E296" s="3" t="inlineStr">
        <is>
          <t>Ngoại nghiệp</t>
        </is>
      </c>
      <c r="F296" s="3" t="inlineStr">
        <is>
          <t>1QTVTNMT hạng III.2</t>
        </is>
      </c>
      <c r="G296" s="3" t="n">
        <v>0.2</v>
      </c>
      <c r="H296" s="3" t="n">
        <v>1.2</v>
      </c>
      <c r="I296" s="3">
        <f>G296*H296</f>
        <v/>
      </c>
      <c r="J296" s="3">
        <f>D296*I296</f>
        <v/>
      </c>
    </row>
    <row r="297">
      <c r="A297" s="2" t="inlineStr">
        <is>
          <t>26</t>
        </is>
      </c>
      <c r="B297" s="2" t="inlineStr">
        <is>
          <t>NT10i</t>
        </is>
      </c>
      <c r="C297" s="2" t="inlineStr">
        <is>
          <t>Clorua</t>
        </is>
      </c>
      <c r="D297" s="2" t="n">
        <v>8</v>
      </c>
      <c r="E297" s="2" t="inlineStr">
        <is>
          <t>Nội nghiệp</t>
        </is>
      </c>
      <c r="F297" s="2" t="inlineStr">
        <is>
          <t>1QTVTNMT hạng IV.2</t>
        </is>
      </c>
      <c r="G297" s="2" t="n">
        <v>0.52</v>
      </c>
      <c r="H297" s="2" t="n">
        <v>1</v>
      </c>
      <c r="I297" s="2">
        <f>G297*H297</f>
        <v/>
      </c>
      <c r="J297" s="2">
        <f>D297*I297</f>
        <v/>
      </c>
    </row>
    <row r="298">
      <c r="A298" s="3" t="inlineStr">
        <is>
          <t>27</t>
        </is>
      </c>
      <c r="B298" s="3" t="inlineStr">
        <is>
          <t>NT10j</t>
        </is>
      </c>
      <c r="C298" s="3" t="inlineStr">
        <is>
          <t>Clo dư</t>
        </is>
      </c>
      <c r="D298" s="3" t="n">
        <v>8</v>
      </c>
      <c r="E298" s="3" t="inlineStr">
        <is>
          <t>Ngoại nghiệp</t>
        </is>
      </c>
      <c r="F298" s="3" t="inlineStr">
        <is>
          <t>1QTVTNMT hạng III.2</t>
        </is>
      </c>
      <c r="G298" s="3" t="n">
        <v>0.2</v>
      </c>
      <c r="H298" s="3" t="n">
        <v>1.2</v>
      </c>
      <c r="I298" s="3">
        <f>G298*H298</f>
        <v/>
      </c>
      <c r="J298" s="3">
        <f>D298*I298</f>
        <v/>
      </c>
    </row>
    <row r="299">
      <c r="A299" s="2" t="inlineStr">
        <is>
          <t>27</t>
        </is>
      </c>
      <c r="B299" s="2" t="inlineStr">
        <is>
          <t>NT10j</t>
        </is>
      </c>
      <c r="C299" s="2" t="inlineStr">
        <is>
          <t>Clo dư</t>
        </is>
      </c>
      <c r="D299" s="2" t="n">
        <v>8</v>
      </c>
      <c r="E299" s="2" t="inlineStr">
        <is>
          <t>Nội nghiệp</t>
        </is>
      </c>
      <c r="F299" s="2" t="inlineStr">
        <is>
          <t>1QTVTNMT hạng III.2</t>
        </is>
      </c>
      <c r="G299" s="2" t="n">
        <v>1</v>
      </c>
      <c r="H299" s="2" t="n">
        <v>1</v>
      </c>
      <c r="I299" s="2">
        <f>G299*H299</f>
        <v/>
      </c>
      <c r="J299" s="2">
        <f>D299*I299</f>
        <v/>
      </c>
    </row>
    <row r="300">
      <c r="A300" s="3" t="inlineStr">
        <is>
          <t>28</t>
        </is>
      </c>
      <c r="B300" s="3" t="inlineStr">
        <is>
          <t>NT7a</t>
        </is>
      </c>
      <c r="C300" s="3" t="inlineStr">
        <is>
          <t>Coliform</t>
        </is>
      </c>
      <c r="D300" s="3" t="n">
        <v>8</v>
      </c>
      <c r="E300" s="3" t="inlineStr">
        <is>
          <t>Ngoại nghiệp</t>
        </is>
      </c>
      <c r="F300" s="3" t="inlineStr">
        <is>
          <t>1QTVTNMT hạng III.2</t>
        </is>
      </c>
      <c r="G300" s="3" t="n">
        <v>0.2</v>
      </c>
      <c r="H300" s="3" t="n">
        <v>1.2</v>
      </c>
      <c r="I300" s="3">
        <f>G300*H300</f>
        <v/>
      </c>
      <c r="J300" s="3">
        <f>D300*I300</f>
        <v/>
      </c>
    </row>
    <row r="301">
      <c r="A301" s="2" t="inlineStr">
        <is>
          <t>1</t>
        </is>
      </c>
      <c r="B301" s="2" t="inlineStr">
        <is>
          <t>NB10</t>
        </is>
      </c>
      <c r="C301" s="2" t="inlineStr">
        <is>
          <t>pH</t>
        </is>
      </c>
      <c r="D301" s="2" t="n">
        <v>10</v>
      </c>
      <c r="E301" s="2" t="inlineStr">
        <is>
          <t>Ngoại nghiệp</t>
        </is>
      </c>
      <c r="F301" s="2" t="inlineStr">
        <is>
          <t>1QTVTNMT hạng III.2</t>
        </is>
      </c>
      <c r="G301" s="2" t="n">
        <v>0.35</v>
      </c>
      <c r="H301" s="2" t="n">
        <v>1.2</v>
      </c>
      <c r="I301" s="2">
        <f>G301*H301</f>
        <v/>
      </c>
      <c r="J301" s="2">
        <f>D301*I301</f>
        <v/>
      </c>
    </row>
    <row r="302">
      <c r="A302" s="3" t="inlineStr">
        <is>
          <t>1</t>
        </is>
      </c>
      <c r="B302" s="3" t="inlineStr">
        <is>
          <t>NB10</t>
        </is>
      </c>
      <c r="C302" s="3" t="inlineStr">
        <is>
          <t>pH</t>
        </is>
      </c>
      <c r="D302" s="3" t="n">
        <v>10</v>
      </c>
      <c r="E302" s="3" t="inlineStr">
        <is>
          <t>Nội nghiệp</t>
        </is>
      </c>
      <c r="F302" s="3" t="inlineStr">
        <is>
          <t>1QTVTNMT hạng III.3</t>
        </is>
      </c>
      <c r="G302" s="3" t="n">
        <v>0.4</v>
      </c>
      <c r="H302" s="3" t="n">
        <v>1</v>
      </c>
      <c r="I302" s="3">
        <f>G302*H302</f>
        <v/>
      </c>
      <c r="J302" s="3">
        <f>D302*I302</f>
        <v/>
      </c>
    </row>
    <row r="303">
      <c r="A303" s="2" t="inlineStr">
        <is>
          <t>2</t>
        </is>
      </c>
      <c r="B303" s="2" t="inlineStr">
        <is>
          <t>NB5</t>
        </is>
      </c>
      <c r="C303" s="2" t="inlineStr">
        <is>
          <t>Nhiệt độ</t>
        </is>
      </c>
      <c r="D303" s="2" t="n">
        <v>10</v>
      </c>
      <c r="E303" s="2" t="inlineStr">
        <is>
          <t>Ngoại nghiệp</t>
        </is>
      </c>
      <c r="F303" s="2" t="inlineStr">
        <is>
          <t>1QTVTNMT hạng III.1</t>
        </is>
      </c>
      <c r="G303" s="2" t="n">
        <v>0.35</v>
      </c>
      <c r="H303" s="2" t="n">
        <v>1.2</v>
      </c>
      <c r="I303" s="2">
        <f>G303*H303</f>
        <v/>
      </c>
      <c r="J303" s="2">
        <f>D303*I303</f>
        <v/>
      </c>
    </row>
    <row r="304">
      <c r="A304" s="3" t="inlineStr">
        <is>
          <t>2</t>
        </is>
      </c>
      <c r="B304" s="3" t="inlineStr">
        <is>
          <t>NB5</t>
        </is>
      </c>
      <c r="C304" s="3" t="inlineStr">
        <is>
          <t>Nhiệt độ</t>
        </is>
      </c>
      <c r="D304" s="3" t="n">
        <v>10</v>
      </c>
      <c r="E304" s="3" t="inlineStr">
        <is>
          <t>Nội nghiệp</t>
        </is>
      </c>
      <c r="F304" s="3" t="inlineStr">
        <is>
          <t>1QTVTNMT hạng III.2</t>
        </is>
      </c>
      <c r="G304" s="3" t="n">
        <v>0.4</v>
      </c>
      <c r="H304" s="3" t="n">
        <v>1</v>
      </c>
      <c r="I304" s="3">
        <f>G304*H304</f>
        <v/>
      </c>
      <c r="J304" s="3">
        <f>D304*I304</f>
        <v/>
      </c>
    </row>
    <row r="305">
      <c r="A305" s="2" t="inlineStr">
        <is>
          <t>3</t>
        </is>
      </c>
      <c r="B305" s="2" t="inlineStr">
        <is>
          <t>NB11</t>
        </is>
      </c>
      <c r="C305" s="2" t="inlineStr">
        <is>
          <t>DO</t>
        </is>
      </c>
      <c r="D305" s="2" t="n">
        <v>10</v>
      </c>
      <c r="E305" s="2" t="inlineStr">
        <is>
          <t>Ngoại nghiệp</t>
        </is>
      </c>
      <c r="F305" s="2" t="inlineStr">
        <is>
          <t>1QTVTNMT hạng III.3</t>
        </is>
      </c>
      <c r="G305" s="2" t="n">
        <v>0.35</v>
      </c>
      <c r="H305" s="2" t="n">
        <v>1.2</v>
      </c>
      <c r="I305" s="2">
        <f>G305*H305</f>
        <v/>
      </c>
      <c r="J305" s="2">
        <f>D305*I305</f>
        <v/>
      </c>
    </row>
    <row r="306">
      <c r="A306" s="3" t="inlineStr">
        <is>
          <t>3</t>
        </is>
      </c>
      <c r="B306" s="3" t="inlineStr">
        <is>
          <t>NB11</t>
        </is>
      </c>
      <c r="C306" s="3" t="inlineStr">
        <is>
          <t>DO</t>
        </is>
      </c>
      <c r="D306" s="3" t="n">
        <v>10</v>
      </c>
      <c r="E306" s="3" t="inlineStr">
        <is>
          <t>Nội nghiệp</t>
        </is>
      </c>
      <c r="F306" s="3" t="inlineStr">
        <is>
          <t>1QTVTNMT hạng III.3</t>
        </is>
      </c>
      <c r="G306" s="3" t="n">
        <v>0.4</v>
      </c>
      <c r="H306" s="3" t="n">
        <v>1</v>
      </c>
      <c r="I306" s="3">
        <f>G306*H306</f>
        <v/>
      </c>
      <c r="J306" s="3">
        <f>D306*I306</f>
        <v/>
      </c>
    </row>
    <row r="307">
      <c r="A307" s="2" t="inlineStr">
        <is>
          <t>4</t>
        </is>
      </c>
      <c r="B307" s="2" t="inlineStr">
        <is>
          <t>NB17a</t>
        </is>
      </c>
      <c r="C307" s="2" t="inlineStr">
        <is>
          <t>TSS</t>
        </is>
      </c>
      <c r="D307" s="2" t="n">
        <v>10</v>
      </c>
      <c r="E307" s="2" t="inlineStr">
        <is>
          <t>Ngoại nghiệp</t>
        </is>
      </c>
      <c r="F307" s="2" t="inlineStr">
        <is>
          <t>1QTVTNMT hạng IV.2</t>
        </is>
      </c>
      <c r="G307" s="2" t="n">
        <v>0.3</v>
      </c>
      <c r="H307" s="2" t="n">
        <v>1.2</v>
      </c>
      <c r="I307" s="2">
        <f>G307*H307</f>
        <v/>
      </c>
      <c r="J307" s="2">
        <f>D307*I307</f>
        <v/>
      </c>
    </row>
    <row r="308">
      <c r="A308" s="3" t="inlineStr">
        <is>
          <t>4</t>
        </is>
      </c>
      <c r="B308" s="3" t="inlineStr">
        <is>
          <t>NB17a</t>
        </is>
      </c>
      <c r="C308" s="3" t="inlineStr">
        <is>
          <t>TSS</t>
        </is>
      </c>
      <c r="D308" s="3" t="n">
        <v>10</v>
      </c>
      <c r="E308" s="3" t="inlineStr">
        <is>
          <t>Nội nghiệp</t>
        </is>
      </c>
      <c r="F308" s="3" t="inlineStr">
        <is>
          <t>1QTVTNMT hạng III.3</t>
        </is>
      </c>
      <c r="G308" s="3" t="n">
        <v>0.35</v>
      </c>
      <c r="H308" s="3" t="n">
        <v>1</v>
      </c>
      <c r="I308" s="3">
        <f>G308*H308</f>
        <v/>
      </c>
      <c r="J308" s="3">
        <f>D308*I308</f>
        <v/>
      </c>
    </row>
    <row r="309">
      <c r="A309" s="2" t="inlineStr">
        <is>
          <t>5</t>
        </is>
      </c>
      <c r="B309" s="2" t="inlineStr">
        <is>
          <t>NB15</t>
        </is>
      </c>
      <c r="C309" s="2" t="inlineStr">
        <is>
          <t>Amoni (tính theo N)</t>
        </is>
      </c>
      <c r="D309" s="2" t="n">
        <v>10</v>
      </c>
      <c r="E309" s="2" t="inlineStr">
        <is>
          <t>Ngoại nghiệp</t>
        </is>
      </c>
      <c r="F309" s="2" t="inlineStr">
        <is>
          <t>1QTVTNMT hạng III.2</t>
        </is>
      </c>
      <c r="G309" s="2" t="n">
        <v>0.3</v>
      </c>
      <c r="H309" s="2" t="n">
        <v>1.2</v>
      </c>
      <c r="I309" s="2">
        <f>G309*H309</f>
        <v/>
      </c>
      <c r="J309" s="2">
        <f>D309*I309</f>
        <v/>
      </c>
    </row>
    <row r="310">
      <c r="A310" s="3" t="inlineStr">
        <is>
          <t>5</t>
        </is>
      </c>
      <c r="B310" s="3" t="inlineStr">
        <is>
          <t>NB15</t>
        </is>
      </c>
      <c r="C310" s="3" t="inlineStr">
        <is>
          <t>Amoni (tính theo N)</t>
        </is>
      </c>
      <c r="D310" s="3" t="n">
        <v>10</v>
      </c>
      <c r="E310" s="3" t="inlineStr">
        <is>
          <t>Nội nghiệp</t>
        </is>
      </c>
      <c r="F310" s="3" t="inlineStr">
        <is>
          <t>1QTVTNMT hạng III.3</t>
        </is>
      </c>
      <c r="G310" s="3" t="n">
        <v>0.35</v>
      </c>
      <c r="H310" s="3" t="n">
        <v>1</v>
      </c>
      <c r="I310" s="3">
        <f>G310*H310</f>
        <v/>
      </c>
      <c r="J310" s="3">
        <f>D310*I310</f>
        <v/>
      </c>
    </row>
    <row r="311">
      <c r="A311" s="2" t="inlineStr">
        <is>
          <t>6</t>
        </is>
      </c>
      <c r="B311" s="2" t="inlineStr">
        <is>
          <t>NB10</t>
        </is>
      </c>
      <c r="C311" s="2" t="inlineStr">
        <is>
          <t>Phosphat</t>
        </is>
      </c>
      <c r="D311" s="2" t="n">
        <v>10</v>
      </c>
      <c r="E311" s="2" t="inlineStr">
        <is>
          <t>Ngoại nghiệp</t>
        </is>
      </c>
      <c r="F311" s="2" t="inlineStr">
        <is>
          <t>1QTVTNMT hạng III.2</t>
        </is>
      </c>
      <c r="G311" s="2" t="n">
        <v>0.35</v>
      </c>
      <c r="H311" s="2" t="n">
        <v>1.2</v>
      </c>
      <c r="I311" s="2">
        <f>G311*H311</f>
        <v/>
      </c>
      <c r="J311" s="2">
        <f>D311*I311</f>
        <v/>
      </c>
    </row>
    <row r="312">
      <c r="A312" s="3" t="inlineStr">
        <is>
          <t>6</t>
        </is>
      </c>
      <c r="B312" s="3" t="inlineStr">
        <is>
          <t>NB10</t>
        </is>
      </c>
      <c r="C312" s="3" t="inlineStr">
        <is>
          <t>Phosphat</t>
        </is>
      </c>
      <c r="D312" s="3" t="n">
        <v>10</v>
      </c>
      <c r="E312" s="3" t="inlineStr">
        <is>
          <t>Nội nghiệp</t>
        </is>
      </c>
      <c r="F312" s="3" t="inlineStr">
        <is>
          <t>1QTVTNMT hạng III.3</t>
        </is>
      </c>
      <c r="G312" s="3" t="n">
        <v>0.4</v>
      </c>
      <c r="H312" s="3" t="n">
        <v>1</v>
      </c>
      <c r="I312" s="3">
        <f>G312*H312</f>
        <v/>
      </c>
      <c r="J312" s="3">
        <f>D312*I312</f>
        <v/>
      </c>
    </row>
    <row r="313">
      <c r="A313" s="2" t="inlineStr">
        <is>
          <t>7</t>
        </is>
      </c>
      <c r="B313" s="2" t="inlineStr">
        <is>
          <t>NB15</t>
        </is>
      </c>
      <c r="C313" s="2" t="inlineStr">
        <is>
          <t>Florua</t>
        </is>
      </c>
      <c r="D313" s="2" t="n">
        <v>10</v>
      </c>
      <c r="E313" s="2" t="inlineStr">
        <is>
          <t>Ngoại nghiệp</t>
        </is>
      </c>
      <c r="F313" s="2" t="inlineStr">
        <is>
          <t>1QTVTNMT hạng III.2</t>
        </is>
      </c>
      <c r="G313" s="2" t="n">
        <v>0.3</v>
      </c>
      <c r="H313" s="2" t="n">
        <v>1.2</v>
      </c>
      <c r="I313" s="2">
        <f>G313*H313</f>
        <v/>
      </c>
      <c r="J313" s="2">
        <f>D313*I313</f>
        <v/>
      </c>
    </row>
    <row r="314">
      <c r="A314" s="3" t="inlineStr">
        <is>
          <t>7</t>
        </is>
      </c>
      <c r="B314" s="3" t="inlineStr">
        <is>
          <t>NB15</t>
        </is>
      </c>
      <c r="C314" s="3" t="inlineStr">
        <is>
          <t>Florua</t>
        </is>
      </c>
      <c r="D314" s="3" t="n">
        <v>10</v>
      </c>
      <c r="E314" s="3" t="inlineStr">
        <is>
          <t>Nội nghiệp</t>
        </is>
      </c>
      <c r="F314" s="3" t="inlineStr">
        <is>
          <t>1QTVTNMT hạng III.3</t>
        </is>
      </c>
      <c r="G314" s="3" t="n">
        <v>0.35</v>
      </c>
      <c r="H314" s="3" t="n">
        <v>1</v>
      </c>
      <c r="I314" s="3">
        <f>G314*H314</f>
        <v/>
      </c>
      <c r="J314" s="3">
        <f>D314*I314</f>
        <v/>
      </c>
    </row>
    <row r="315">
      <c r="A315" s="2" t="inlineStr">
        <is>
          <t>8</t>
        </is>
      </c>
      <c r="B315" s="2" t="inlineStr">
        <is>
          <t>NB20</t>
        </is>
      </c>
      <c r="C315" s="2" t="inlineStr">
        <is>
          <t>Xyanua</t>
        </is>
      </c>
      <c r="D315" s="2" t="n">
        <v>10</v>
      </c>
      <c r="E315" s="2" t="inlineStr">
        <is>
          <t>Ngoại nghiệp</t>
        </is>
      </c>
      <c r="F315" s="2" t="inlineStr">
        <is>
          <t>1QTVTNMT hạng III.3</t>
        </is>
      </c>
      <c r="G315" s="2" t="n">
        <v>0.3</v>
      </c>
      <c r="H315" s="2" t="n">
        <v>1.2</v>
      </c>
      <c r="I315" s="2">
        <f>G315*H315</f>
        <v/>
      </c>
      <c r="J315" s="2">
        <f>D315*I315</f>
        <v/>
      </c>
    </row>
    <row r="316">
      <c r="A316" s="3" t="inlineStr">
        <is>
          <t>8</t>
        </is>
      </c>
      <c r="B316" s="3" t="inlineStr">
        <is>
          <t>NB20</t>
        </is>
      </c>
      <c r="C316" s="3" t="inlineStr">
        <is>
          <t>Xyanua</t>
        </is>
      </c>
      <c r="D316" s="3" t="n">
        <v>10</v>
      </c>
      <c r="E316" s="3" t="inlineStr">
        <is>
          <t>Nội nghiệp</t>
        </is>
      </c>
      <c r="F316" s="3" t="inlineStr">
        <is>
          <t>1QTVTNMT hạng III.3</t>
        </is>
      </c>
      <c r="G316" s="3" t="n">
        <v>0.35</v>
      </c>
      <c r="H316" s="3" t="n">
        <v>1</v>
      </c>
      <c r="I316" s="3">
        <f>G316*H316</f>
        <v/>
      </c>
      <c r="J316" s="3">
        <f>D316*I316</f>
        <v/>
      </c>
    </row>
    <row r="317">
      <c r="A317" s="2" t="inlineStr">
        <is>
          <t>9</t>
        </is>
      </c>
      <c r="B317" s="2" t="inlineStr">
        <is>
          <t>NB21</t>
        </is>
      </c>
      <c r="C317" s="2" t="inlineStr">
        <is>
          <t>Cd</t>
        </is>
      </c>
      <c r="D317" s="2" t="n">
        <v>10</v>
      </c>
      <c r="E317" s="2" t="inlineStr">
        <is>
          <t>Ngoại nghiệp</t>
        </is>
      </c>
      <c r="F317" s="2" t="inlineStr">
        <is>
          <t>1QTVTNMT hạng III.3</t>
        </is>
      </c>
      <c r="G317" s="2" t="n">
        <v>0.3</v>
      </c>
      <c r="H317" s="2" t="n">
        <v>1.2</v>
      </c>
      <c r="I317" s="2">
        <f>G317*H317</f>
        <v/>
      </c>
      <c r="J317" s="2">
        <f>D317*I317</f>
        <v/>
      </c>
    </row>
    <row r="318">
      <c r="A318" s="3" t="inlineStr">
        <is>
          <t>9</t>
        </is>
      </c>
      <c r="B318" s="3" t="inlineStr">
        <is>
          <t>NB21</t>
        </is>
      </c>
      <c r="C318" s="3" t="inlineStr">
        <is>
          <t>Cd</t>
        </is>
      </c>
      <c r="D318" s="3" t="n">
        <v>10</v>
      </c>
      <c r="E318" s="3" t="inlineStr">
        <is>
          <t>Nội nghiệp</t>
        </is>
      </c>
      <c r="F318" s="3" t="inlineStr">
        <is>
          <t>1QTVTNMT hạng III.3</t>
        </is>
      </c>
      <c r="G318" s="3" t="n">
        <v>0.35</v>
      </c>
      <c r="H318" s="3" t="n">
        <v>1</v>
      </c>
      <c r="I318" s="3">
        <f>G318*H318</f>
        <v/>
      </c>
      <c r="J318" s="3">
        <f>D318*I318</f>
        <v/>
      </c>
    </row>
    <row r="319">
      <c r="A319" s="2" t="inlineStr">
        <is>
          <t>10</t>
        </is>
      </c>
      <c r="B319" s="2" t="inlineStr">
        <is>
          <t>NB21</t>
        </is>
      </c>
      <c r="C319" s="2" t="inlineStr">
        <is>
          <t>As</t>
        </is>
      </c>
      <c r="D319" s="2" t="n">
        <v>10</v>
      </c>
      <c r="E319" s="2" t="inlineStr">
        <is>
          <t>Ngoại nghiệp</t>
        </is>
      </c>
      <c r="F319" s="2" t="inlineStr">
        <is>
          <t>1QTVTNMT hạng III.3</t>
        </is>
      </c>
      <c r="G319" s="2" t="n">
        <v>0.3</v>
      </c>
      <c r="H319" s="2" t="n">
        <v>1.2</v>
      </c>
      <c r="I319" s="2">
        <f>G319*H319</f>
        <v/>
      </c>
      <c r="J319" s="2">
        <f>D319*I319</f>
        <v/>
      </c>
    </row>
    <row r="320">
      <c r="A320" s="3" t="inlineStr">
        <is>
          <t>10</t>
        </is>
      </c>
      <c r="B320" s="3" t="inlineStr">
        <is>
          <t>NB21</t>
        </is>
      </c>
      <c r="C320" s="3" t="inlineStr">
        <is>
          <t>As</t>
        </is>
      </c>
      <c r="D320" s="3" t="n">
        <v>10</v>
      </c>
      <c r="E320" s="3" t="inlineStr">
        <is>
          <t>Nội nghiệp</t>
        </is>
      </c>
      <c r="F320" s="3" t="inlineStr">
        <is>
          <t>1QTVTNMT hạng III.3</t>
        </is>
      </c>
      <c r="G320" s="3" t="n">
        <v>0.35</v>
      </c>
      <c r="H320" s="3" t="n">
        <v>1</v>
      </c>
      <c r="I320" s="3">
        <f>G320*H320</f>
        <v/>
      </c>
      <c r="J320" s="3">
        <f>D320*I320</f>
        <v/>
      </c>
    </row>
    <row r="321">
      <c r="A321" s="2" t="inlineStr">
        <is>
          <t>11</t>
        </is>
      </c>
      <c r="B321" s="2" t="inlineStr">
        <is>
          <t>NB21</t>
        </is>
      </c>
      <c r="C321" s="2" t="inlineStr">
        <is>
          <t>Hg</t>
        </is>
      </c>
      <c r="D321" s="2" t="n">
        <v>10</v>
      </c>
      <c r="E321" s="2" t="inlineStr">
        <is>
          <t>Ngoại nghiệp</t>
        </is>
      </c>
      <c r="F321" s="2" t="inlineStr">
        <is>
          <t>1QTVTNMT hạng III.3</t>
        </is>
      </c>
      <c r="G321" s="2" t="n">
        <v>0.3</v>
      </c>
      <c r="H321" s="2" t="n">
        <v>1.2</v>
      </c>
      <c r="I321" s="2">
        <f>G321*H321</f>
        <v/>
      </c>
      <c r="J321" s="2">
        <f>D321*I321</f>
        <v/>
      </c>
    </row>
    <row r="322">
      <c r="A322" s="3" t="inlineStr">
        <is>
          <t>11</t>
        </is>
      </c>
      <c r="B322" s="3" t="inlineStr">
        <is>
          <t>NB21</t>
        </is>
      </c>
      <c r="C322" s="3" t="inlineStr">
        <is>
          <t>Hg</t>
        </is>
      </c>
      <c r="D322" s="3" t="n">
        <v>10</v>
      </c>
      <c r="E322" s="3" t="inlineStr">
        <is>
          <t>Nội nghiệp</t>
        </is>
      </c>
      <c r="F322" s="3" t="inlineStr">
        <is>
          <t>1QTVTNMT hạng III.3</t>
        </is>
      </c>
      <c r="G322" s="3" t="n">
        <v>0.35</v>
      </c>
      <c r="H322" s="3" t="n">
        <v>1</v>
      </c>
      <c r="I322" s="3">
        <f>G322*H322</f>
        <v/>
      </c>
      <c r="J322" s="3">
        <f>D322*I322</f>
        <v/>
      </c>
    </row>
    <row r="323">
      <c r="A323" s="2" t="inlineStr">
        <is>
          <t>12</t>
        </is>
      </c>
      <c r="B323" s="2" t="inlineStr">
        <is>
          <t>NB21</t>
        </is>
      </c>
      <c r="C323" s="2" t="inlineStr">
        <is>
          <t>Cu</t>
        </is>
      </c>
      <c r="D323" s="2" t="n">
        <v>10</v>
      </c>
      <c r="E323" s="2" t="inlineStr">
        <is>
          <t>Ngoại nghiệp</t>
        </is>
      </c>
      <c r="F323" s="2" t="inlineStr">
        <is>
          <t>1QTVTNMT hạng III.3</t>
        </is>
      </c>
      <c r="G323" s="2" t="n">
        <v>0.3</v>
      </c>
      <c r="H323" s="2" t="n">
        <v>1.2</v>
      </c>
      <c r="I323" s="2">
        <f>G323*H323</f>
        <v/>
      </c>
      <c r="J323" s="2">
        <f>D323*I323</f>
        <v/>
      </c>
    </row>
    <row r="324">
      <c r="A324" s="3" t="inlineStr">
        <is>
          <t>12</t>
        </is>
      </c>
      <c r="B324" s="3" t="inlineStr">
        <is>
          <t>NB21</t>
        </is>
      </c>
      <c r="C324" s="3" t="inlineStr">
        <is>
          <t>Cu</t>
        </is>
      </c>
      <c r="D324" s="3" t="n">
        <v>10</v>
      </c>
      <c r="E324" s="3" t="inlineStr">
        <is>
          <t>Nội nghiệp</t>
        </is>
      </c>
      <c r="F324" s="3" t="inlineStr">
        <is>
          <t>1QTVTNMT hạng III.3</t>
        </is>
      </c>
      <c r="G324" s="3" t="n">
        <v>0.35</v>
      </c>
      <c r="H324" s="3" t="n">
        <v>1</v>
      </c>
      <c r="I324" s="3">
        <f>G324*H324</f>
        <v/>
      </c>
      <c r="J324" s="3">
        <f>D324*I324</f>
        <v/>
      </c>
    </row>
    <row r="325">
      <c r="A325" s="2" t="inlineStr">
        <is>
          <t>13</t>
        </is>
      </c>
      <c r="B325" s="2" t="inlineStr">
        <is>
          <t>NB21</t>
        </is>
      </c>
      <c r="C325" s="2" t="inlineStr">
        <is>
          <t>Pb</t>
        </is>
      </c>
      <c r="D325" s="2" t="n">
        <v>10</v>
      </c>
      <c r="E325" s="2" t="inlineStr">
        <is>
          <t>Ngoại nghiệp</t>
        </is>
      </c>
      <c r="F325" s="2" t="inlineStr">
        <is>
          <t>1QTVTNMT hạng III.3</t>
        </is>
      </c>
      <c r="G325" s="2" t="n">
        <v>0.3</v>
      </c>
      <c r="H325" s="2" t="n">
        <v>1.2</v>
      </c>
      <c r="I325" s="2">
        <f>G325*H325</f>
        <v/>
      </c>
      <c r="J325" s="2">
        <f>D325*I325</f>
        <v/>
      </c>
    </row>
    <row r="326">
      <c r="A326" s="3" t="inlineStr">
        <is>
          <t>13</t>
        </is>
      </c>
      <c r="B326" s="3" t="inlineStr">
        <is>
          <t>NB21</t>
        </is>
      </c>
      <c r="C326" s="3" t="inlineStr">
        <is>
          <t>Pb</t>
        </is>
      </c>
      <c r="D326" s="3" t="n">
        <v>10</v>
      </c>
      <c r="E326" s="3" t="inlineStr">
        <is>
          <t>Nội nghiệp</t>
        </is>
      </c>
      <c r="F326" s="3" t="inlineStr">
        <is>
          <t>1QTVTNMT hạng III.3</t>
        </is>
      </c>
      <c r="G326" s="3" t="n">
        <v>0.35</v>
      </c>
      <c r="H326" s="3" t="n">
        <v>1</v>
      </c>
      <c r="I326" s="3">
        <f>G326*H326</f>
        <v/>
      </c>
      <c r="J326" s="3">
        <f>D326*I326</f>
        <v/>
      </c>
    </row>
    <row r="327">
      <c r="A327" s="2" t="inlineStr">
        <is>
          <t>14</t>
        </is>
      </c>
      <c r="B327" s="2" t="inlineStr">
        <is>
          <t>NB21</t>
        </is>
      </c>
      <c r="C327" s="2" t="inlineStr">
        <is>
          <t>Fe</t>
        </is>
      </c>
      <c r="D327" s="2" t="n">
        <v>10</v>
      </c>
      <c r="E327" s="2" t="inlineStr">
        <is>
          <t>Ngoại nghiệp</t>
        </is>
      </c>
      <c r="F327" s="2" t="inlineStr">
        <is>
          <t>1QTVTNMT hạng III.3</t>
        </is>
      </c>
      <c r="G327" s="2" t="n">
        <v>0.3</v>
      </c>
      <c r="H327" s="2" t="n">
        <v>1.2</v>
      </c>
      <c r="I327" s="2">
        <f>G327*H327</f>
        <v/>
      </c>
      <c r="J327" s="2">
        <f>D327*I327</f>
        <v/>
      </c>
    </row>
    <row r="328">
      <c r="A328" s="3" t="inlineStr">
        <is>
          <t>14</t>
        </is>
      </c>
      <c r="B328" s="3" t="inlineStr">
        <is>
          <t>NB21</t>
        </is>
      </c>
      <c r="C328" s="3" t="inlineStr">
        <is>
          <t>Fe</t>
        </is>
      </c>
      <c r="D328" s="3" t="n">
        <v>10</v>
      </c>
      <c r="E328" s="3" t="inlineStr">
        <is>
          <t>Nội nghiệp</t>
        </is>
      </c>
      <c r="F328" s="3" t="inlineStr">
        <is>
          <t>1QTVTNMT hạng III.3</t>
        </is>
      </c>
      <c r="G328" s="3" t="n">
        <v>0.35</v>
      </c>
      <c r="H328" s="3" t="n">
        <v>1</v>
      </c>
      <c r="I328" s="3">
        <f>G328*H328</f>
        <v/>
      </c>
      <c r="J328" s="3">
        <f>D328*I328</f>
        <v/>
      </c>
    </row>
    <row r="329">
      <c r="A329" s="2" t="inlineStr">
        <is>
          <t>15</t>
        </is>
      </c>
      <c r="B329" s="2" t="inlineStr">
        <is>
          <t>NB21</t>
        </is>
      </c>
      <c r="C329" s="2" t="inlineStr">
        <is>
          <t>Zn</t>
        </is>
      </c>
      <c r="D329" s="2" t="n">
        <v>10</v>
      </c>
      <c r="E329" s="2" t="inlineStr">
        <is>
          <t>Ngoại nghiệp</t>
        </is>
      </c>
      <c r="F329" s="2" t="inlineStr">
        <is>
          <t>1QTVTNMT hạng III.3</t>
        </is>
      </c>
      <c r="G329" s="2" t="n">
        <v>0.3</v>
      </c>
      <c r="H329" s="2" t="n">
        <v>1.2</v>
      </c>
      <c r="I329" s="2">
        <f>G329*H329</f>
        <v/>
      </c>
      <c r="J329" s="2">
        <f>D329*I329</f>
        <v/>
      </c>
    </row>
    <row r="330">
      <c r="A330" s="3" t="inlineStr">
        <is>
          <t>15</t>
        </is>
      </c>
      <c r="B330" s="3" t="inlineStr">
        <is>
          <t>NB21</t>
        </is>
      </c>
      <c r="C330" s="3" t="inlineStr">
        <is>
          <t>Zn</t>
        </is>
      </c>
      <c r="D330" s="3" t="n">
        <v>10</v>
      </c>
      <c r="E330" s="3" t="inlineStr">
        <is>
          <t>Nội nghiệp</t>
        </is>
      </c>
      <c r="F330" s="3" t="inlineStr">
        <is>
          <t>1QTVTNMT hạng III.3</t>
        </is>
      </c>
      <c r="G330" s="3" t="n">
        <v>0.35</v>
      </c>
      <c r="H330" s="3" t="n">
        <v>1</v>
      </c>
      <c r="I330" s="3">
        <f>G330*H330</f>
        <v/>
      </c>
      <c r="J330" s="3">
        <f>D330*I330</f>
        <v/>
      </c>
    </row>
    <row r="331">
      <c r="A331" s="2" t="inlineStr">
        <is>
          <t>16</t>
        </is>
      </c>
      <c r="B331" s="2" t="inlineStr">
        <is>
          <t>NB21</t>
        </is>
      </c>
      <c r="C331" s="2" t="inlineStr">
        <is>
          <t>Tổng Cr</t>
        </is>
      </c>
      <c r="D331" s="2" t="n">
        <v>10</v>
      </c>
      <c r="E331" s="2" t="inlineStr">
        <is>
          <t>Ngoại nghiệp</t>
        </is>
      </c>
      <c r="F331" s="2" t="inlineStr">
        <is>
          <t>1QTVTNMT hạng III.3</t>
        </is>
      </c>
      <c r="G331" s="2" t="n">
        <v>0.3</v>
      </c>
      <c r="H331" s="2" t="n">
        <v>1.2</v>
      </c>
      <c r="I331" s="2">
        <f>G331*H331</f>
        <v/>
      </c>
      <c r="J331" s="2">
        <f>D331*I331</f>
        <v/>
      </c>
    </row>
    <row r="332">
      <c r="A332" s="3" t="inlineStr">
        <is>
          <t>16</t>
        </is>
      </c>
      <c r="B332" s="3" t="inlineStr">
        <is>
          <t>NB21</t>
        </is>
      </c>
      <c r="C332" s="3" t="inlineStr">
        <is>
          <t>Tổng Cr</t>
        </is>
      </c>
      <c r="D332" s="3" t="n">
        <v>10</v>
      </c>
      <c r="E332" s="3" t="inlineStr">
        <is>
          <t>Nội nghiệp</t>
        </is>
      </c>
      <c r="F332" s="3" t="inlineStr">
        <is>
          <t>1QTVTNMT hạng III.3</t>
        </is>
      </c>
      <c r="G332" s="3" t="n">
        <v>0.35</v>
      </c>
      <c r="H332" s="3" t="n">
        <v>1</v>
      </c>
      <c r="I332" s="3">
        <f>G332*H332</f>
        <v/>
      </c>
      <c r="J332" s="3">
        <f>D332*I332</f>
        <v/>
      </c>
    </row>
    <row r="333">
      <c r="A333" s="2" t="inlineStr">
        <is>
          <t>17</t>
        </is>
      </c>
      <c r="B333" s="2" t="inlineStr">
        <is>
          <t>NB21</t>
        </is>
      </c>
      <c r="C333" s="2" t="inlineStr">
        <is>
          <t>Mn</t>
        </is>
      </c>
      <c r="D333" s="2" t="n">
        <v>10</v>
      </c>
      <c r="E333" s="2" t="inlineStr">
        <is>
          <t>Ngoại nghiệp</t>
        </is>
      </c>
      <c r="F333" s="2" t="inlineStr">
        <is>
          <t>1QTVTNMT hạng III.3</t>
        </is>
      </c>
      <c r="G333" s="2" t="n">
        <v>0.3</v>
      </c>
      <c r="H333" s="2" t="n">
        <v>1.2</v>
      </c>
      <c r="I333" s="2">
        <f>G333*H333</f>
        <v/>
      </c>
      <c r="J333" s="2">
        <f>D333*I333</f>
        <v/>
      </c>
    </row>
    <row r="334">
      <c r="A334" s="3" t="inlineStr">
        <is>
          <t>17</t>
        </is>
      </c>
      <c r="B334" s="3" t="inlineStr">
        <is>
          <t>NB21</t>
        </is>
      </c>
      <c r="C334" s="3" t="inlineStr">
        <is>
          <t>Mn</t>
        </is>
      </c>
      <c r="D334" s="3" t="n">
        <v>10</v>
      </c>
      <c r="E334" s="3" t="inlineStr">
        <is>
          <t>Nội nghiệp</t>
        </is>
      </c>
      <c r="F334" s="3" t="inlineStr">
        <is>
          <t>1QTVTNMT hạng III.3</t>
        </is>
      </c>
      <c r="G334" s="3" t="n">
        <v>0.35</v>
      </c>
      <c r="H334" s="3" t="n">
        <v>1</v>
      </c>
      <c r="I334" s="3">
        <f>G334*H334</f>
        <v/>
      </c>
      <c r="J334" s="3">
        <f>D334*I334</f>
        <v/>
      </c>
    </row>
    <row r="335">
      <c r="A335" s="2" t="inlineStr">
        <is>
          <t>18</t>
        </is>
      </c>
      <c r="B335" s="2" t="inlineStr">
        <is>
          <t>NB21</t>
        </is>
      </c>
      <c r="C335" s="2" t="inlineStr">
        <is>
          <t>Cr VI</t>
        </is>
      </c>
      <c r="D335" s="2" t="n">
        <v>10</v>
      </c>
      <c r="E335" s="2" t="inlineStr">
        <is>
          <t>Ngoại nghiệp</t>
        </is>
      </c>
      <c r="F335" s="2" t="inlineStr">
        <is>
          <t>1QTVTNMT hạng III.3</t>
        </is>
      </c>
      <c r="G335" s="2" t="n">
        <v>0.3</v>
      </c>
      <c r="H335" s="2" t="n">
        <v>1.2</v>
      </c>
      <c r="I335" s="2">
        <f>G335*H335</f>
        <v/>
      </c>
      <c r="J335" s="2">
        <f>D335*I335</f>
        <v/>
      </c>
    </row>
    <row r="336">
      <c r="A336" s="3" t="inlineStr">
        <is>
          <t>18</t>
        </is>
      </c>
      <c r="B336" s="3" t="inlineStr">
        <is>
          <t>NB21</t>
        </is>
      </c>
      <c r="C336" s="3" t="inlineStr">
        <is>
          <t>Cr VI</t>
        </is>
      </c>
      <c r="D336" s="3" t="n">
        <v>10</v>
      </c>
      <c r="E336" s="3" t="inlineStr">
        <is>
          <t>Nội nghiệp</t>
        </is>
      </c>
      <c r="F336" s="3" t="inlineStr">
        <is>
          <t>1QTVTNMT hạng III.3</t>
        </is>
      </c>
      <c r="G336" s="3" t="n">
        <v>0.35</v>
      </c>
      <c r="H336" s="3" t="n">
        <v>1</v>
      </c>
      <c r="I336" s="3">
        <f>G336*H336</f>
        <v/>
      </c>
      <c r="J336" s="3">
        <f>D336*I336</f>
        <v/>
      </c>
    </row>
    <row r="337">
      <c r="A337" s="2" t="inlineStr">
        <is>
          <t>19</t>
        </is>
      </c>
      <c r="B337" s="2" t="inlineStr">
        <is>
          <t>NB10</t>
        </is>
      </c>
      <c r="C337" s="2" t="inlineStr">
        <is>
          <t>Tổng Phenol</t>
        </is>
      </c>
      <c r="D337" s="2" t="n">
        <v>10</v>
      </c>
      <c r="E337" s="2" t="inlineStr">
        <is>
          <t>Ngoại nghiệp</t>
        </is>
      </c>
      <c r="F337" s="2" t="inlineStr">
        <is>
          <t>1QTVTNMT hạng III.2</t>
        </is>
      </c>
      <c r="G337" s="2" t="n">
        <v>0.35</v>
      </c>
      <c r="H337" s="2" t="n">
        <v>1.2</v>
      </c>
      <c r="I337" s="2">
        <f>G337*H337</f>
        <v/>
      </c>
      <c r="J337" s="2">
        <f>D337*I337</f>
        <v/>
      </c>
    </row>
    <row r="338">
      <c r="A338" s="3" t="inlineStr">
        <is>
          <t>19</t>
        </is>
      </c>
      <c r="B338" s="3" t="inlineStr">
        <is>
          <t>NB10</t>
        </is>
      </c>
      <c r="C338" s="3" t="inlineStr">
        <is>
          <t>Tổng Phenol</t>
        </is>
      </c>
      <c r="D338" s="3" t="n">
        <v>10</v>
      </c>
      <c r="E338" s="3" t="inlineStr">
        <is>
          <t>Nội nghiệp</t>
        </is>
      </c>
      <c r="F338" s="3" t="inlineStr">
        <is>
          <t>1QTVTNMT hạng III.3</t>
        </is>
      </c>
      <c r="G338" s="3" t="n">
        <v>0.4</v>
      </c>
      <c r="H338" s="3" t="n">
        <v>1</v>
      </c>
      <c r="I338" s="3">
        <f>G338*H338</f>
        <v/>
      </c>
      <c r="J338" s="3">
        <f>D338*I338</f>
        <v/>
      </c>
    </row>
    <row r="339">
      <c r="A339" s="2" t="inlineStr">
        <is>
          <t>20</t>
        </is>
      </c>
      <c r="B339" s="2" t="inlineStr">
        <is>
          <t>NB22</t>
        </is>
      </c>
      <c r="C339" s="2" t="inlineStr">
        <is>
          <t>Tổng dầu mỡ khoáng</t>
        </is>
      </c>
      <c r="D339" s="2" t="n">
        <v>10</v>
      </c>
      <c r="E339" s="2" t="inlineStr">
        <is>
          <t>Ngoại nghiệp</t>
        </is>
      </c>
      <c r="F339" s="2" t="inlineStr">
        <is>
          <t>1QTVTNMT hạng III.3</t>
        </is>
      </c>
      <c r="G339" s="2" t="n">
        <v>0.3</v>
      </c>
      <c r="H339" s="2" t="n">
        <v>1.2</v>
      </c>
      <c r="I339" s="2">
        <f>G339*H339</f>
        <v/>
      </c>
      <c r="J339" s="2">
        <f>D339*I339</f>
        <v/>
      </c>
    </row>
    <row r="340">
      <c r="A340" s="3" t="inlineStr">
        <is>
          <t>20</t>
        </is>
      </c>
      <c r="B340" s="3" t="inlineStr">
        <is>
          <t>NB22</t>
        </is>
      </c>
      <c r="C340" s="3" t="inlineStr">
        <is>
          <t>Tổng dầu mỡ khoáng</t>
        </is>
      </c>
      <c r="D340" s="3" t="n">
        <v>10</v>
      </c>
      <c r="E340" s="3" t="inlineStr">
        <is>
          <t>Nội nghiệp</t>
        </is>
      </c>
      <c r="F340" s="3" t="inlineStr">
        <is>
          <t>1QTVTNMT hạng III.3</t>
        </is>
      </c>
      <c r="G340" s="3" t="n">
        <v>0.35</v>
      </c>
      <c r="H340" s="3" t="n">
        <v>1</v>
      </c>
      <c r="I340" s="3">
        <f>G340*H340</f>
        <v/>
      </c>
      <c r="J340" s="3">
        <f>D340*I340</f>
        <v/>
      </c>
    </row>
    <row r="341">
      <c r="A341" s="2" t="inlineStr">
        <is>
          <t>21</t>
        </is>
      </c>
      <c r="B341" s="2" t="inlineStr">
        <is>
          <t>NB18</t>
        </is>
      </c>
      <c r="C341" s="2" t="inlineStr">
        <is>
          <t>Coliform</t>
        </is>
      </c>
      <c r="D341" s="2" t="n">
        <v>10</v>
      </c>
      <c r="E341" s="2" t="inlineStr">
        <is>
          <t>Ngoại nghiệp</t>
        </is>
      </c>
      <c r="F341" s="2" t="inlineStr">
        <is>
          <t>1QTVTNMT hạng III.2</t>
        </is>
      </c>
      <c r="G341" s="2" t="n">
        <v>0.3</v>
      </c>
      <c r="H341" s="2" t="n">
        <v>1.2</v>
      </c>
      <c r="I341" s="2">
        <f>G341*H341</f>
        <v/>
      </c>
      <c r="J341" s="2">
        <f>D341*I341</f>
        <v/>
      </c>
    </row>
    <row r="342">
      <c r="A342" s="3" t="inlineStr">
        <is>
          <t>1</t>
        </is>
      </c>
      <c r="B342" s="3" t="inlineStr">
        <is>
          <t>CT2</t>
        </is>
      </c>
      <c r="C342" s="3" t="inlineStr">
        <is>
          <t>pH</t>
        </is>
      </c>
      <c r="D342" s="3" t="n">
        <v>4</v>
      </c>
      <c r="E342" s="3" t="inlineStr">
        <is>
          <t>Ngoại nghiệp</t>
        </is>
      </c>
      <c r="F342" s="3" t="inlineStr">
        <is>
          <t>1QTVTNMT hạng IV.2</t>
        </is>
      </c>
      <c r="G342" s="3" t="n">
        <v>0.35</v>
      </c>
      <c r="H342" s="3" t="n">
        <v>1.2</v>
      </c>
      <c r="I342" s="3">
        <f>G342*H342</f>
        <v/>
      </c>
      <c r="J342" s="3">
        <f>D342*I342</f>
        <v/>
      </c>
    </row>
    <row r="343">
      <c r="A343" s="2" t="inlineStr">
        <is>
          <t>1</t>
        </is>
      </c>
      <c r="B343" s="2" t="inlineStr">
        <is>
          <t>CT2</t>
        </is>
      </c>
      <c r="C343" s="2" t="inlineStr">
        <is>
          <t>pH</t>
        </is>
      </c>
      <c r="D343" s="2" t="n">
        <v>4</v>
      </c>
      <c r="E343" s="2" t="inlineStr">
        <is>
          <t>Nội nghiệp</t>
        </is>
      </c>
      <c r="F343" s="2" t="inlineStr">
        <is>
          <t>1QTVTNMT hạng III.1</t>
        </is>
      </c>
      <c r="G343" s="2" t="n">
        <v>0.6</v>
      </c>
      <c r="H343" s="2" t="n">
        <v>1</v>
      </c>
      <c r="I343" s="2">
        <f>G343*H343</f>
        <v/>
      </c>
      <c r="J343" s="2">
        <f>D343*I343</f>
        <v/>
      </c>
    </row>
    <row r="344">
      <c r="A344" s="3" t="inlineStr">
        <is>
          <t>2</t>
        </is>
      </c>
      <c r="B344" s="3" t="inlineStr">
        <is>
          <t>CT3</t>
        </is>
      </c>
      <c r="C344" s="3" t="inlineStr">
        <is>
          <t>Cyanua (CN-)</t>
        </is>
      </c>
      <c r="D344" s="3" t="n">
        <v>4</v>
      </c>
      <c r="E344" s="3" t="inlineStr">
        <is>
          <t>Ngoại nghiệp</t>
        </is>
      </c>
      <c r="F344" s="3" t="inlineStr">
        <is>
          <t>1QTVTNMT hạng III.1</t>
        </is>
      </c>
      <c r="G344" s="3" t="n">
        <v>0.35</v>
      </c>
      <c r="H344" s="3" t="n">
        <v>1.2</v>
      </c>
      <c r="I344" s="3">
        <f>G344*H344</f>
        <v/>
      </c>
      <c r="J344" s="3">
        <f>D344*I344</f>
        <v/>
      </c>
    </row>
    <row r="345">
      <c r="A345" s="2" t="inlineStr">
        <is>
          <t>2</t>
        </is>
      </c>
      <c r="B345" s="2" t="inlineStr">
        <is>
          <t>CT3</t>
        </is>
      </c>
      <c r="C345" s="2" t="inlineStr">
        <is>
          <t>Cyanua (CN-)</t>
        </is>
      </c>
      <c r="D345" s="2" t="n">
        <v>4</v>
      </c>
      <c r="E345" s="2" t="inlineStr">
        <is>
          <t>Nội nghiệp</t>
        </is>
      </c>
      <c r="F345" s="2" t="inlineStr">
        <is>
          <t>1QTVTNMT hạng III.3</t>
        </is>
      </c>
      <c r="G345" s="2" t="n">
        <v>1.2</v>
      </c>
      <c r="H345" s="2" t="n">
        <v>1</v>
      </c>
      <c r="I345" s="2">
        <f>G345*H345</f>
        <v/>
      </c>
      <c r="J345" s="2">
        <f>D345*I345</f>
        <v/>
      </c>
    </row>
    <row r="346">
      <c r="A346" s="3" t="inlineStr">
        <is>
          <t>3</t>
        </is>
      </c>
      <c r="B346" s="3" t="inlineStr">
        <is>
          <t>CT4</t>
        </is>
      </c>
      <c r="C346" s="3" t="inlineStr">
        <is>
          <t>Crom (VI)</t>
        </is>
      </c>
      <c r="D346" s="3" t="n">
        <v>4</v>
      </c>
      <c r="E346" s="3" t="inlineStr">
        <is>
          <t>Ngoại nghiệp</t>
        </is>
      </c>
      <c r="F346" s="3" t="inlineStr">
        <is>
          <t>1QTVTNMT hạng III.1</t>
        </is>
      </c>
      <c r="G346" s="3" t="n">
        <v>0.35</v>
      </c>
      <c r="H346" s="3" t="n">
        <v>1.2</v>
      </c>
      <c r="I346" s="3">
        <f>G346*H346</f>
        <v/>
      </c>
      <c r="J346" s="3">
        <f>D346*I346</f>
        <v/>
      </c>
    </row>
    <row r="347">
      <c r="A347" s="2" t="inlineStr">
        <is>
          <t>3</t>
        </is>
      </c>
      <c r="B347" s="2" t="inlineStr">
        <is>
          <t>CT4</t>
        </is>
      </c>
      <c r="C347" s="2" t="inlineStr">
        <is>
          <t>Crom (VI)</t>
        </is>
      </c>
      <c r="D347" s="2" t="n">
        <v>4</v>
      </c>
      <c r="E347" s="2" t="inlineStr">
        <is>
          <t>Nội nghiệp</t>
        </is>
      </c>
      <c r="F347" s="2" t="inlineStr">
        <is>
          <t>1QTVTNMT hạng III.2</t>
        </is>
      </c>
      <c r="G347" s="2" t="n">
        <v>0.6</v>
      </c>
      <c r="H347" s="2" t="n">
        <v>1</v>
      </c>
      <c r="I347" s="2">
        <f>G347*H347</f>
        <v/>
      </c>
      <c r="J347" s="2">
        <f>D347*I347</f>
        <v/>
      </c>
    </row>
    <row r="348">
      <c r="A348" s="3" t="inlineStr">
        <is>
          <t>4</t>
        </is>
      </c>
      <c r="B348" s="3" t="inlineStr">
        <is>
          <t>CT7a</t>
        </is>
      </c>
      <c r="C348" s="3" t="inlineStr">
        <is>
          <t>As</t>
        </is>
      </c>
      <c r="D348" s="3" t="n">
        <v>4</v>
      </c>
      <c r="E348" s="3" t="inlineStr">
        <is>
          <t>Ngoại nghiệp</t>
        </is>
      </c>
      <c r="F348" s="3" t="inlineStr">
        <is>
          <t>1QTVTNMT hạng III.1</t>
        </is>
      </c>
      <c r="G348" s="3" t="n">
        <v>0.35</v>
      </c>
      <c r="H348" s="3" t="n">
        <v>1.2</v>
      </c>
      <c r="I348" s="3">
        <f>G348*H348</f>
        <v/>
      </c>
      <c r="J348" s="3">
        <f>D348*I348</f>
        <v/>
      </c>
    </row>
    <row r="349">
      <c r="A349" s="2" t="inlineStr">
        <is>
          <t>4</t>
        </is>
      </c>
      <c r="B349" s="2" t="inlineStr">
        <is>
          <t>CT7a</t>
        </is>
      </c>
      <c r="C349" s="2" t="inlineStr">
        <is>
          <t>As</t>
        </is>
      </c>
      <c r="D349" s="2" t="n">
        <v>4</v>
      </c>
      <c r="E349" s="2" t="inlineStr">
        <is>
          <t>Nội nghiệp</t>
        </is>
      </c>
      <c r="F349" s="2" t="inlineStr">
        <is>
          <t>1QTVTNMT hạng III.3</t>
        </is>
      </c>
      <c r="G349" s="2" t="n">
        <v>1</v>
      </c>
      <c r="H349" s="2" t="n">
        <v>1</v>
      </c>
      <c r="I349" s="2">
        <f>G349*H349</f>
        <v/>
      </c>
      <c r="J349" s="2">
        <f>D349*I349</f>
        <v/>
      </c>
    </row>
    <row r="350">
      <c r="A350" s="3" t="inlineStr">
        <is>
          <t>5</t>
        </is>
      </c>
      <c r="B350" s="3" t="inlineStr">
        <is>
          <t>CT7b</t>
        </is>
      </c>
      <c r="C350" s="3" t="inlineStr">
        <is>
          <t>Hg</t>
        </is>
      </c>
      <c r="D350" s="3" t="n">
        <v>4</v>
      </c>
      <c r="E350" s="3" t="inlineStr">
        <is>
          <t>Ngoại nghiệp</t>
        </is>
      </c>
      <c r="F350" s="3" t="inlineStr">
        <is>
          <t>1QTVTNMT hạng III.1</t>
        </is>
      </c>
      <c r="G350" s="3" t="n">
        <v>0.35</v>
      </c>
      <c r="H350" s="3" t="n">
        <v>1.2</v>
      </c>
      <c r="I350" s="3">
        <f>G350*H350</f>
        <v/>
      </c>
      <c r="J350" s="3">
        <f>D350*I350</f>
        <v/>
      </c>
    </row>
    <row r="351">
      <c r="A351" s="2" t="inlineStr">
        <is>
          <t>5</t>
        </is>
      </c>
      <c r="B351" s="2" t="inlineStr">
        <is>
          <t>CT7b</t>
        </is>
      </c>
      <c r="C351" s="2" t="inlineStr">
        <is>
          <t>Hg</t>
        </is>
      </c>
      <c r="D351" s="2" t="n">
        <v>4</v>
      </c>
      <c r="E351" s="2" t="inlineStr">
        <is>
          <t>Nội nghiệp</t>
        </is>
      </c>
      <c r="F351" s="2" t="inlineStr">
        <is>
          <t>1QTVTNMT hạng III.3</t>
        </is>
      </c>
      <c r="G351" s="2" t="n">
        <v>1</v>
      </c>
      <c r="H351" s="2" t="n">
        <v>1</v>
      </c>
      <c r="I351" s="2">
        <f>G351*H351</f>
        <v/>
      </c>
      <c r="J351" s="2">
        <f>D351*I351</f>
        <v/>
      </c>
    </row>
    <row r="352">
      <c r="A352" s="3" t="inlineStr">
        <is>
          <t>6</t>
        </is>
      </c>
      <c r="B352" s="3" t="inlineStr">
        <is>
          <t>CT2</t>
        </is>
      </c>
      <c r="C352" s="3" t="inlineStr">
        <is>
          <t>Phenol</t>
        </is>
      </c>
      <c r="D352" s="3" t="n">
        <v>4</v>
      </c>
      <c r="E352" s="3" t="inlineStr">
        <is>
          <t>Ngoại nghiệp</t>
        </is>
      </c>
      <c r="F352" s="3" t="inlineStr">
        <is>
          <t>1QTVTNMT hạng IV.2</t>
        </is>
      </c>
      <c r="G352" s="3" t="n">
        <v>0.35</v>
      </c>
      <c r="H352" s="3" t="n">
        <v>1.2</v>
      </c>
      <c r="I352" s="3">
        <f>G352*H352</f>
        <v/>
      </c>
      <c r="J352" s="3">
        <f>D352*I352</f>
        <v/>
      </c>
    </row>
    <row r="353">
      <c r="A353" s="2" t="inlineStr">
        <is>
          <t>6</t>
        </is>
      </c>
      <c r="B353" s="2" t="inlineStr">
        <is>
          <t>CT2</t>
        </is>
      </c>
      <c r="C353" s="2" t="inlineStr">
        <is>
          <t>Phenol</t>
        </is>
      </c>
      <c r="D353" s="2" t="n">
        <v>4</v>
      </c>
      <c r="E353" s="2" t="inlineStr">
        <is>
          <t>Nội nghiệp</t>
        </is>
      </c>
      <c r="F353" s="2" t="inlineStr">
        <is>
          <t>1QTVTNMT hạng III.1</t>
        </is>
      </c>
      <c r="G353" s="2" t="n">
        <v>0.6</v>
      </c>
      <c r="H353" s="2" t="n">
        <v>1</v>
      </c>
      <c r="I353" s="2">
        <f>G353*H353</f>
        <v/>
      </c>
      <c r="J353" s="2">
        <f>D353*I353</f>
        <v/>
      </c>
    </row>
    <row r="354">
      <c r="A354" s="3" t="inlineStr">
        <is>
          <t>7</t>
        </is>
      </c>
      <c r="B354" s="3" t="inlineStr">
        <is>
          <t>CT6a</t>
        </is>
      </c>
      <c r="C354" s="3" t="inlineStr">
        <is>
          <t>Pb</t>
        </is>
      </c>
      <c r="D354" s="3" t="n">
        <v>4</v>
      </c>
      <c r="E354" s="3" t="inlineStr">
        <is>
          <t>Ngoại nghiệp</t>
        </is>
      </c>
      <c r="F354" s="3" t="inlineStr">
        <is>
          <t>1QTVTNMT hạng III.1</t>
        </is>
      </c>
      <c r="G354" s="3" t="n">
        <v>0.35</v>
      </c>
      <c r="H354" s="3" t="n">
        <v>1.2</v>
      </c>
      <c r="I354" s="3">
        <f>G354*H354</f>
        <v/>
      </c>
      <c r="J354" s="3">
        <f>D354*I354</f>
        <v/>
      </c>
    </row>
    <row r="355">
      <c r="A355" s="2" t="inlineStr">
        <is>
          <t>7</t>
        </is>
      </c>
      <c r="B355" s="2" t="inlineStr">
        <is>
          <t>CT6a</t>
        </is>
      </c>
      <c r="C355" s="2" t="inlineStr">
        <is>
          <t>Pb</t>
        </is>
      </c>
      <c r="D355" s="2" t="n">
        <v>4</v>
      </c>
      <c r="E355" s="2" t="inlineStr">
        <is>
          <t>Nội nghiệp</t>
        </is>
      </c>
      <c r="F355" s="2" t="inlineStr">
        <is>
          <t>1QTVTNMT hạng III.3</t>
        </is>
      </c>
      <c r="G355" s="2" t="n">
        <v>1</v>
      </c>
      <c r="H355" s="2" t="n">
        <v>1</v>
      </c>
      <c r="I355" s="2">
        <f>G355*H355</f>
        <v/>
      </c>
      <c r="J355" s="2">
        <f>D355*I355</f>
        <v/>
      </c>
    </row>
    <row r="356">
      <c r="A356" s="3" t="inlineStr">
        <is>
          <t>8</t>
        </is>
      </c>
      <c r="B356" s="3" t="inlineStr">
        <is>
          <t>CT6b</t>
        </is>
      </c>
      <c r="C356" s="3" t="inlineStr">
        <is>
          <t>Cd</t>
        </is>
      </c>
      <c r="D356" s="3" t="n">
        <v>4</v>
      </c>
      <c r="E356" s="3" t="inlineStr">
        <is>
          <t>Ngoại nghiệp</t>
        </is>
      </c>
      <c r="F356" s="3" t="inlineStr">
        <is>
          <t>1QTVTNMT hạng III.1</t>
        </is>
      </c>
      <c r="G356" s="3" t="n">
        <v>0.35</v>
      </c>
      <c r="H356" s="3" t="n">
        <v>1.2</v>
      </c>
      <c r="I356" s="3">
        <f>G356*H356</f>
        <v/>
      </c>
      <c r="J356" s="3">
        <f>D356*I356</f>
        <v/>
      </c>
    </row>
    <row r="357">
      <c r="A357" s="2" t="inlineStr">
        <is>
          <t>8</t>
        </is>
      </c>
      <c r="B357" s="2" t="inlineStr">
        <is>
          <t>CT6b</t>
        </is>
      </c>
      <c r="C357" s="2" t="inlineStr">
        <is>
          <t>Cd</t>
        </is>
      </c>
      <c r="D357" s="2" t="n">
        <v>4</v>
      </c>
      <c r="E357" s="2" t="inlineStr">
        <is>
          <t>Nội nghiệp</t>
        </is>
      </c>
      <c r="F357" s="2" t="inlineStr">
        <is>
          <t>1QTVTNMT hạng III.3</t>
        </is>
      </c>
      <c r="G357" s="2" t="n">
        <v>1</v>
      </c>
      <c r="H357" s="2" t="n">
        <v>1</v>
      </c>
      <c r="I357" s="2">
        <f>G357*H357</f>
        <v/>
      </c>
      <c r="J357" s="2">
        <f>D357*I357</f>
        <v/>
      </c>
    </row>
    <row r="358">
      <c r="A358" s="3" t="inlineStr">
        <is>
          <t>9</t>
        </is>
      </c>
      <c r="B358" s="3" t="inlineStr">
        <is>
          <t>CT8b</t>
        </is>
      </c>
      <c r="C358" s="3" t="inlineStr">
        <is>
          <t>Zn</t>
        </is>
      </c>
      <c r="D358" s="3" t="n">
        <v>4</v>
      </c>
      <c r="E358" s="3" t="inlineStr">
        <is>
          <t>Ngoại nghiệp</t>
        </is>
      </c>
      <c r="F358" s="3" t="inlineStr">
        <is>
          <t>1QTVTNMT hạng III.1</t>
        </is>
      </c>
      <c r="G358" s="3" t="n">
        <v>0.35</v>
      </c>
      <c r="H358" s="3" t="n">
        <v>1.2</v>
      </c>
      <c r="I358" s="3">
        <f>G358*H358</f>
        <v/>
      </c>
      <c r="J358" s="3">
        <f>D358*I358</f>
        <v/>
      </c>
    </row>
    <row r="359">
      <c r="A359" s="2" t="inlineStr">
        <is>
          <t>9</t>
        </is>
      </c>
      <c r="B359" s="2" t="inlineStr">
        <is>
          <t>CT8b</t>
        </is>
      </c>
      <c r="C359" s="2" t="inlineStr">
        <is>
          <t>Zn</t>
        </is>
      </c>
      <c r="D359" s="2" t="n">
        <v>4</v>
      </c>
      <c r="E359" s="2" t="inlineStr">
        <is>
          <t>Nội nghiệp</t>
        </is>
      </c>
      <c r="F359" s="2" t="inlineStr">
        <is>
          <t>1QTVTNMT hạng III.2</t>
        </is>
      </c>
      <c r="G359" s="2" t="n">
        <v>0.7</v>
      </c>
      <c r="H359" s="2" t="n">
        <v>1</v>
      </c>
      <c r="I359" s="2">
        <f>G359*H359</f>
        <v/>
      </c>
      <c r="J359" s="2">
        <f>D359*I359</f>
        <v/>
      </c>
    </row>
    <row r="360">
      <c r="A360" s="3" t="inlineStr">
        <is>
          <t>10</t>
        </is>
      </c>
      <c r="B360" s="3" t="inlineStr">
        <is>
          <t>CT8e</t>
        </is>
      </c>
      <c r="C360" s="3" t="inlineStr">
        <is>
          <t>Ni</t>
        </is>
      </c>
      <c r="D360" s="3" t="n">
        <v>4</v>
      </c>
      <c r="E360" s="3" t="inlineStr">
        <is>
          <t>Ngoại nghiệp</t>
        </is>
      </c>
      <c r="F360" s="3" t="inlineStr">
        <is>
          <t>1QTVTNMT hạng III.1</t>
        </is>
      </c>
      <c r="G360" s="3" t="n">
        <v>0.35</v>
      </c>
      <c r="H360" s="3" t="n">
        <v>1.2</v>
      </c>
      <c r="I360" s="3">
        <f>G360*H360</f>
        <v/>
      </c>
      <c r="J360" s="3">
        <f>D360*I360</f>
        <v/>
      </c>
    </row>
    <row r="361">
      <c r="A361" s="2" t="inlineStr">
        <is>
          <t>10</t>
        </is>
      </c>
      <c r="B361" s="2" t="inlineStr">
        <is>
          <t>CT8e</t>
        </is>
      </c>
      <c r="C361" s="2" t="inlineStr">
        <is>
          <t>Ni</t>
        </is>
      </c>
      <c r="D361" s="2" t="n">
        <v>4</v>
      </c>
      <c r="E361" s="2" t="inlineStr">
        <is>
          <t>Nội nghiệp</t>
        </is>
      </c>
      <c r="F361" s="2" t="inlineStr">
        <is>
          <t>1QTVTNMT hạng III.2</t>
        </is>
      </c>
      <c r="G361" s="2" t="n">
        <v>0.7</v>
      </c>
      <c r="H361" s="2" t="n">
        <v>1</v>
      </c>
      <c r="I361" s="2">
        <f>G361*H361</f>
        <v/>
      </c>
      <c r="J361" s="2">
        <f>D361*I361</f>
        <v/>
      </c>
    </row>
    <row r="362">
      <c r="A362" s="3" t="inlineStr">
        <is>
          <t>11</t>
        </is>
      </c>
      <c r="B362" s="3" t="inlineStr">
        <is>
          <t>CT8f</t>
        </is>
      </c>
      <c r="C362" s="3" t="inlineStr">
        <is>
          <t>Ba</t>
        </is>
      </c>
      <c r="D362" s="3" t="n">
        <v>4</v>
      </c>
      <c r="E362" s="3" t="inlineStr">
        <is>
          <t>Ngoại nghiệp</t>
        </is>
      </c>
      <c r="F362" s="3" t="inlineStr">
        <is>
          <t>1QTVTNMT hạng III.1</t>
        </is>
      </c>
      <c r="G362" s="3" t="n">
        <v>0.35</v>
      </c>
      <c r="H362" s="3" t="n">
        <v>1.2</v>
      </c>
      <c r="I362" s="3">
        <f>G362*H362</f>
        <v/>
      </c>
      <c r="J362" s="3">
        <f>D362*I362</f>
        <v/>
      </c>
    </row>
    <row r="363">
      <c r="A363" s="2" t="inlineStr">
        <is>
          <t>11</t>
        </is>
      </c>
      <c r="B363" s="2" t="inlineStr">
        <is>
          <t>CT8f</t>
        </is>
      </c>
      <c r="C363" s="2" t="inlineStr">
        <is>
          <t>Ba</t>
        </is>
      </c>
      <c r="D363" s="2" t="n">
        <v>4</v>
      </c>
      <c r="E363" s="2" t="inlineStr">
        <is>
          <t>Nội nghiệp</t>
        </is>
      </c>
      <c r="F363" s="2" t="inlineStr">
        <is>
          <t>1QTVTNMT hạng III.2</t>
        </is>
      </c>
      <c r="G363" s="2" t="n">
        <v>0.7</v>
      </c>
      <c r="H363" s="2" t="n">
        <v>1</v>
      </c>
      <c r="I363" s="2">
        <f>G363*H363</f>
        <v/>
      </c>
      <c r="J363" s="2">
        <f>D363*I363</f>
        <v/>
      </c>
    </row>
    <row r="364">
      <c r="A364" s="3" t="inlineStr">
        <is>
          <t>12</t>
        </is>
      </c>
      <c r="B364" s="3" t="inlineStr">
        <is>
          <t>CT8g</t>
        </is>
      </c>
      <c r="C364" s="3" t="inlineStr">
        <is>
          <t>Se</t>
        </is>
      </c>
      <c r="D364" s="3" t="n">
        <v>4</v>
      </c>
      <c r="E364" s="3" t="inlineStr">
        <is>
          <t>Ngoại nghiệp</t>
        </is>
      </c>
      <c r="F364" s="3" t="inlineStr">
        <is>
          <t>1QTVTNMT hạng III.1</t>
        </is>
      </c>
      <c r="G364" s="3" t="n">
        <v>0.35</v>
      </c>
      <c r="H364" s="3" t="n">
        <v>1.2</v>
      </c>
      <c r="I364" s="3">
        <f>G364*H364</f>
        <v/>
      </c>
      <c r="J364" s="3">
        <f>D364*I364</f>
        <v/>
      </c>
    </row>
    <row r="365">
      <c r="A365" s="2" t="inlineStr">
        <is>
          <t>12</t>
        </is>
      </c>
      <c r="B365" s="2" t="inlineStr">
        <is>
          <t>CT8g</t>
        </is>
      </c>
      <c r="C365" s="2" t="inlineStr">
        <is>
          <t>Se</t>
        </is>
      </c>
      <c r="D365" s="2" t="n">
        <v>4</v>
      </c>
      <c r="E365" s="2" t="inlineStr">
        <is>
          <t>Nội nghiệp</t>
        </is>
      </c>
      <c r="F365" s="2" t="inlineStr">
        <is>
          <t>1QTVTNMT hạng III.2</t>
        </is>
      </c>
      <c r="G365" s="2" t="n">
        <v>0.7</v>
      </c>
      <c r="H365" s="2" t="n">
        <v>1</v>
      </c>
      <c r="I365" s="2">
        <f>G365*H365</f>
        <v/>
      </c>
      <c r="J365" s="2">
        <f>D365*I365</f>
        <v/>
      </c>
    </row>
    <row r="366">
      <c r="A366" s="3" t="inlineStr">
        <is>
          <t>13</t>
        </is>
      </c>
      <c r="B366" s="3" t="inlineStr">
        <is>
          <t>CT8m</t>
        </is>
      </c>
      <c r="C366" s="3" t="inlineStr">
        <is>
          <t>Ag</t>
        </is>
      </c>
      <c r="D366" s="3" t="n">
        <v>4</v>
      </c>
      <c r="E366" s="3" t="inlineStr">
        <is>
          <t>Ngoại nghiệp</t>
        </is>
      </c>
      <c r="F366" s="3" t="inlineStr">
        <is>
          <t>1QTVTNMT hạng III.1</t>
        </is>
      </c>
      <c r="G366" s="3" t="n">
        <v>0.35</v>
      </c>
      <c r="H366" s="3" t="n">
        <v>1.2</v>
      </c>
      <c r="I366" s="3">
        <f>G366*H366</f>
        <v/>
      </c>
      <c r="J366" s="3">
        <f>D366*I366</f>
        <v/>
      </c>
    </row>
    <row r="367">
      <c r="A367" s="2" t="inlineStr">
        <is>
          <t>13</t>
        </is>
      </c>
      <c r="B367" s="2" t="inlineStr">
        <is>
          <t>CT8m</t>
        </is>
      </c>
      <c r="C367" s="2" t="inlineStr">
        <is>
          <t>Ag</t>
        </is>
      </c>
      <c r="D367" s="2" t="n">
        <v>4</v>
      </c>
      <c r="E367" s="2" t="inlineStr">
        <is>
          <t>Nội nghiệp</t>
        </is>
      </c>
      <c r="F367" s="2" t="inlineStr">
        <is>
          <t>1QTVTNMT hạng III.2</t>
        </is>
      </c>
      <c r="G367" s="2" t="n">
        <v>0.7</v>
      </c>
      <c r="H367" s="2" t="n">
        <v>1</v>
      </c>
      <c r="I367" s="2">
        <f>G367*H367</f>
        <v/>
      </c>
      <c r="J367" s="2">
        <f>D367*I367</f>
        <v/>
      </c>
    </row>
    <row r="368">
      <c r="A368" s="3" t="inlineStr">
        <is>
          <t>1</t>
        </is>
      </c>
      <c r="B368" s="3" t="inlineStr">
        <is>
          <t>KT16</t>
        </is>
      </c>
      <c r="C368" s="3" t="inlineStr">
        <is>
          <t>Lưu lượng</t>
        </is>
      </c>
      <c r="D368" s="3" t="n">
        <v>4</v>
      </c>
      <c r="E368" s="3" t="inlineStr">
        <is>
          <t>Ngoại nghiệp</t>
        </is>
      </c>
      <c r="F368" s="3" t="inlineStr">
        <is>
          <t>1QTVTNMT hạng III.4</t>
        </is>
      </c>
      <c r="G368" s="3" t="n">
        <v>1</v>
      </c>
      <c r="H368" s="3" t="n">
        <v>1.2</v>
      </c>
      <c r="I368" s="3">
        <f>G368*H368</f>
        <v/>
      </c>
      <c r="J368" s="3">
        <f>D368*I368</f>
        <v/>
      </c>
    </row>
    <row r="369">
      <c r="A369" s="2" t="inlineStr">
        <is>
          <t>2</t>
        </is>
      </c>
      <c r="B369" s="2" t="inlineStr">
        <is>
          <t>KT4</t>
        </is>
      </c>
      <c r="C369" s="2" t="inlineStr">
        <is>
          <t>Nhiệt độ</t>
        </is>
      </c>
      <c r="D369" s="2" t="n">
        <v>4</v>
      </c>
      <c r="E369" s="2" t="inlineStr">
        <is>
          <t>Ngoại nghiệp</t>
        </is>
      </c>
      <c r="F369" s="2" t="inlineStr">
        <is>
          <t>1QTVTNMT hạng III.3</t>
        </is>
      </c>
      <c r="G369" s="2" t="n">
        <v>0.55</v>
      </c>
      <c r="H369" s="2" t="n">
        <v>1.2</v>
      </c>
      <c r="I369" s="2">
        <f>G369*H369</f>
        <v/>
      </c>
      <c r="J369" s="2">
        <f>D369*I369</f>
        <v/>
      </c>
    </row>
    <row r="370">
      <c r="A370" s="3" t="inlineStr">
        <is>
          <t>3</t>
        </is>
      </c>
      <c r="B370" s="3" t="inlineStr">
        <is>
          <t>KT10a</t>
        </is>
      </c>
      <c r="C370" s="3" t="inlineStr">
        <is>
          <t>Bụi tổng</t>
        </is>
      </c>
      <c r="D370" s="3" t="n">
        <v>4</v>
      </c>
      <c r="E370" s="3" t="inlineStr">
        <is>
          <t>Ngoại nghiệp</t>
        </is>
      </c>
      <c r="F370" s="3" t="inlineStr">
        <is>
          <t>1QTVTNMT hạng III.4</t>
        </is>
      </c>
      <c r="G370" s="3" t="n">
        <v>4</v>
      </c>
      <c r="H370" s="3" t="n">
        <v>1.2</v>
      </c>
      <c r="I370" s="3">
        <f>G370*H370</f>
        <v/>
      </c>
      <c r="J370" s="3">
        <f>D370*I370</f>
        <v/>
      </c>
    </row>
    <row r="371">
      <c r="A371" s="2" t="inlineStr">
        <is>
          <t>3</t>
        </is>
      </c>
      <c r="B371" s="2" t="inlineStr">
        <is>
          <t>KT10a</t>
        </is>
      </c>
      <c r="C371" s="2" t="inlineStr">
        <is>
          <t>Bụi tổng</t>
        </is>
      </c>
      <c r="D371" s="2" t="n">
        <v>4</v>
      </c>
      <c r="E371" s="2" t="inlineStr">
        <is>
          <t>Nội nghiệp</t>
        </is>
      </c>
      <c r="F371" s="2" t="inlineStr">
        <is>
          <t>1QTVTNMT hạng III.2</t>
        </is>
      </c>
      <c r="G371" s="2" t="n">
        <v>0.8</v>
      </c>
      <c r="H371" s="2" t="n">
        <v>1</v>
      </c>
      <c r="I371" s="2">
        <f>G371*H371</f>
        <v/>
      </c>
      <c r="J371" s="2">
        <f>D371*I371</f>
        <v/>
      </c>
    </row>
    <row r="372">
      <c r="A372" s="3" t="inlineStr">
        <is>
          <t>4</t>
        </is>
      </c>
      <c r="B372" s="3" t="inlineStr">
        <is>
          <t>KT9b</t>
        </is>
      </c>
      <c r="C372" s="3" t="inlineStr">
        <is>
          <t>CO</t>
        </is>
      </c>
      <c r="D372" s="3" t="n">
        <v>4</v>
      </c>
      <c r="E372" s="3" t="inlineStr">
        <is>
          <t>Ngoại nghiệp</t>
        </is>
      </c>
      <c r="F372" s="3" t="inlineStr">
        <is>
          <t>1QTVTNMT hạng III.3</t>
        </is>
      </c>
      <c r="G372" s="3" t="n">
        <v>0.75</v>
      </c>
      <c r="H372" s="3" t="n">
        <v>1.2</v>
      </c>
      <c r="I372" s="3">
        <f>G372*H372</f>
        <v/>
      </c>
      <c r="J372" s="3">
        <f>D372*I372</f>
        <v/>
      </c>
    </row>
    <row r="373">
      <c r="A373" s="2" t="inlineStr">
        <is>
          <t>4</t>
        </is>
      </c>
      <c r="B373" s="2" t="inlineStr">
        <is>
          <t>KT9b</t>
        </is>
      </c>
      <c r="C373" s="2" t="inlineStr">
        <is>
          <t>CO</t>
        </is>
      </c>
      <c r="D373" s="2" t="n">
        <v>4</v>
      </c>
      <c r="E373" s="2" t="inlineStr">
        <is>
          <t>Nội nghiệp</t>
        </is>
      </c>
      <c r="F373" s="2" t="inlineStr">
        <is>
          <t>1QTVTNMT hạng III.2</t>
        </is>
      </c>
      <c r="G373" s="2" t="n">
        <v>0.8</v>
      </c>
      <c r="H373" s="2" t="n">
        <v>1</v>
      </c>
      <c r="I373" s="2">
        <f>G373*H373</f>
        <v/>
      </c>
      <c r="J373" s="2">
        <f>D373*I373</f>
        <v/>
      </c>
    </row>
    <row r="374">
      <c r="A374" s="3" t="inlineStr">
        <is>
          <t>5</t>
        </is>
      </c>
      <c r="B374" s="3" t="inlineStr">
        <is>
          <t>KT9e</t>
        </is>
      </c>
      <c r="C374" s="3" t="inlineStr">
        <is>
          <t>NOx (tính theo NO2)</t>
        </is>
      </c>
      <c r="D374" s="3" t="n">
        <v>4</v>
      </c>
      <c r="E374" s="3" t="inlineStr">
        <is>
          <t>Ngoại nghiệp</t>
        </is>
      </c>
      <c r="F374" s="3" t="inlineStr">
        <is>
          <t>1QTVTNMT hạng III.3</t>
        </is>
      </c>
      <c r="G374" s="3" t="n">
        <v>0.7</v>
      </c>
      <c r="H374" s="3" t="n">
        <v>1.2</v>
      </c>
      <c r="I374" s="3">
        <f>G374*H374</f>
        <v/>
      </c>
      <c r="J374" s="3">
        <f>D374*I374</f>
        <v/>
      </c>
    </row>
    <row r="375">
      <c r="A375" s="2" t="inlineStr">
        <is>
          <t>5</t>
        </is>
      </c>
      <c r="B375" s="2" t="inlineStr">
        <is>
          <t>KT9e</t>
        </is>
      </c>
      <c r="C375" s="2" t="inlineStr">
        <is>
          <t>NOx (tính theo NO2)</t>
        </is>
      </c>
      <c r="D375" s="2" t="n">
        <v>4</v>
      </c>
      <c r="E375" s="2" t="inlineStr">
        <is>
          <t>Nội nghiệp</t>
        </is>
      </c>
      <c r="F375" s="2" t="inlineStr">
        <is>
          <t>1QTVTNMT hạng III.2</t>
        </is>
      </c>
      <c r="G375" s="2" t="n">
        <v>0.8</v>
      </c>
      <c r="H375" s="2" t="n">
        <v>1</v>
      </c>
      <c r="I375" s="2">
        <f>G375*H375</f>
        <v/>
      </c>
      <c r="J375" s="2">
        <f>D375*I375</f>
        <v/>
      </c>
    </row>
    <row r="376">
      <c r="A376" s="3" t="inlineStr">
        <is>
          <t>6</t>
        </is>
      </c>
      <c r="B376" s="3" t="inlineStr">
        <is>
          <t>KT9đ</t>
        </is>
      </c>
      <c r="C376" s="3" t="inlineStr">
        <is>
          <t>SO 2</t>
        </is>
      </c>
      <c r="D376" s="3" t="n">
        <v>4</v>
      </c>
      <c r="E376" s="3" t="inlineStr">
        <is>
          <t>Ngoại nghiệp</t>
        </is>
      </c>
      <c r="F376" s="3" t="inlineStr">
        <is>
          <t>1QTVTNMT hạng III.3</t>
        </is>
      </c>
      <c r="G376" s="3" t="n">
        <v>0.75</v>
      </c>
      <c r="H376" s="3" t="n">
        <v>1.2</v>
      </c>
      <c r="I376" s="3">
        <f>G376*H376</f>
        <v/>
      </c>
      <c r="J376" s="3">
        <f>D376*I376</f>
        <v/>
      </c>
    </row>
    <row r="377">
      <c r="A377" s="2" t="inlineStr">
        <is>
          <t>7</t>
        </is>
      </c>
      <c r="B377" s="2" t="inlineStr">
        <is>
          <t>KT9c</t>
        </is>
      </c>
      <c r="C377" s="2" t="inlineStr">
        <is>
          <t>Amoniac</t>
        </is>
      </c>
      <c r="D377" s="2" t="n">
        <v>4</v>
      </c>
      <c r="E377" s="2" t="inlineStr">
        <is>
          <t>Ngoại nghiệp</t>
        </is>
      </c>
      <c r="F377" s="2" t="inlineStr">
        <is>
          <t>1QTVTNMT hạng III.3</t>
        </is>
      </c>
      <c r="G377" s="2" t="n">
        <v>0.75</v>
      </c>
      <c r="H377" s="2" t="n">
        <v>1.2</v>
      </c>
      <c r="I377" s="2">
        <f>G377*H377</f>
        <v/>
      </c>
      <c r="J377" s="2">
        <f>D377*I377</f>
        <v/>
      </c>
    </row>
    <row r="378">
      <c r="A378" s="3" t="inlineStr">
        <is>
          <t>7</t>
        </is>
      </c>
      <c r="B378" s="3" t="inlineStr">
        <is>
          <t>KT9c</t>
        </is>
      </c>
      <c r="C378" s="3" t="inlineStr">
        <is>
          <t>Amoniac</t>
        </is>
      </c>
      <c r="D378" s="3" t="n">
        <v>4</v>
      </c>
      <c r="E378" s="3" t="inlineStr">
        <is>
          <t>Nội nghiệp</t>
        </is>
      </c>
      <c r="F378" s="3" t="inlineStr">
        <is>
          <t>1QTVTNMT hạng III.2</t>
        </is>
      </c>
      <c r="G378" s="3" t="n">
        <v>0.8</v>
      </c>
      <c r="H378" s="3" t="n">
        <v>1</v>
      </c>
      <c r="I378" s="3">
        <f>G378*H378</f>
        <v/>
      </c>
      <c r="J378" s="3">
        <f>D378*I378</f>
        <v/>
      </c>
    </row>
    <row r="379">
      <c r="A379" s="2" t="inlineStr">
        <is>
          <t>8</t>
        </is>
      </c>
      <c r="B379" s="2" t="inlineStr">
        <is>
          <t>KT9a</t>
        </is>
      </c>
      <c r="C379" s="2" t="inlineStr">
        <is>
          <t>O2</t>
        </is>
      </c>
      <c r="D379" s="2" t="n">
        <v>4</v>
      </c>
      <c r="E379" s="2" t="inlineStr">
        <is>
          <t>Ngoại nghiệp</t>
        </is>
      </c>
      <c r="F379" s="2" t="inlineStr">
        <is>
          <t>1QTVTNMT hạng III.3</t>
        </is>
      </c>
      <c r="G379" s="2" t="n">
        <v>0.75</v>
      </c>
      <c r="H379" s="2" t="n">
        <v>1.2</v>
      </c>
      <c r="I379" s="2">
        <f>G379*H379</f>
        <v/>
      </c>
      <c r="J379" s="2">
        <f>D379*I379</f>
        <v/>
      </c>
    </row>
    <row r="380">
      <c r="A380" s="3" t="inlineStr">
        <is>
          <t>1</t>
        </is>
      </c>
      <c r="B380" s="3" t="inlineStr">
        <is>
          <t>NT1</t>
        </is>
      </c>
      <c r="C380" s="3" t="inlineStr">
        <is>
          <t>Nhiệt độ</t>
        </is>
      </c>
      <c r="D380" s="3" t="n">
        <v>8</v>
      </c>
      <c r="E380" s="3" t="inlineStr">
        <is>
          <t>Ngoại nghiệp</t>
        </is>
      </c>
      <c r="F380" s="3" t="inlineStr">
        <is>
          <t>1QTVTNMT hạng III.1</t>
        </is>
      </c>
      <c r="G380" s="3" t="n">
        <v>0.2</v>
      </c>
      <c r="H380" s="3" t="n">
        <v>1.2</v>
      </c>
      <c r="I380" s="3">
        <f>G380*H380</f>
        <v/>
      </c>
      <c r="J380" s="3">
        <f>D380*I380</f>
        <v/>
      </c>
    </row>
    <row r="381">
      <c r="A381" s="2" t="inlineStr">
        <is>
          <t>2</t>
        </is>
      </c>
      <c r="B381" s="2" t="inlineStr">
        <is>
          <t>NT2</t>
        </is>
      </c>
      <c r="C381" s="2" t="inlineStr">
        <is>
          <t>pH</t>
        </is>
      </c>
      <c r="D381" s="2" t="n">
        <v>8</v>
      </c>
      <c r="E381" s="2" t="inlineStr">
        <is>
          <t>Ngoại nghiệp</t>
        </is>
      </c>
      <c r="F381" s="2" t="inlineStr">
        <is>
          <t>1QTVTNMT hạng III.1</t>
        </is>
      </c>
      <c r="G381" s="2" t="n">
        <v>0.2</v>
      </c>
      <c r="H381" s="2" t="n">
        <v>1.2</v>
      </c>
      <c r="I381" s="2">
        <f>G381*H381</f>
        <v/>
      </c>
      <c r="J381" s="2">
        <f>D381*I381</f>
        <v/>
      </c>
    </row>
    <row r="382">
      <c r="A382" s="3" t="inlineStr">
        <is>
          <t>3</t>
        </is>
      </c>
      <c r="B382" s="3" t="inlineStr">
        <is>
          <t>NT10j</t>
        </is>
      </c>
      <c r="C382" s="3" t="inlineStr">
        <is>
          <t>Clo dư</t>
        </is>
      </c>
      <c r="D382" s="3" t="n">
        <v>8</v>
      </c>
      <c r="E382" s="3" t="inlineStr">
        <is>
          <t>Ngoại nghiệp</t>
        </is>
      </c>
      <c r="F382" s="3" t="inlineStr">
        <is>
          <t>1QTVTNMT hạng III.2</t>
        </is>
      </c>
      <c r="G382" s="3" t="n">
        <v>0.2</v>
      </c>
      <c r="H382" s="3" t="n">
        <v>1.2</v>
      </c>
      <c r="I382" s="3">
        <f>G382*H382</f>
        <v/>
      </c>
      <c r="J382" s="3">
        <f>D382*I382</f>
        <v/>
      </c>
    </row>
    <row r="383">
      <c r="A383" s="2" t="inlineStr">
        <is>
          <t>3</t>
        </is>
      </c>
      <c r="B383" s="2" t="inlineStr">
        <is>
          <t>NT10j</t>
        </is>
      </c>
      <c r="C383" s="2" t="inlineStr">
        <is>
          <t>Clo dư</t>
        </is>
      </c>
      <c r="D383" s="2" t="n">
        <v>8</v>
      </c>
      <c r="E383" s="2" t="inlineStr">
        <is>
          <t>Nội nghiệp</t>
        </is>
      </c>
      <c r="F383" s="2" t="inlineStr">
        <is>
          <t>1QTVTNMT hạng III.2</t>
        </is>
      </c>
      <c r="G383" s="2" t="n">
        <v>1</v>
      </c>
      <c r="H383" s="2" t="n">
        <v>1</v>
      </c>
      <c r="I383" s="2">
        <f>G383*H383</f>
        <v/>
      </c>
      <c r="J383" s="2">
        <f>D383*I383</f>
        <v/>
      </c>
    </row>
    <row r="384">
      <c r="A384" s="3" t="inlineStr">
        <is>
          <t>4</t>
        </is>
      </c>
      <c r="B384" s="3" t="inlineStr">
        <is>
          <t>NT5b</t>
        </is>
      </c>
      <c r="C384" s="3" t="inlineStr">
        <is>
          <t>COD</t>
        </is>
      </c>
      <c r="D384" s="3" t="n">
        <v>8</v>
      </c>
      <c r="E384" s="3" t="inlineStr">
        <is>
          <t>Ngoại nghiệp</t>
        </is>
      </c>
      <c r="F384" s="3" t="inlineStr">
        <is>
          <t>1QTVTNMT hạng III.1</t>
        </is>
      </c>
      <c r="G384" s="3" t="n">
        <v>0.2</v>
      </c>
      <c r="H384" s="3" t="n">
        <v>1.2</v>
      </c>
      <c r="I384" s="3">
        <f>G384*H384</f>
        <v/>
      </c>
      <c r="J384" s="3">
        <f>D384*I384</f>
        <v/>
      </c>
    </row>
    <row r="385">
      <c r="A385" s="2" t="inlineStr">
        <is>
          <t>4</t>
        </is>
      </c>
      <c r="B385" s="2" t="inlineStr">
        <is>
          <t>NT5b</t>
        </is>
      </c>
      <c r="C385" s="2" t="inlineStr">
        <is>
          <t>COD</t>
        </is>
      </c>
      <c r="D385" s="2" t="n">
        <v>8</v>
      </c>
      <c r="E385" s="2" t="inlineStr">
        <is>
          <t>Nội nghiệp</t>
        </is>
      </c>
      <c r="F385" s="2" t="inlineStr">
        <is>
          <t>1QTVTNMT hạng III.1</t>
        </is>
      </c>
      <c r="G385" s="2" t="n">
        <v>0.55</v>
      </c>
      <c r="H385" s="2" t="n">
        <v>1</v>
      </c>
      <c r="I385" s="2">
        <f>G385*H385</f>
        <v/>
      </c>
      <c r="J385" s="2">
        <f>D385*I385</f>
        <v/>
      </c>
    </row>
    <row r="386">
      <c r="A386" s="3" t="inlineStr">
        <is>
          <t>5</t>
        </is>
      </c>
      <c r="B386" s="3" t="inlineStr">
        <is>
          <t>NT6</t>
        </is>
      </c>
      <c r="C386" s="3" t="inlineStr">
        <is>
          <t>TSS</t>
        </is>
      </c>
      <c r="D386" s="3" t="n">
        <v>8</v>
      </c>
      <c r="E386" s="3" t="inlineStr">
        <is>
          <t>Ngoại nghiệp</t>
        </is>
      </c>
      <c r="F386" s="3" t="inlineStr">
        <is>
          <t>1QTVTNMT hạng III.1</t>
        </is>
      </c>
      <c r="G386" s="3" t="n">
        <v>0.2</v>
      </c>
      <c r="H386" s="3" t="n">
        <v>1.2</v>
      </c>
      <c r="I386" s="3">
        <f>G386*H386</f>
        <v/>
      </c>
      <c r="J386" s="3">
        <f>D386*I386</f>
        <v/>
      </c>
    </row>
    <row r="387">
      <c r="A387" s="2" t="inlineStr">
        <is>
          <t>5</t>
        </is>
      </c>
      <c r="B387" s="2" t="inlineStr">
        <is>
          <t>NT6</t>
        </is>
      </c>
      <c r="C387" s="2" t="inlineStr">
        <is>
          <t>TSS</t>
        </is>
      </c>
      <c r="D387" s="2" t="n">
        <v>8</v>
      </c>
      <c r="E387" s="2" t="inlineStr">
        <is>
          <t>Nội nghiệp</t>
        </is>
      </c>
      <c r="F387" s="2" t="inlineStr">
        <is>
          <t>1QTVTNMT hạng III.1</t>
        </is>
      </c>
      <c r="G387" s="2" t="n">
        <v>0.47</v>
      </c>
      <c r="H387" s="2" t="n">
        <v>1</v>
      </c>
      <c r="I387" s="2">
        <f>G387*H387</f>
        <v/>
      </c>
      <c r="J387" s="2">
        <f>D387*I387</f>
        <v/>
      </c>
    </row>
    <row r="388">
      <c r="A388" s="3" t="inlineStr">
        <is>
          <t>1</t>
        </is>
      </c>
      <c r="B388" s="3" t="inlineStr">
        <is>
          <t>NT1</t>
        </is>
      </c>
      <c r="C388" s="3" t="inlineStr">
        <is>
          <t>Nhiệt độ</t>
        </is>
      </c>
      <c r="D388" s="3" t="n">
        <v>8</v>
      </c>
      <c r="E388" s="3" t="inlineStr">
        <is>
          <t>Ngoại nghiệp</t>
        </is>
      </c>
      <c r="F388" s="3" t="inlineStr">
        <is>
          <t>1QTVTNMT hạng III.1</t>
        </is>
      </c>
      <c r="G388" s="3" t="n">
        <v>0.2</v>
      </c>
      <c r="H388" s="3" t="n">
        <v>1.2</v>
      </c>
      <c r="I388" s="3">
        <f>G388*H388</f>
        <v/>
      </c>
      <c r="J388" s="3">
        <f>D388*I388</f>
        <v/>
      </c>
    </row>
    <row r="389">
      <c r="A389" s="2" t="inlineStr">
        <is>
          <t>2</t>
        </is>
      </c>
      <c r="B389" s="2" t="inlineStr">
        <is>
          <t>NT2</t>
        </is>
      </c>
      <c r="C389" s="2" t="inlineStr">
        <is>
          <t>pH</t>
        </is>
      </c>
      <c r="D389" s="2" t="n">
        <v>8</v>
      </c>
      <c r="E389" s="2" t="inlineStr">
        <is>
          <t>Ngoại nghiệp</t>
        </is>
      </c>
      <c r="F389" s="2" t="inlineStr">
        <is>
          <t>1QTVTNMT hạng III.1</t>
        </is>
      </c>
      <c r="G389" s="2" t="n">
        <v>0.2</v>
      </c>
      <c r="H389" s="2" t="n">
        <v>1.2</v>
      </c>
      <c r="I389" s="2">
        <f>G389*H389</f>
        <v/>
      </c>
      <c r="J389" s="2">
        <f>D389*I389</f>
        <v/>
      </c>
    </row>
    <row r="390">
      <c r="A390" s="3" t="inlineStr">
        <is>
          <t>3</t>
        </is>
      </c>
      <c r="B390" s="3" t="inlineStr">
        <is>
          <t>NT4b</t>
        </is>
      </c>
      <c r="C390" s="3" t="inlineStr">
        <is>
          <t>Độ màu</t>
        </is>
      </c>
      <c r="D390" s="3" t="n">
        <v>8</v>
      </c>
      <c r="E390" s="3" t="inlineStr">
        <is>
          <t>Ngoại nghiệp</t>
        </is>
      </c>
      <c r="F390" s="3" t="inlineStr">
        <is>
          <t>1QTVTNMT hạng III.1</t>
        </is>
      </c>
      <c r="G390" s="3" t="n">
        <v>0.2</v>
      </c>
      <c r="H390" s="3" t="n">
        <v>1.2</v>
      </c>
      <c r="I390" s="3">
        <f>G390*H390</f>
        <v/>
      </c>
      <c r="J390" s="3">
        <f>D390*I390</f>
        <v/>
      </c>
    </row>
    <row r="391">
      <c r="A391" s="2" t="inlineStr">
        <is>
          <t>4</t>
        </is>
      </c>
      <c r="B391" s="2" t="inlineStr">
        <is>
          <t>NT5a</t>
        </is>
      </c>
      <c r="C391" s="2" t="inlineStr">
        <is>
          <t>BOD5</t>
        </is>
      </c>
      <c r="D391" s="2" t="n">
        <v>8</v>
      </c>
      <c r="E391" s="2" t="inlineStr">
        <is>
          <t>Ngoại nghiệp</t>
        </is>
      </c>
      <c r="F391" s="2" t="inlineStr">
        <is>
          <t>1QTVTNMT hạng III.1</t>
        </is>
      </c>
      <c r="G391" s="2" t="n">
        <v>0.2</v>
      </c>
      <c r="H391" s="2" t="n">
        <v>1.2</v>
      </c>
      <c r="I391" s="2">
        <f>G391*H391</f>
        <v/>
      </c>
      <c r="J391" s="2">
        <f>D391*I391</f>
        <v/>
      </c>
    </row>
    <row r="392">
      <c r="A392" s="3" t="inlineStr">
        <is>
          <t>4</t>
        </is>
      </c>
      <c r="B392" s="3" t="inlineStr">
        <is>
          <t>NT5a</t>
        </is>
      </c>
      <c r="C392" s="3" t="inlineStr">
        <is>
          <t>BOD5</t>
        </is>
      </c>
      <c r="D392" s="3" t="n">
        <v>8</v>
      </c>
      <c r="E392" s="3" t="inlineStr">
        <is>
          <t>Nội nghiệp</t>
        </is>
      </c>
      <c r="F392" s="3" t="inlineStr">
        <is>
          <t>1QTVTNMT hạng III.1</t>
        </is>
      </c>
      <c r="G392" s="3" t="n">
        <v>0.47</v>
      </c>
      <c r="H392" s="3" t="n">
        <v>1</v>
      </c>
      <c r="I392" s="3">
        <f>G392*H392</f>
        <v/>
      </c>
      <c r="J392" s="3">
        <f>D392*I392</f>
        <v/>
      </c>
    </row>
    <row r="393">
      <c r="A393" s="2" t="inlineStr">
        <is>
          <t>5</t>
        </is>
      </c>
      <c r="B393" s="2" t="inlineStr">
        <is>
          <t>NT5b</t>
        </is>
      </c>
      <c r="C393" s="2" t="inlineStr">
        <is>
          <t>COD</t>
        </is>
      </c>
      <c r="D393" s="2" t="n">
        <v>8</v>
      </c>
      <c r="E393" s="2" t="inlineStr">
        <is>
          <t>Ngoại nghiệp</t>
        </is>
      </c>
      <c r="F393" s="2" t="inlineStr">
        <is>
          <t>1QTVTNMT hạng III.1</t>
        </is>
      </c>
      <c r="G393" s="2" t="n">
        <v>0.2</v>
      </c>
      <c r="H393" s="2" t="n">
        <v>1.2</v>
      </c>
      <c r="I393" s="2">
        <f>G393*H393</f>
        <v/>
      </c>
      <c r="J393" s="2">
        <f>D393*I393</f>
        <v/>
      </c>
    </row>
    <row r="394">
      <c r="A394" s="3" t="inlineStr">
        <is>
          <t>5</t>
        </is>
      </c>
      <c r="B394" s="3" t="inlineStr">
        <is>
          <t>NT5b</t>
        </is>
      </c>
      <c r="C394" s="3" t="inlineStr">
        <is>
          <t>COD</t>
        </is>
      </c>
      <c r="D394" s="3" t="n">
        <v>8</v>
      </c>
      <c r="E394" s="3" t="inlineStr">
        <is>
          <t>Nội nghiệp</t>
        </is>
      </c>
      <c r="F394" s="3" t="inlineStr">
        <is>
          <t>1QTVTNMT hạng III.1</t>
        </is>
      </c>
      <c r="G394" s="3" t="n">
        <v>0.55</v>
      </c>
      <c r="H394" s="3" t="n">
        <v>1</v>
      </c>
      <c r="I394" s="3">
        <f>G394*H394</f>
        <v/>
      </c>
      <c r="J394" s="3">
        <f>D394*I394</f>
        <v/>
      </c>
    </row>
    <row r="395">
      <c r="A395" s="2" t="inlineStr">
        <is>
          <t>6</t>
        </is>
      </c>
      <c r="B395" s="2" t="inlineStr">
        <is>
          <t>NT6</t>
        </is>
      </c>
      <c r="C395" s="2" t="inlineStr">
        <is>
          <t>TSS</t>
        </is>
      </c>
      <c r="D395" s="2" t="n">
        <v>8</v>
      </c>
      <c r="E395" s="2" t="inlineStr">
        <is>
          <t>Ngoại nghiệp</t>
        </is>
      </c>
      <c r="F395" s="2" t="inlineStr">
        <is>
          <t>1QTVTNMT hạng III.1</t>
        </is>
      </c>
      <c r="G395" s="2" t="n">
        <v>0.2</v>
      </c>
      <c r="H395" s="2" t="n">
        <v>1.2</v>
      </c>
      <c r="I395" s="2">
        <f>G395*H395</f>
        <v/>
      </c>
      <c r="J395" s="2">
        <f>D395*I395</f>
        <v/>
      </c>
    </row>
    <row r="396">
      <c r="A396" s="3" t="inlineStr">
        <is>
          <t>6</t>
        </is>
      </c>
      <c r="B396" s="3" t="inlineStr">
        <is>
          <t>NT6</t>
        </is>
      </c>
      <c r="C396" s="3" t="inlineStr">
        <is>
          <t>TSS</t>
        </is>
      </c>
      <c r="D396" s="3" t="n">
        <v>8</v>
      </c>
      <c r="E396" s="3" t="inlineStr">
        <is>
          <t>Nội nghiệp</t>
        </is>
      </c>
      <c r="F396" s="3" t="inlineStr">
        <is>
          <t>1QTVTNMT hạng III.1</t>
        </is>
      </c>
      <c r="G396" s="3" t="n">
        <v>0.47</v>
      </c>
      <c r="H396" s="3" t="n">
        <v>1</v>
      </c>
      <c r="I396" s="3">
        <f>G396*H396</f>
        <v/>
      </c>
      <c r="J396" s="3">
        <f>D396*I396</f>
        <v/>
      </c>
    </row>
    <row r="397">
      <c r="A397" s="2" t="inlineStr">
        <is>
          <t>7</t>
        </is>
      </c>
      <c r="B397" s="2" t="inlineStr">
        <is>
          <t>NT10c</t>
        </is>
      </c>
      <c r="C397" s="2" t="inlineStr">
        <is>
          <t>Amoni (tính theo N)</t>
        </is>
      </c>
      <c r="D397" s="2" t="n">
        <v>8</v>
      </c>
      <c r="E397" s="2" t="inlineStr">
        <is>
          <t>Ngoại nghiệp</t>
        </is>
      </c>
      <c r="F397" s="2" t="inlineStr">
        <is>
          <t>1QTVTNMT hạng III.2</t>
        </is>
      </c>
      <c r="G397" s="2" t="n">
        <v>0.2</v>
      </c>
      <c r="H397" s="2" t="n">
        <v>1.2</v>
      </c>
      <c r="I397" s="2">
        <f>G397*H397</f>
        <v/>
      </c>
      <c r="J397" s="2">
        <f>D397*I397</f>
        <v/>
      </c>
    </row>
    <row r="398">
      <c r="A398" s="3" t="inlineStr">
        <is>
          <t>7</t>
        </is>
      </c>
      <c r="B398" s="3" t="inlineStr">
        <is>
          <t>NT10c</t>
        </is>
      </c>
      <c r="C398" s="3" t="inlineStr">
        <is>
          <t>Amoni (tính theo N)</t>
        </is>
      </c>
      <c r="D398" s="3" t="n">
        <v>8</v>
      </c>
      <c r="E398" s="3" t="inlineStr">
        <is>
          <t>Nội nghiệp</t>
        </is>
      </c>
      <c r="F398" s="3" t="inlineStr">
        <is>
          <t>1QTVTNMT hạng III.1</t>
        </is>
      </c>
      <c r="G398" s="3" t="n">
        <v>0.52</v>
      </c>
      <c r="H398" s="3" t="n">
        <v>1</v>
      </c>
      <c r="I398" s="3">
        <f>G398*H398</f>
        <v/>
      </c>
      <c r="J398" s="3">
        <f>D398*I398</f>
        <v/>
      </c>
    </row>
    <row r="399">
      <c r="A399" s="2" t="inlineStr">
        <is>
          <t>8</t>
        </is>
      </c>
      <c r="B399" s="2" t="inlineStr">
        <is>
          <t>NT10l1</t>
        </is>
      </c>
      <c r="C399" s="2" t="inlineStr">
        <is>
          <t>Asen</t>
        </is>
      </c>
      <c r="D399" s="2" t="n">
        <v>8</v>
      </c>
      <c r="E399" s="2" t="inlineStr">
        <is>
          <t>Ngoại nghiệp</t>
        </is>
      </c>
      <c r="F399" s="2" t="inlineStr">
        <is>
          <t>1QTVTNMT hạng III.2</t>
        </is>
      </c>
      <c r="G399" s="2" t="n">
        <v>0.15</v>
      </c>
      <c r="H399" s="2" t="n">
        <v>1.2</v>
      </c>
      <c r="I399" s="2">
        <f>G399*H399</f>
        <v/>
      </c>
      <c r="J399" s="2">
        <f>D399*I399</f>
        <v/>
      </c>
    </row>
    <row r="400">
      <c r="A400" s="3" t="inlineStr">
        <is>
          <t>8</t>
        </is>
      </c>
      <c r="B400" s="3" t="inlineStr">
        <is>
          <t>NT10l1</t>
        </is>
      </c>
      <c r="C400" s="3" t="inlineStr">
        <is>
          <t>Asen</t>
        </is>
      </c>
      <c r="D400" s="3" t="n">
        <v>8</v>
      </c>
      <c r="E400" s="3" t="inlineStr">
        <is>
          <t>Nội nghiệp</t>
        </is>
      </c>
      <c r="F400" s="3" t="inlineStr">
        <is>
          <t>1QTVTNMT hạng III.3</t>
        </is>
      </c>
      <c r="G400" s="3" t="n">
        <v>0.8</v>
      </c>
      <c r="H400" s="3" t="n">
        <v>1</v>
      </c>
      <c r="I400" s="3">
        <f>G400*H400</f>
        <v/>
      </c>
      <c r="J400" s="3">
        <f>D400*I400</f>
        <v/>
      </c>
    </row>
    <row r="401">
      <c r="A401" s="2" t="inlineStr">
        <is>
          <t>9</t>
        </is>
      </c>
      <c r="B401" s="2" t="inlineStr">
        <is>
          <t>NT10l2</t>
        </is>
      </c>
      <c r="C401" s="2" t="inlineStr">
        <is>
          <t>Thủy ngân</t>
        </is>
      </c>
      <c r="D401" s="2" t="n">
        <v>8</v>
      </c>
      <c r="E401" s="2" t="inlineStr">
        <is>
          <t>Ngoại nghiệp</t>
        </is>
      </c>
      <c r="F401" s="2" t="inlineStr">
        <is>
          <t>1QTVTNMT hạng III.2</t>
        </is>
      </c>
      <c r="G401" s="2" t="n">
        <v>0.15</v>
      </c>
      <c r="H401" s="2" t="n">
        <v>1.2</v>
      </c>
      <c r="I401" s="2">
        <f>G401*H401</f>
        <v/>
      </c>
      <c r="J401" s="2">
        <f>D401*I401</f>
        <v/>
      </c>
    </row>
    <row r="402">
      <c r="A402" s="3" t="inlineStr">
        <is>
          <t>9</t>
        </is>
      </c>
      <c r="B402" s="3" t="inlineStr">
        <is>
          <t>NT10l2</t>
        </is>
      </c>
      <c r="C402" s="3" t="inlineStr">
        <is>
          <t>Thủy ngân</t>
        </is>
      </c>
      <c r="D402" s="3" t="n">
        <v>8</v>
      </c>
      <c r="E402" s="3" t="inlineStr">
        <is>
          <t>Nội nghiệp</t>
        </is>
      </c>
      <c r="F402" s="3" t="inlineStr">
        <is>
          <t>1QTVTNMT hạng III.3</t>
        </is>
      </c>
      <c r="G402" s="3" t="n">
        <v>0.8</v>
      </c>
      <c r="H402" s="3" t="n">
        <v>1</v>
      </c>
      <c r="I402" s="3">
        <f>G402*H402</f>
        <v/>
      </c>
      <c r="J402" s="3">
        <f>D402*I402</f>
        <v/>
      </c>
    </row>
    <row r="403">
      <c r="A403" s="2" t="inlineStr">
        <is>
          <t>10</t>
        </is>
      </c>
      <c r="B403" s="2" t="inlineStr">
        <is>
          <t>NT10đ</t>
        </is>
      </c>
      <c r="C403" s="2" t="inlineStr">
        <is>
          <t>Crom (VI)</t>
        </is>
      </c>
      <c r="D403" s="2" t="n">
        <v>8</v>
      </c>
      <c r="E403" s="2" t="inlineStr">
        <is>
          <t>Ngoại nghiệp</t>
        </is>
      </c>
      <c r="F403" s="2" t="inlineStr">
        <is>
          <t>1QTVTNMT hạng III.2</t>
        </is>
      </c>
      <c r="G403" s="2" t="n">
        <v>0.2</v>
      </c>
      <c r="H403" s="2" t="n">
        <v>1.2</v>
      </c>
      <c r="I403" s="2">
        <f>G403*H403</f>
        <v/>
      </c>
      <c r="J403" s="2">
        <f>D403*I403</f>
        <v/>
      </c>
    </row>
    <row r="404">
      <c r="A404" s="3" t="inlineStr">
        <is>
          <t>10</t>
        </is>
      </c>
      <c r="B404" s="3" t="inlineStr">
        <is>
          <t>NT10đ</t>
        </is>
      </c>
      <c r="C404" s="3" t="inlineStr">
        <is>
          <t>Crom (VI)</t>
        </is>
      </c>
      <c r="D404" s="3" t="n">
        <v>8</v>
      </c>
      <c r="E404" s="3" t="inlineStr">
        <is>
          <t>Nội nghiệp</t>
        </is>
      </c>
      <c r="F404" s="3" t="inlineStr">
        <is>
          <t>1QTVTNMT hạng III.2</t>
        </is>
      </c>
      <c r="G404" s="3" t="n">
        <v>0.52</v>
      </c>
      <c r="H404" s="3" t="n">
        <v>1</v>
      </c>
      <c r="I404" s="3">
        <f>G404*H404</f>
        <v/>
      </c>
      <c r="J404" s="3">
        <f>D404*I404</f>
        <v/>
      </c>
    </row>
    <row r="405">
      <c r="A405" s="2" t="inlineStr">
        <is>
          <t>11</t>
        </is>
      </c>
      <c r="B405" s="2" t="inlineStr">
        <is>
          <t>NT10m5</t>
        </is>
      </c>
      <c r="C405" s="2" t="inlineStr">
        <is>
          <t>Crom (III)</t>
        </is>
      </c>
      <c r="D405" s="2" t="n">
        <v>8</v>
      </c>
      <c r="E405" s="2" t="inlineStr">
        <is>
          <t>Ngoại nghiệp</t>
        </is>
      </c>
      <c r="F405" s="2" t="inlineStr">
        <is>
          <t>1QTVTNMT hạng III.2</t>
        </is>
      </c>
      <c r="G405" s="2" t="n">
        <v>0.15</v>
      </c>
      <c r="H405" s="2" t="n">
        <v>1.2</v>
      </c>
      <c r="I405" s="2">
        <f>G405*H405</f>
        <v/>
      </c>
      <c r="J405" s="2">
        <f>D405*I405</f>
        <v/>
      </c>
    </row>
    <row r="406">
      <c r="A406" s="3" t="inlineStr">
        <is>
          <t>11</t>
        </is>
      </c>
      <c r="B406" s="3" t="inlineStr">
        <is>
          <t>NT10m5</t>
        </is>
      </c>
      <c r="C406" s="3" t="inlineStr">
        <is>
          <t>Crom (III)</t>
        </is>
      </c>
      <c r="D406" s="3" t="n">
        <v>8</v>
      </c>
      <c r="E406" s="3" t="inlineStr">
        <is>
          <t>Nội nghiệp</t>
        </is>
      </c>
      <c r="F406" s="3" t="inlineStr">
        <is>
          <t>1QTVTNMT hạng III.2</t>
        </is>
      </c>
      <c r="G406" s="3" t="n">
        <v>0.7</v>
      </c>
      <c r="H406" s="3" t="n">
        <v>1</v>
      </c>
      <c r="I406" s="3">
        <f>G406*H406</f>
        <v/>
      </c>
      <c r="J406" s="3">
        <f>D406*I406</f>
        <v/>
      </c>
    </row>
    <row r="407">
      <c r="A407" s="2" t="inlineStr">
        <is>
          <t>12</t>
        </is>
      </c>
      <c r="B407" s="2" t="inlineStr">
        <is>
          <t>NT10k1</t>
        </is>
      </c>
      <c r="C407" s="2" t="inlineStr">
        <is>
          <t>Chì</t>
        </is>
      </c>
      <c r="D407" s="2" t="n">
        <v>8</v>
      </c>
      <c r="E407" s="2" t="inlineStr">
        <is>
          <t>Ngoại nghiệp</t>
        </is>
      </c>
      <c r="F407" s="2" t="inlineStr">
        <is>
          <t>1QTVTNMT hạng III.2</t>
        </is>
      </c>
      <c r="G407" s="2" t="n">
        <v>0.15</v>
      </c>
      <c r="H407" s="2" t="n">
        <v>1.2</v>
      </c>
      <c r="I407" s="2">
        <f>G407*H407</f>
        <v/>
      </c>
      <c r="J407" s="2">
        <f>D407*I407</f>
        <v/>
      </c>
    </row>
    <row r="408">
      <c r="A408" s="3" t="inlineStr">
        <is>
          <t>12</t>
        </is>
      </c>
      <c r="B408" s="3" t="inlineStr">
        <is>
          <t>NT10k1</t>
        </is>
      </c>
      <c r="C408" s="3" t="inlineStr">
        <is>
          <t>Chì</t>
        </is>
      </c>
      <c r="D408" s="3" t="n">
        <v>8</v>
      </c>
      <c r="E408" s="3" t="inlineStr">
        <is>
          <t>Nội nghiệp</t>
        </is>
      </c>
      <c r="F408" s="3" t="inlineStr">
        <is>
          <t>1QTVTNMT hạng III.3</t>
        </is>
      </c>
      <c r="G408" s="3" t="n">
        <v>0.8</v>
      </c>
      <c r="H408" s="3" t="n">
        <v>1</v>
      </c>
      <c r="I408" s="3">
        <f>G408*H408</f>
        <v/>
      </c>
      <c r="J408" s="3">
        <f>D408*I408</f>
        <v/>
      </c>
    </row>
    <row r="409">
      <c r="A409" s="2" t="inlineStr">
        <is>
          <t>13</t>
        </is>
      </c>
      <c r="B409" s="2" t="inlineStr">
        <is>
          <t>NT10k2</t>
        </is>
      </c>
      <c r="C409" s="2" t="inlineStr">
        <is>
          <t>Cadimi</t>
        </is>
      </c>
      <c r="D409" s="2" t="n">
        <v>8</v>
      </c>
      <c r="E409" s="2" t="inlineStr">
        <is>
          <t>Ngoại nghiệp</t>
        </is>
      </c>
      <c r="F409" s="2" t="inlineStr">
        <is>
          <t>1QTVTNMT hạng III.2</t>
        </is>
      </c>
      <c r="G409" s="2" t="n">
        <v>0.15</v>
      </c>
      <c r="H409" s="2" t="n">
        <v>1.2</v>
      </c>
      <c r="I409" s="2">
        <f>G409*H409</f>
        <v/>
      </c>
      <c r="J409" s="2">
        <f>D409*I409</f>
        <v/>
      </c>
    </row>
    <row r="410">
      <c r="A410" s="3" t="inlineStr">
        <is>
          <t>13</t>
        </is>
      </c>
      <c r="B410" s="3" t="inlineStr">
        <is>
          <t>NT10k2</t>
        </is>
      </c>
      <c r="C410" s="3" t="inlineStr">
        <is>
          <t>Cadimi</t>
        </is>
      </c>
      <c r="D410" s="3" t="n">
        <v>8</v>
      </c>
      <c r="E410" s="3" t="inlineStr">
        <is>
          <t>Nội nghiệp</t>
        </is>
      </c>
      <c r="F410" s="3" t="inlineStr">
        <is>
          <t>1QTVTNMT hạng III.3</t>
        </is>
      </c>
      <c r="G410" s="3" t="n">
        <v>0.8</v>
      </c>
      <c r="H410" s="3" t="n">
        <v>1</v>
      </c>
      <c r="I410" s="3">
        <f>G410*H410</f>
        <v/>
      </c>
      <c r="J410" s="3">
        <f>D410*I410</f>
        <v/>
      </c>
    </row>
    <row r="411">
      <c r="A411" s="2" t="inlineStr">
        <is>
          <t>14</t>
        </is>
      </c>
      <c r="B411" s="2" t="inlineStr">
        <is>
          <t>NT10m1</t>
        </is>
      </c>
      <c r="C411" s="2" t="inlineStr">
        <is>
          <t>Đồng</t>
        </is>
      </c>
      <c r="D411" s="2" t="n">
        <v>8</v>
      </c>
      <c r="E411" s="2" t="inlineStr">
        <is>
          <t>Ngoại nghiệp</t>
        </is>
      </c>
      <c r="F411" s="2" t="inlineStr">
        <is>
          <t>1QTVTNMT hạng III.2</t>
        </is>
      </c>
      <c r="G411" s="2" t="n">
        <v>0.15</v>
      </c>
      <c r="H411" s="2" t="n">
        <v>1.2</v>
      </c>
      <c r="I411" s="2">
        <f>G411*H411</f>
        <v/>
      </c>
      <c r="J411" s="2">
        <f>D411*I411</f>
        <v/>
      </c>
    </row>
    <row r="412">
      <c r="A412" s="3" t="inlineStr">
        <is>
          <t>14</t>
        </is>
      </c>
      <c r="B412" s="3" t="inlineStr">
        <is>
          <t>NT10m1</t>
        </is>
      </c>
      <c r="C412" s="3" t="inlineStr">
        <is>
          <t>Đồng</t>
        </is>
      </c>
      <c r="D412" s="3" t="n">
        <v>8</v>
      </c>
      <c r="E412" s="3" t="inlineStr">
        <is>
          <t>Nội nghiệp</t>
        </is>
      </c>
      <c r="F412" s="3" t="inlineStr">
        <is>
          <t>1QTVTNMT hạng III.2</t>
        </is>
      </c>
      <c r="G412" s="3" t="n">
        <v>0.7</v>
      </c>
      <c r="H412" s="3" t="n">
        <v>1</v>
      </c>
      <c r="I412" s="3">
        <f>G412*H412</f>
        <v/>
      </c>
      <c r="J412" s="3">
        <f>D412*I412</f>
        <v/>
      </c>
    </row>
    <row r="413">
      <c r="A413" s="2" t="inlineStr">
        <is>
          <t>15</t>
        </is>
      </c>
      <c r="B413" s="2" t="inlineStr">
        <is>
          <t>NT10m2</t>
        </is>
      </c>
      <c r="C413" s="2" t="inlineStr">
        <is>
          <t>Kẽm</t>
        </is>
      </c>
      <c r="D413" s="2" t="n">
        <v>8</v>
      </c>
      <c r="E413" s="2" t="inlineStr">
        <is>
          <t>Ngoại nghiệp</t>
        </is>
      </c>
      <c r="F413" s="2" t="inlineStr">
        <is>
          <t>1QTVTNMT hạng III.2</t>
        </is>
      </c>
      <c r="G413" s="2" t="n">
        <v>0.15</v>
      </c>
      <c r="H413" s="2" t="n">
        <v>1.2</v>
      </c>
      <c r="I413" s="2">
        <f>G413*H413</f>
        <v/>
      </c>
      <c r="J413" s="2">
        <f>D413*I413</f>
        <v/>
      </c>
    </row>
    <row r="414">
      <c r="A414" s="3" t="inlineStr">
        <is>
          <t>15</t>
        </is>
      </c>
      <c r="B414" s="3" t="inlineStr">
        <is>
          <t>NT10m2</t>
        </is>
      </c>
      <c r="C414" s="3" t="inlineStr">
        <is>
          <t>Kẽm</t>
        </is>
      </c>
      <c r="D414" s="3" t="n">
        <v>8</v>
      </c>
      <c r="E414" s="3" t="inlineStr">
        <is>
          <t>Nội nghiệp</t>
        </is>
      </c>
      <c r="F414" s="3" t="inlineStr">
        <is>
          <t>1QTVTNMT hạng III.2</t>
        </is>
      </c>
      <c r="G414" s="3" t="n">
        <v>0.7</v>
      </c>
      <c r="H414" s="3" t="n">
        <v>1</v>
      </c>
      <c r="I414" s="3">
        <f>G414*H414</f>
        <v/>
      </c>
      <c r="J414" s="3">
        <f>D414*I414</f>
        <v/>
      </c>
    </row>
    <row r="415">
      <c r="A415" s="2" t="inlineStr">
        <is>
          <t>16</t>
        </is>
      </c>
      <c r="B415" s="2" t="inlineStr">
        <is>
          <t>NT10m6</t>
        </is>
      </c>
      <c r="C415" s="2" t="inlineStr">
        <is>
          <t>Niken</t>
        </is>
      </c>
      <c r="D415" s="2" t="n">
        <v>8</v>
      </c>
      <c r="E415" s="2" t="inlineStr">
        <is>
          <t>Ngoại nghiệp</t>
        </is>
      </c>
      <c r="F415" s="2" t="inlineStr">
        <is>
          <t>1QTVTNMT hạng III.2</t>
        </is>
      </c>
      <c r="G415" s="2" t="n">
        <v>0.15</v>
      </c>
      <c r="H415" s="2" t="n">
        <v>1.2</v>
      </c>
      <c r="I415" s="2">
        <f>G415*H415</f>
        <v/>
      </c>
      <c r="J415" s="2">
        <f>D415*I415</f>
        <v/>
      </c>
    </row>
    <row r="416">
      <c r="A416" s="3" t="inlineStr">
        <is>
          <t>16</t>
        </is>
      </c>
      <c r="B416" s="3" t="inlineStr">
        <is>
          <t>NT10m6</t>
        </is>
      </c>
      <c r="C416" s="3" t="inlineStr">
        <is>
          <t>Niken</t>
        </is>
      </c>
      <c r="D416" s="3" t="n">
        <v>8</v>
      </c>
      <c r="E416" s="3" t="inlineStr">
        <is>
          <t>Nội nghiệp</t>
        </is>
      </c>
      <c r="F416" s="3" t="inlineStr">
        <is>
          <t>1QTVTNMT hạng III.2</t>
        </is>
      </c>
      <c r="G416" s="3" t="n">
        <v>0.7</v>
      </c>
      <c r="H416" s="3" t="n">
        <v>1</v>
      </c>
      <c r="I416" s="3">
        <f>G416*H416</f>
        <v/>
      </c>
      <c r="J416" s="3">
        <f>D416*I416</f>
        <v/>
      </c>
    </row>
    <row r="417">
      <c r="A417" s="2" t="inlineStr">
        <is>
          <t>17</t>
        </is>
      </c>
      <c r="B417" s="2" t="inlineStr">
        <is>
          <t>NT10m3</t>
        </is>
      </c>
      <c r="C417" s="2" t="inlineStr">
        <is>
          <t>Mangan</t>
        </is>
      </c>
      <c r="D417" s="2" t="n">
        <v>8</v>
      </c>
      <c r="E417" s="2" t="inlineStr">
        <is>
          <t>Ngoại nghiệp</t>
        </is>
      </c>
      <c r="F417" s="2" t="inlineStr">
        <is>
          <t>1QTVTNMT hạng III.2</t>
        </is>
      </c>
      <c r="G417" s="2" t="n">
        <v>0.15</v>
      </c>
      <c r="H417" s="2" t="n">
        <v>1.2</v>
      </c>
      <c r="I417" s="2">
        <f>G417*H417</f>
        <v/>
      </c>
      <c r="J417" s="2">
        <f>D417*I417</f>
        <v/>
      </c>
    </row>
    <row r="418">
      <c r="A418" s="3" t="inlineStr">
        <is>
          <t>17</t>
        </is>
      </c>
      <c r="B418" s="3" t="inlineStr">
        <is>
          <t>NT10m3</t>
        </is>
      </c>
      <c r="C418" s="3" t="inlineStr">
        <is>
          <t>Mangan</t>
        </is>
      </c>
      <c r="D418" s="3" t="n">
        <v>8</v>
      </c>
      <c r="E418" s="3" t="inlineStr">
        <is>
          <t>Nội nghiệp</t>
        </is>
      </c>
      <c r="F418" s="3" t="inlineStr">
        <is>
          <t>1QTVTNMT hạng III.2</t>
        </is>
      </c>
      <c r="G418" s="3" t="n">
        <v>0.7</v>
      </c>
      <c r="H418" s="3" t="n">
        <v>1</v>
      </c>
      <c r="I418" s="3">
        <f>G418*H418</f>
        <v/>
      </c>
      <c r="J418" s="3">
        <f>D418*I418</f>
        <v/>
      </c>
    </row>
    <row r="419">
      <c r="A419" s="2" t="inlineStr">
        <is>
          <t>18</t>
        </is>
      </c>
      <c r="B419" s="2" t="inlineStr">
        <is>
          <t>NT10m4</t>
        </is>
      </c>
      <c r="C419" s="2" t="inlineStr">
        <is>
          <t>Sắt</t>
        </is>
      </c>
      <c r="D419" s="2" t="n">
        <v>8</v>
      </c>
      <c r="E419" s="2" t="inlineStr">
        <is>
          <t>Ngoại nghiệp</t>
        </is>
      </c>
      <c r="F419" s="2" t="inlineStr">
        <is>
          <t>1QTVTNMT hạng III.2</t>
        </is>
      </c>
      <c r="G419" s="2" t="n">
        <v>0.15</v>
      </c>
      <c r="H419" s="2" t="n">
        <v>1.2</v>
      </c>
      <c r="I419" s="2">
        <f>G419*H419</f>
        <v/>
      </c>
      <c r="J419" s="2">
        <f>D419*I419</f>
        <v/>
      </c>
    </row>
    <row r="420">
      <c r="A420" s="3" t="inlineStr">
        <is>
          <t>18</t>
        </is>
      </c>
      <c r="B420" s="3" t="inlineStr">
        <is>
          <t>NT10m4</t>
        </is>
      </c>
      <c r="C420" s="3" t="inlineStr">
        <is>
          <t>Sắt</t>
        </is>
      </c>
      <c r="D420" s="3" t="n">
        <v>8</v>
      </c>
      <c r="E420" s="3" t="inlineStr">
        <is>
          <t>Nội nghiệp</t>
        </is>
      </c>
      <c r="F420" s="3" t="inlineStr">
        <is>
          <t>1QTVTNMT hạng III.2</t>
        </is>
      </c>
      <c r="G420" s="3" t="n">
        <v>0.7</v>
      </c>
      <c r="H420" s="3" t="n">
        <v>1</v>
      </c>
      <c r="I420" s="3">
        <f>G420*H420</f>
        <v/>
      </c>
      <c r="J420" s="3">
        <f>D420*I420</f>
        <v/>
      </c>
    </row>
    <row r="421">
      <c r="A421" s="2" t="inlineStr">
        <is>
          <t>19</t>
        </is>
      </c>
      <c r="B421" s="2" t="inlineStr">
        <is>
          <t>NT9</t>
        </is>
      </c>
      <c r="C421" s="2" t="inlineStr">
        <is>
          <t>Tổng xianua</t>
        </is>
      </c>
      <c r="D421" s="2" t="n">
        <v>8</v>
      </c>
      <c r="E421" s="2" t="inlineStr">
        <is>
          <t>Ngoại nghiệp</t>
        </is>
      </c>
      <c r="F421" s="2" t="inlineStr">
        <is>
          <t>1QTVTNMT hạng III.2</t>
        </is>
      </c>
      <c r="G421" s="2" t="n">
        <v>0.2</v>
      </c>
      <c r="H421" s="2" t="n">
        <v>1.2</v>
      </c>
      <c r="I421" s="2">
        <f>G421*H421</f>
        <v/>
      </c>
      <c r="J421" s="2">
        <f>D421*I421</f>
        <v/>
      </c>
    </row>
    <row r="422">
      <c r="A422" s="3" t="inlineStr">
        <is>
          <t>19</t>
        </is>
      </c>
      <c r="B422" s="3" t="inlineStr">
        <is>
          <t>NT9</t>
        </is>
      </c>
      <c r="C422" s="3" t="inlineStr">
        <is>
          <t>Tổng xianua</t>
        </is>
      </c>
      <c r="D422" s="3" t="n">
        <v>8</v>
      </c>
      <c r="E422" s="3" t="inlineStr">
        <is>
          <t>Nội nghiệp</t>
        </is>
      </c>
      <c r="F422" s="3" t="inlineStr">
        <is>
          <t>1QTVTNMT hạng III.2</t>
        </is>
      </c>
      <c r="G422" s="3" t="n">
        <v>0.62</v>
      </c>
      <c r="H422" s="3" t="n">
        <v>1</v>
      </c>
      <c r="I422" s="3">
        <f>G422*H422</f>
        <v/>
      </c>
      <c r="J422" s="3">
        <f>D422*I422</f>
        <v/>
      </c>
    </row>
    <row r="423">
      <c r="A423" s="2" t="inlineStr">
        <is>
          <t>20</t>
        </is>
      </c>
      <c r="B423" s="2" t="inlineStr">
        <is>
          <t>NT2</t>
        </is>
      </c>
      <c r="C423" s="2" t="inlineStr">
        <is>
          <t>Tổng Phenol</t>
        </is>
      </c>
      <c r="D423" s="2" t="n">
        <v>8</v>
      </c>
      <c r="E423" s="2" t="inlineStr">
        <is>
          <t>Ngoại nghiệp</t>
        </is>
      </c>
      <c r="F423" s="2" t="inlineStr">
        <is>
          <t>1QTVTNMT hạng III.1</t>
        </is>
      </c>
      <c r="G423" s="2" t="n">
        <v>0.2</v>
      </c>
      <c r="H423" s="2" t="n">
        <v>1.2</v>
      </c>
      <c r="I423" s="2">
        <f>G423*H423</f>
        <v/>
      </c>
      <c r="J423" s="2">
        <f>D423*I423</f>
        <v/>
      </c>
    </row>
    <row r="424">
      <c r="A424" s="3" t="inlineStr">
        <is>
          <t>21</t>
        </is>
      </c>
      <c r="B424" s="3" t="inlineStr">
        <is>
          <t>NT8</t>
        </is>
      </c>
      <c r="C424" s="3" t="inlineStr">
        <is>
          <t>Tổng dầu mỡ khoáng</t>
        </is>
      </c>
      <c r="D424" s="3" t="n">
        <v>8</v>
      </c>
      <c r="E424" s="3" t="inlineStr">
        <is>
          <t>Ngoại nghiệp</t>
        </is>
      </c>
      <c r="F424" s="3" t="inlineStr">
        <is>
          <t>1QTVTNMT hạng III.3</t>
        </is>
      </c>
      <c r="G424" s="3" t="n">
        <v>0.2</v>
      </c>
      <c r="H424" s="3" t="n">
        <v>1.2</v>
      </c>
      <c r="I424" s="3">
        <f>G424*H424</f>
        <v/>
      </c>
      <c r="J424" s="3">
        <f>D424*I424</f>
        <v/>
      </c>
    </row>
    <row r="425">
      <c r="A425" s="2" t="inlineStr">
        <is>
          <t>21</t>
        </is>
      </c>
      <c r="B425" s="2" t="inlineStr">
        <is>
          <t>NT8</t>
        </is>
      </c>
      <c r="C425" s="2" t="inlineStr">
        <is>
          <t>Tổng dầu mỡ khoáng</t>
        </is>
      </c>
      <c r="D425" s="2" t="n">
        <v>8</v>
      </c>
      <c r="E425" s="2" t="inlineStr">
        <is>
          <t>Nội nghiệp</t>
        </is>
      </c>
      <c r="F425" s="2" t="inlineStr">
        <is>
          <t>1QTVTNMT hạng III.2</t>
        </is>
      </c>
      <c r="G425" s="2" t="n">
        <v>0.95</v>
      </c>
      <c r="H425" s="2" t="n">
        <v>1</v>
      </c>
      <c r="I425" s="2">
        <f>G425*H425</f>
        <v/>
      </c>
      <c r="J425" s="2">
        <f>D425*I425</f>
        <v/>
      </c>
    </row>
    <row r="426">
      <c r="A426" s="3" t="inlineStr">
        <is>
          <t>22</t>
        </is>
      </c>
      <c r="B426" s="3" t="inlineStr">
        <is>
          <t>NT10d</t>
        </is>
      </c>
      <c r="C426" s="3" t="inlineStr">
        <is>
          <t>Sunfua</t>
        </is>
      </c>
      <c r="D426" s="3" t="n">
        <v>8</v>
      </c>
      <c r="E426" s="3" t="inlineStr">
        <is>
          <t>Ngoại nghiệp</t>
        </is>
      </c>
      <c r="F426" s="3" t="inlineStr">
        <is>
          <t>1QTVTNMT hạng III.2</t>
        </is>
      </c>
      <c r="G426" s="3" t="n">
        <v>0.2</v>
      </c>
      <c r="H426" s="3" t="n">
        <v>1.2</v>
      </c>
      <c r="I426" s="3">
        <f>G426*H426</f>
        <v/>
      </c>
      <c r="J426" s="3">
        <f>D426*I426</f>
        <v/>
      </c>
    </row>
    <row r="427">
      <c r="A427" s="2" t="inlineStr">
        <is>
          <t>22</t>
        </is>
      </c>
      <c r="B427" s="2" t="inlineStr">
        <is>
          <t>NT10d</t>
        </is>
      </c>
      <c r="C427" s="2" t="inlineStr">
        <is>
          <t>Sunfua</t>
        </is>
      </c>
      <c r="D427" s="2" t="n">
        <v>8</v>
      </c>
      <c r="E427" s="2" t="inlineStr">
        <is>
          <t>Nội nghiệp</t>
        </is>
      </c>
      <c r="F427" s="2" t="inlineStr">
        <is>
          <t>1QTVTNMT hạng III.2</t>
        </is>
      </c>
      <c r="G427" s="2" t="n">
        <v>0.5</v>
      </c>
      <c r="H427" s="2" t="n">
        <v>1</v>
      </c>
      <c r="I427" s="2">
        <f>G427*H427</f>
        <v/>
      </c>
      <c r="J427" s="2">
        <f>D427*I427</f>
        <v/>
      </c>
    </row>
    <row r="428">
      <c r="A428" s="3" t="inlineStr">
        <is>
          <t>23</t>
        </is>
      </c>
      <c r="B428" s="3" t="inlineStr">
        <is>
          <t>NT10h</t>
        </is>
      </c>
      <c r="C428" s="3" t="inlineStr">
        <is>
          <t>Florua</t>
        </is>
      </c>
      <c r="D428" s="3" t="n">
        <v>8</v>
      </c>
      <c r="E428" s="3" t="inlineStr">
        <is>
          <t>Ngoại nghiệp</t>
        </is>
      </c>
      <c r="F428" s="3" t="inlineStr">
        <is>
          <t>1QTVTNMT hạng III.2</t>
        </is>
      </c>
      <c r="G428" s="3" t="n">
        <v>0.2</v>
      </c>
      <c r="H428" s="3" t="n">
        <v>1.2</v>
      </c>
      <c r="I428" s="3">
        <f>G428*H428</f>
        <v/>
      </c>
      <c r="J428" s="3">
        <f>D428*I428</f>
        <v/>
      </c>
    </row>
    <row r="429">
      <c r="A429" s="2" t="inlineStr">
        <is>
          <t>23</t>
        </is>
      </c>
      <c r="B429" s="2" t="inlineStr">
        <is>
          <t>NT10h</t>
        </is>
      </c>
      <c r="C429" s="2" t="inlineStr">
        <is>
          <t>Florua</t>
        </is>
      </c>
      <c r="D429" s="2" t="n">
        <v>8</v>
      </c>
      <c r="E429" s="2" t="inlineStr">
        <is>
          <t>Nội nghiệp</t>
        </is>
      </c>
      <c r="F429" s="2" t="inlineStr">
        <is>
          <t>1QTVTNMT hạng III.2</t>
        </is>
      </c>
      <c r="G429" s="2" t="n">
        <v>0.52</v>
      </c>
      <c r="H429" s="2" t="n">
        <v>1</v>
      </c>
      <c r="I429" s="2">
        <f>G429*H429</f>
        <v/>
      </c>
      <c r="J429" s="2">
        <f>D429*I429</f>
        <v/>
      </c>
    </row>
    <row r="430">
      <c r="A430" s="3" t="inlineStr">
        <is>
          <t>24</t>
        </is>
      </c>
      <c r="B430" s="3" t="inlineStr">
        <is>
          <t>NT10b</t>
        </is>
      </c>
      <c r="C430" s="3" t="inlineStr">
        <is>
          <t>Tổng Nitơ</t>
        </is>
      </c>
      <c r="D430" s="3" t="n">
        <v>8</v>
      </c>
      <c r="E430" s="3" t="inlineStr">
        <is>
          <t>Ngoại nghiệp</t>
        </is>
      </c>
      <c r="F430" s="3" t="inlineStr">
        <is>
          <t>1QTVTNMT hạng III.2</t>
        </is>
      </c>
      <c r="G430" s="3" t="n">
        <v>0.2</v>
      </c>
      <c r="H430" s="3" t="n">
        <v>1.2</v>
      </c>
      <c r="I430" s="3">
        <f>G430*H430</f>
        <v/>
      </c>
      <c r="J430" s="3">
        <f>D430*I430</f>
        <v/>
      </c>
    </row>
    <row r="431">
      <c r="A431" s="2" t="inlineStr">
        <is>
          <t>24</t>
        </is>
      </c>
      <c r="B431" s="2" t="inlineStr">
        <is>
          <t>NT10b</t>
        </is>
      </c>
      <c r="C431" s="2" t="inlineStr">
        <is>
          <t>Tổng Nitơ</t>
        </is>
      </c>
      <c r="D431" s="2" t="n">
        <v>8</v>
      </c>
      <c r="E431" s="2" t="inlineStr">
        <is>
          <t>Nội nghiệp</t>
        </is>
      </c>
      <c r="F431" s="2" t="inlineStr">
        <is>
          <t>1QTVTNMT hạng III.2</t>
        </is>
      </c>
      <c r="G431" s="2" t="n">
        <v>0.62</v>
      </c>
      <c r="H431" s="2" t="n">
        <v>1</v>
      </c>
      <c r="I431" s="2">
        <f>G431*H431</f>
        <v/>
      </c>
      <c r="J431" s="2">
        <f>D431*I431</f>
        <v/>
      </c>
    </row>
    <row r="432">
      <c r="A432" s="3" t="inlineStr">
        <is>
          <t>25</t>
        </is>
      </c>
      <c r="B432" s="3" t="inlineStr">
        <is>
          <t>NT2</t>
        </is>
      </c>
      <c r="C432" s="3" t="inlineStr">
        <is>
          <t>Tổng photpho (tính theo P)</t>
        </is>
      </c>
      <c r="D432" s="3" t="n">
        <v>8</v>
      </c>
      <c r="E432" s="3" t="inlineStr">
        <is>
          <t>Ngoại nghiệp</t>
        </is>
      </c>
      <c r="F432" s="3" t="inlineStr">
        <is>
          <t>1QTVTNMT hạng III.1</t>
        </is>
      </c>
      <c r="G432" s="3" t="n">
        <v>0.2</v>
      </c>
      <c r="H432" s="3" t="n">
        <v>1.2</v>
      </c>
      <c r="I432" s="3">
        <f>G432*H432</f>
        <v/>
      </c>
      <c r="J432" s="3">
        <f>D432*I432</f>
        <v/>
      </c>
    </row>
    <row r="433">
      <c r="A433" s="2" t="inlineStr">
        <is>
          <t>26</t>
        </is>
      </c>
      <c r="B433" s="2" t="inlineStr">
        <is>
          <t>NT10i</t>
        </is>
      </c>
      <c r="C433" s="2" t="inlineStr">
        <is>
          <t>Clorua</t>
        </is>
      </c>
      <c r="D433" s="2" t="n">
        <v>8</v>
      </c>
      <c r="E433" s="2" t="inlineStr">
        <is>
          <t>Ngoại nghiệp</t>
        </is>
      </c>
      <c r="F433" s="2" t="inlineStr">
        <is>
          <t>1QTVTNMT hạng III.2</t>
        </is>
      </c>
      <c r="G433" s="2" t="n">
        <v>0.2</v>
      </c>
      <c r="H433" s="2" t="n">
        <v>1.2</v>
      </c>
      <c r="I433" s="2">
        <f>G433*H433</f>
        <v/>
      </c>
      <c r="J433" s="2">
        <f>D433*I433</f>
        <v/>
      </c>
    </row>
    <row r="434">
      <c r="A434" s="3" t="inlineStr">
        <is>
          <t>26</t>
        </is>
      </c>
      <c r="B434" s="3" t="inlineStr">
        <is>
          <t>NT10i</t>
        </is>
      </c>
      <c r="C434" s="3" t="inlineStr">
        <is>
          <t>Clorua</t>
        </is>
      </c>
      <c r="D434" s="3" t="n">
        <v>8</v>
      </c>
      <c r="E434" s="3" t="inlineStr">
        <is>
          <t>Nội nghiệp</t>
        </is>
      </c>
      <c r="F434" s="3" t="inlineStr">
        <is>
          <t>1QTVTNMT hạng IV.2</t>
        </is>
      </c>
      <c r="G434" s="3" t="n">
        <v>0.52</v>
      </c>
      <c r="H434" s="3" t="n">
        <v>1</v>
      </c>
      <c r="I434" s="3">
        <f>G434*H434</f>
        <v/>
      </c>
      <c r="J434" s="3">
        <f>D434*I434</f>
        <v/>
      </c>
    </row>
    <row r="435">
      <c r="A435" s="2" t="inlineStr">
        <is>
          <t>27</t>
        </is>
      </c>
      <c r="B435" s="2" t="inlineStr">
        <is>
          <t>NT10j</t>
        </is>
      </c>
      <c r="C435" s="2" t="inlineStr">
        <is>
          <t>Clo dư</t>
        </is>
      </c>
      <c r="D435" s="2" t="n">
        <v>8</v>
      </c>
      <c r="E435" s="2" t="inlineStr">
        <is>
          <t>Ngoại nghiệp</t>
        </is>
      </c>
      <c r="F435" s="2" t="inlineStr">
        <is>
          <t>1QTVTNMT hạng III.2</t>
        </is>
      </c>
      <c r="G435" s="2" t="n">
        <v>0.2</v>
      </c>
      <c r="H435" s="2" t="n">
        <v>1.2</v>
      </c>
      <c r="I435" s="2">
        <f>G435*H435</f>
        <v/>
      </c>
      <c r="J435" s="2">
        <f>D435*I435</f>
        <v/>
      </c>
    </row>
    <row r="436">
      <c r="A436" s="3" t="inlineStr">
        <is>
          <t>27</t>
        </is>
      </c>
      <c r="B436" s="3" t="inlineStr">
        <is>
          <t>NT10j</t>
        </is>
      </c>
      <c r="C436" s="3" t="inlineStr">
        <is>
          <t>Clo dư</t>
        </is>
      </c>
      <c r="D436" s="3" t="n">
        <v>8</v>
      </c>
      <c r="E436" s="3" t="inlineStr">
        <is>
          <t>Nội nghiệp</t>
        </is>
      </c>
      <c r="F436" s="3" t="inlineStr">
        <is>
          <t>1QTVTNMT hạng III.2</t>
        </is>
      </c>
      <c r="G436" s="3" t="n">
        <v>1</v>
      </c>
      <c r="H436" s="3" t="n">
        <v>1</v>
      </c>
      <c r="I436" s="3">
        <f>G436*H436</f>
        <v/>
      </c>
      <c r="J436" s="3">
        <f>D436*I436</f>
        <v/>
      </c>
    </row>
    <row r="437">
      <c r="A437" s="2" t="inlineStr">
        <is>
          <t>28</t>
        </is>
      </c>
      <c r="B437" s="2" t="inlineStr">
        <is>
          <t>NT7a</t>
        </is>
      </c>
      <c r="C437" s="2" t="inlineStr">
        <is>
          <t>Coliform</t>
        </is>
      </c>
      <c r="D437" s="2" t="n">
        <v>8</v>
      </c>
      <c r="E437" s="2" t="inlineStr">
        <is>
          <t>Ngoại nghiệp</t>
        </is>
      </c>
      <c r="F437" s="2" t="inlineStr">
        <is>
          <t>1QTVTNMT hạng III.2</t>
        </is>
      </c>
      <c r="G437" s="2" t="n">
        <v>0.2</v>
      </c>
      <c r="H437" s="2" t="n">
        <v>1.2</v>
      </c>
      <c r="I437" s="2">
        <f>G437*H437</f>
        <v/>
      </c>
      <c r="J437" s="2">
        <f>D437*I437</f>
        <v/>
      </c>
    </row>
    <row r="438">
      <c r="A438" s="3" t="inlineStr">
        <is>
          <t>1</t>
        </is>
      </c>
      <c r="B438" s="3" t="inlineStr">
        <is>
          <t>CT2</t>
        </is>
      </c>
      <c r="C438" s="3" t="inlineStr">
        <is>
          <t>pH</t>
        </is>
      </c>
      <c r="D438" s="3" t="n">
        <v>4</v>
      </c>
      <c r="E438" s="3" t="inlineStr">
        <is>
          <t>Ngoại nghiệp</t>
        </is>
      </c>
      <c r="F438" s="3" t="inlineStr">
        <is>
          <t>1QTVTNMT hạng IV.2</t>
        </is>
      </c>
      <c r="G438" s="3" t="n">
        <v>0.35</v>
      </c>
      <c r="H438" s="3" t="n">
        <v>1.2</v>
      </c>
      <c r="I438" s="3">
        <f>G438*H438</f>
        <v/>
      </c>
      <c r="J438" s="3">
        <f>D438*I438</f>
        <v/>
      </c>
    </row>
    <row r="439">
      <c r="A439" s="2" t="inlineStr">
        <is>
          <t>1</t>
        </is>
      </c>
      <c r="B439" s="2" t="inlineStr">
        <is>
          <t>CT2</t>
        </is>
      </c>
      <c r="C439" s="2" t="inlineStr">
        <is>
          <t>pH</t>
        </is>
      </c>
      <c r="D439" s="2" t="n">
        <v>4</v>
      </c>
      <c r="E439" s="2" t="inlineStr">
        <is>
          <t>Nội nghiệp</t>
        </is>
      </c>
      <c r="F439" s="2" t="inlineStr">
        <is>
          <t>1QTVTNMT hạng III.1</t>
        </is>
      </c>
      <c r="G439" s="2" t="n">
        <v>0.6</v>
      </c>
      <c r="H439" s="2" t="n">
        <v>1</v>
      </c>
      <c r="I439" s="2">
        <f>G439*H439</f>
        <v/>
      </c>
      <c r="J439" s="2">
        <f>D439*I439</f>
        <v/>
      </c>
    </row>
    <row r="440">
      <c r="A440" s="3" t="inlineStr">
        <is>
          <t>2</t>
        </is>
      </c>
      <c r="B440" s="3" t="inlineStr">
        <is>
          <t>CT3</t>
        </is>
      </c>
      <c r="C440" s="3" t="inlineStr">
        <is>
          <t>Cyanua (CN-)</t>
        </is>
      </c>
      <c r="D440" s="3" t="n">
        <v>4</v>
      </c>
      <c r="E440" s="3" t="inlineStr">
        <is>
          <t>Ngoại nghiệp</t>
        </is>
      </c>
      <c r="F440" s="3" t="inlineStr">
        <is>
          <t>1QTVTNMT hạng III.1</t>
        </is>
      </c>
      <c r="G440" s="3" t="n">
        <v>0.35</v>
      </c>
      <c r="H440" s="3" t="n">
        <v>1.2</v>
      </c>
      <c r="I440" s="3">
        <f>G440*H440</f>
        <v/>
      </c>
      <c r="J440" s="3">
        <f>D440*I440</f>
        <v/>
      </c>
    </row>
    <row r="441">
      <c r="A441" s="2" t="inlineStr">
        <is>
          <t>2</t>
        </is>
      </c>
      <c r="B441" s="2" t="inlineStr">
        <is>
          <t>CT3</t>
        </is>
      </c>
      <c r="C441" s="2" t="inlineStr">
        <is>
          <t>Cyanua (CN-)</t>
        </is>
      </c>
      <c r="D441" s="2" t="n">
        <v>4</v>
      </c>
      <c r="E441" s="2" t="inlineStr">
        <is>
          <t>Nội nghiệp</t>
        </is>
      </c>
      <c r="F441" s="2" t="inlineStr">
        <is>
          <t>1QTVTNMT hạng III.3</t>
        </is>
      </c>
      <c r="G441" s="2" t="n">
        <v>1.2</v>
      </c>
      <c r="H441" s="2" t="n">
        <v>1</v>
      </c>
      <c r="I441" s="2">
        <f>G441*H441</f>
        <v/>
      </c>
      <c r="J441" s="2">
        <f>D441*I441</f>
        <v/>
      </c>
    </row>
    <row r="442">
      <c r="A442" s="3" t="inlineStr">
        <is>
          <t>3</t>
        </is>
      </c>
      <c r="B442" s="3" t="inlineStr">
        <is>
          <t>CT4</t>
        </is>
      </c>
      <c r="C442" s="3" t="inlineStr">
        <is>
          <t>Crom (VI)</t>
        </is>
      </c>
      <c r="D442" s="3" t="n">
        <v>4</v>
      </c>
      <c r="E442" s="3" t="inlineStr">
        <is>
          <t>Ngoại nghiệp</t>
        </is>
      </c>
      <c r="F442" s="3" t="inlineStr">
        <is>
          <t>1QTVTNMT hạng III.1</t>
        </is>
      </c>
      <c r="G442" s="3" t="n">
        <v>0.35</v>
      </c>
      <c r="H442" s="3" t="n">
        <v>1.2</v>
      </c>
      <c r="I442" s="3">
        <f>G442*H442</f>
        <v/>
      </c>
      <c r="J442" s="3">
        <f>D442*I442</f>
        <v/>
      </c>
    </row>
    <row r="443">
      <c r="A443" s="2" t="inlineStr">
        <is>
          <t>3</t>
        </is>
      </c>
      <c r="B443" s="2" t="inlineStr">
        <is>
          <t>CT4</t>
        </is>
      </c>
      <c r="C443" s="2" t="inlineStr">
        <is>
          <t>Crom (VI)</t>
        </is>
      </c>
      <c r="D443" s="2" t="n">
        <v>4</v>
      </c>
      <c r="E443" s="2" t="inlineStr">
        <is>
          <t>Nội nghiệp</t>
        </is>
      </c>
      <c r="F443" s="2" t="inlineStr">
        <is>
          <t>1QTVTNMT hạng III.2</t>
        </is>
      </c>
      <c r="G443" s="2" t="n">
        <v>0.6</v>
      </c>
      <c r="H443" s="2" t="n">
        <v>1</v>
      </c>
      <c r="I443" s="2">
        <f>G443*H443</f>
        <v/>
      </c>
      <c r="J443" s="2">
        <f>D443*I443</f>
        <v/>
      </c>
    </row>
    <row r="444">
      <c r="A444" s="3" t="inlineStr">
        <is>
          <t>4</t>
        </is>
      </c>
      <c r="B444" s="3" t="inlineStr">
        <is>
          <t>CT7a</t>
        </is>
      </c>
      <c r="C444" s="3" t="inlineStr">
        <is>
          <t>As</t>
        </is>
      </c>
      <c r="D444" s="3" t="n">
        <v>4</v>
      </c>
      <c r="E444" s="3" t="inlineStr">
        <is>
          <t>Ngoại nghiệp</t>
        </is>
      </c>
      <c r="F444" s="3" t="inlineStr">
        <is>
          <t>1QTVTNMT hạng III.1</t>
        </is>
      </c>
      <c r="G444" s="3" t="n">
        <v>0.35</v>
      </c>
      <c r="H444" s="3" t="n">
        <v>1.2</v>
      </c>
      <c r="I444" s="3">
        <f>G444*H444</f>
        <v/>
      </c>
      <c r="J444" s="3">
        <f>D444*I444</f>
        <v/>
      </c>
    </row>
    <row r="445">
      <c r="A445" s="2" t="inlineStr">
        <is>
          <t>4</t>
        </is>
      </c>
      <c r="B445" s="2" t="inlineStr">
        <is>
          <t>CT7a</t>
        </is>
      </c>
      <c r="C445" s="2" t="inlineStr">
        <is>
          <t>As</t>
        </is>
      </c>
      <c r="D445" s="2" t="n">
        <v>4</v>
      </c>
      <c r="E445" s="2" t="inlineStr">
        <is>
          <t>Nội nghiệp</t>
        </is>
      </c>
      <c r="F445" s="2" t="inlineStr">
        <is>
          <t>1QTVTNMT hạng III.3</t>
        </is>
      </c>
      <c r="G445" s="2" t="n">
        <v>1</v>
      </c>
      <c r="H445" s="2" t="n">
        <v>1</v>
      </c>
      <c r="I445" s="2">
        <f>G445*H445</f>
        <v/>
      </c>
      <c r="J445" s="2">
        <f>D445*I445</f>
        <v/>
      </c>
    </row>
    <row r="446">
      <c r="A446" s="3" t="inlineStr">
        <is>
          <t>5</t>
        </is>
      </c>
      <c r="B446" s="3" t="inlineStr">
        <is>
          <t>CT7b</t>
        </is>
      </c>
      <c r="C446" s="3" t="inlineStr">
        <is>
          <t>Hg</t>
        </is>
      </c>
      <c r="D446" s="3" t="n">
        <v>4</v>
      </c>
      <c r="E446" s="3" t="inlineStr">
        <is>
          <t>Ngoại nghiệp</t>
        </is>
      </c>
      <c r="F446" s="3" t="inlineStr">
        <is>
          <t>1QTVTNMT hạng III.1</t>
        </is>
      </c>
      <c r="G446" s="3" t="n">
        <v>0.35</v>
      </c>
      <c r="H446" s="3" t="n">
        <v>1.2</v>
      </c>
      <c r="I446" s="3">
        <f>G446*H446</f>
        <v/>
      </c>
      <c r="J446" s="3">
        <f>D446*I446</f>
        <v/>
      </c>
    </row>
    <row r="447">
      <c r="A447" s="2" t="inlineStr">
        <is>
          <t>5</t>
        </is>
      </c>
      <c r="B447" s="2" t="inlineStr">
        <is>
          <t>CT7b</t>
        </is>
      </c>
      <c r="C447" s="2" t="inlineStr">
        <is>
          <t>Hg</t>
        </is>
      </c>
      <c r="D447" s="2" t="n">
        <v>4</v>
      </c>
      <c r="E447" s="2" t="inlineStr">
        <is>
          <t>Nội nghiệp</t>
        </is>
      </c>
      <c r="F447" s="2" t="inlineStr">
        <is>
          <t>1QTVTNMT hạng III.3</t>
        </is>
      </c>
      <c r="G447" s="2" t="n">
        <v>1</v>
      </c>
      <c r="H447" s="2" t="n">
        <v>1</v>
      </c>
      <c r="I447" s="2">
        <f>G447*H447</f>
        <v/>
      </c>
      <c r="J447" s="2">
        <f>D447*I447</f>
        <v/>
      </c>
    </row>
    <row r="448">
      <c r="A448" s="3" t="inlineStr">
        <is>
          <t>6</t>
        </is>
      </c>
      <c r="B448" s="3" t="inlineStr">
        <is>
          <t>CT2</t>
        </is>
      </c>
      <c r="C448" s="3" t="inlineStr">
        <is>
          <t>Phenol</t>
        </is>
      </c>
      <c r="D448" s="3" t="n">
        <v>4</v>
      </c>
      <c r="E448" s="3" t="inlineStr">
        <is>
          <t>Ngoại nghiệp</t>
        </is>
      </c>
      <c r="F448" s="3" t="inlineStr">
        <is>
          <t>1QTVTNMT hạng IV.2</t>
        </is>
      </c>
      <c r="G448" s="3" t="n">
        <v>0.35</v>
      </c>
      <c r="H448" s="3" t="n">
        <v>1.2</v>
      </c>
      <c r="I448" s="3">
        <f>G448*H448</f>
        <v/>
      </c>
      <c r="J448" s="3">
        <f>D448*I448</f>
        <v/>
      </c>
    </row>
    <row r="449">
      <c r="A449" s="2" t="inlineStr">
        <is>
          <t>6</t>
        </is>
      </c>
      <c r="B449" s="2" t="inlineStr">
        <is>
          <t>CT2</t>
        </is>
      </c>
      <c r="C449" s="2" t="inlineStr">
        <is>
          <t>Phenol</t>
        </is>
      </c>
      <c r="D449" s="2" t="n">
        <v>4</v>
      </c>
      <c r="E449" s="2" t="inlineStr">
        <is>
          <t>Nội nghiệp</t>
        </is>
      </c>
      <c r="F449" s="2" t="inlineStr">
        <is>
          <t>1QTVTNMT hạng III.1</t>
        </is>
      </c>
      <c r="G449" s="2" t="n">
        <v>0.6</v>
      </c>
      <c r="H449" s="2" t="n">
        <v>1</v>
      </c>
      <c r="I449" s="2">
        <f>G449*H449</f>
        <v/>
      </c>
      <c r="J449" s="2">
        <f>D449*I449</f>
        <v/>
      </c>
    </row>
    <row r="450">
      <c r="A450" s="3" t="inlineStr">
        <is>
          <t>7</t>
        </is>
      </c>
      <c r="B450" s="3" t="inlineStr">
        <is>
          <t>CT6a</t>
        </is>
      </c>
      <c r="C450" s="3" t="inlineStr">
        <is>
          <t>Pb</t>
        </is>
      </c>
      <c r="D450" s="3" t="n">
        <v>4</v>
      </c>
      <c r="E450" s="3" t="inlineStr">
        <is>
          <t>Ngoại nghiệp</t>
        </is>
      </c>
      <c r="F450" s="3" t="inlineStr">
        <is>
          <t>1QTVTNMT hạng III.1</t>
        </is>
      </c>
      <c r="G450" s="3" t="n">
        <v>0.35</v>
      </c>
      <c r="H450" s="3" t="n">
        <v>1.2</v>
      </c>
      <c r="I450" s="3">
        <f>G450*H450</f>
        <v/>
      </c>
      <c r="J450" s="3">
        <f>D450*I450</f>
        <v/>
      </c>
    </row>
    <row r="451">
      <c r="A451" s="2" t="inlineStr">
        <is>
          <t>7</t>
        </is>
      </c>
      <c r="B451" s="2" t="inlineStr">
        <is>
          <t>CT6a</t>
        </is>
      </c>
      <c r="C451" s="2" t="inlineStr">
        <is>
          <t>Pb</t>
        </is>
      </c>
      <c r="D451" s="2" t="n">
        <v>4</v>
      </c>
      <c r="E451" s="2" t="inlineStr">
        <is>
          <t>Nội nghiệp</t>
        </is>
      </c>
      <c r="F451" s="2" t="inlineStr">
        <is>
          <t>1QTVTNMT hạng III.3</t>
        </is>
      </c>
      <c r="G451" s="2" t="n">
        <v>1</v>
      </c>
      <c r="H451" s="2" t="n">
        <v>1</v>
      </c>
      <c r="I451" s="2">
        <f>G451*H451</f>
        <v/>
      </c>
      <c r="J451" s="2">
        <f>D451*I451</f>
        <v/>
      </c>
    </row>
    <row r="452">
      <c r="A452" s="3" t="inlineStr">
        <is>
          <t>8</t>
        </is>
      </c>
      <c r="B452" s="3" t="inlineStr">
        <is>
          <t>CT6b</t>
        </is>
      </c>
      <c r="C452" s="3" t="inlineStr">
        <is>
          <t>Cd</t>
        </is>
      </c>
      <c r="D452" s="3" t="n">
        <v>4</v>
      </c>
      <c r="E452" s="3" t="inlineStr">
        <is>
          <t>Ngoại nghiệp</t>
        </is>
      </c>
      <c r="F452" s="3" t="inlineStr">
        <is>
          <t>1QTVTNMT hạng III.1</t>
        </is>
      </c>
      <c r="G452" s="3" t="n">
        <v>0.35</v>
      </c>
      <c r="H452" s="3" t="n">
        <v>1.2</v>
      </c>
      <c r="I452" s="3">
        <f>G452*H452</f>
        <v/>
      </c>
      <c r="J452" s="3">
        <f>D452*I452</f>
        <v/>
      </c>
    </row>
    <row r="453">
      <c r="A453" s="2" t="inlineStr">
        <is>
          <t>8</t>
        </is>
      </c>
      <c r="B453" s="2" t="inlineStr">
        <is>
          <t>CT6b</t>
        </is>
      </c>
      <c r="C453" s="2" t="inlineStr">
        <is>
          <t>Cd</t>
        </is>
      </c>
      <c r="D453" s="2" t="n">
        <v>4</v>
      </c>
      <c r="E453" s="2" t="inlineStr">
        <is>
          <t>Nội nghiệp</t>
        </is>
      </c>
      <c r="F453" s="2" t="inlineStr">
        <is>
          <t>1QTVTNMT hạng III.3</t>
        </is>
      </c>
      <c r="G453" s="2" t="n">
        <v>1</v>
      </c>
      <c r="H453" s="2" t="n">
        <v>1</v>
      </c>
      <c r="I453" s="2">
        <f>G453*H453</f>
        <v/>
      </c>
      <c r="J453" s="2">
        <f>D453*I453</f>
        <v/>
      </c>
    </row>
    <row r="454">
      <c r="A454" s="3" t="inlineStr">
        <is>
          <t>9</t>
        </is>
      </c>
      <c r="B454" s="3" t="inlineStr">
        <is>
          <t>CT8b</t>
        </is>
      </c>
      <c r="C454" s="3" t="inlineStr">
        <is>
          <t>Zn</t>
        </is>
      </c>
      <c r="D454" s="3" t="n">
        <v>4</v>
      </c>
      <c r="E454" s="3" t="inlineStr">
        <is>
          <t>Ngoại nghiệp</t>
        </is>
      </c>
      <c r="F454" s="3" t="inlineStr">
        <is>
          <t>1QTVTNMT hạng III.1</t>
        </is>
      </c>
      <c r="G454" s="3" t="n">
        <v>0.35</v>
      </c>
      <c r="H454" s="3" t="n">
        <v>1.2</v>
      </c>
      <c r="I454" s="3">
        <f>G454*H454</f>
        <v/>
      </c>
      <c r="J454" s="3">
        <f>D454*I454</f>
        <v/>
      </c>
    </row>
    <row r="455">
      <c r="A455" s="2" t="inlineStr">
        <is>
          <t>9</t>
        </is>
      </c>
      <c r="B455" s="2" t="inlineStr">
        <is>
          <t>CT8b</t>
        </is>
      </c>
      <c r="C455" s="2" t="inlineStr">
        <is>
          <t>Zn</t>
        </is>
      </c>
      <c r="D455" s="2" t="n">
        <v>4</v>
      </c>
      <c r="E455" s="2" t="inlineStr">
        <is>
          <t>Nội nghiệp</t>
        </is>
      </c>
      <c r="F455" s="2" t="inlineStr">
        <is>
          <t>1QTVTNMT hạng III.2</t>
        </is>
      </c>
      <c r="G455" s="2" t="n">
        <v>0.7</v>
      </c>
      <c r="H455" s="2" t="n">
        <v>1</v>
      </c>
      <c r="I455" s="2">
        <f>G455*H455</f>
        <v/>
      </c>
      <c r="J455" s="2">
        <f>D455*I455</f>
        <v/>
      </c>
    </row>
    <row r="456">
      <c r="A456" s="3" t="inlineStr">
        <is>
          <t>10</t>
        </is>
      </c>
      <c r="B456" s="3" t="inlineStr">
        <is>
          <t>CT8e</t>
        </is>
      </c>
      <c r="C456" s="3" t="inlineStr">
        <is>
          <t>Ni</t>
        </is>
      </c>
      <c r="D456" s="3" t="n">
        <v>4</v>
      </c>
      <c r="E456" s="3" t="inlineStr">
        <is>
          <t>Ngoại nghiệp</t>
        </is>
      </c>
      <c r="F456" s="3" t="inlineStr">
        <is>
          <t>1QTVTNMT hạng III.1</t>
        </is>
      </c>
      <c r="G456" s="3" t="n">
        <v>0.35</v>
      </c>
      <c r="H456" s="3" t="n">
        <v>1.2</v>
      </c>
      <c r="I456" s="3">
        <f>G456*H456</f>
        <v/>
      </c>
      <c r="J456" s="3">
        <f>D456*I456</f>
        <v/>
      </c>
    </row>
    <row r="457">
      <c r="A457" s="2" t="inlineStr">
        <is>
          <t>10</t>
        </is>
      </c>
      <c r="B457" s="2" t="inlineStr">
        <is>
          <t>CT8e</t>
        </is>
      </c>
      <c r="C457" s="2" t="inlineStr">
        <is>
          <t>Ni</t>
        </is>
      </c>
      <c r="D457" s="2" t="n">
        <v>4</v>
      </c>
      <c r="E457" s="2" t="inlineStr">
        <is>
          <t>Nội nghiệp</t>
        </is>
      </c>
      <c r="F457" s="2" t="inlineStr">
        <is>
          <t>1QTVTNMT hạng III.2</t>
        </is>
      </c>
      <c r="G457" s="2" t="n">
        <v>0.7</v>
      </c>
      <c r="H457" s="2" t="n">
        <v>1</v>
      </c>
      <c r="I457" s="2">
        <f>G457*H457</f>
        <v/>
      </c>
      <c r="J457" s="2">
        <f>D457*I457</f>
        <v/>
      </c>
    </row>
    <row r="458">
      <c r="A458" s="3" t="inlineStr">
        <is>
          <t>11</t>
        </is>
      </c>
      <c r="B458" s="3" t="inlineStr">
        <is>
          <t>CT8f</t>
        </is>
      </c>
      <c r="C458" s="3" t="inlineStr">
        <is>
          <t>Ba</t>
        </is>
      </c>
      <c r="D458" s="3" t="n">
        <v>4</v>
      </c>
      <c r="E458" s="3" t="inlineStr">
        <is>
          <t>Ngoại nghiệp</t>
        </is>
      </c>
      <c r="F458" s="3" t="inlineStr">
        <is>
          <t>1QTVTNMT hạng III.1</t>
        </is>
      </c>
      <c r="G458" s="3" t="n">
        <v>0.35</v>
      </c>
      <c r="H458" s="3" t="n">
        <v>1.2</v>
      </c>
      <c r="I458" s="3">
        <f>G458*H458</f>
        <v/>
      </c>
      <c r="J458" s="3">
        <f>D458*I458</f>
        <v/>
      </c>
    </row>
    <row r="459">
      <c r="A459" s="2" t="inlineStr">
        <is>
          <t>11</t>
        </is>
      </c>
      <c r="B459" s="2" t="inlineStr">
        <is>
          <t>CT8f</t>
        </is>
      </c>
      <c r="C459" s="2" t="inlineStr">
        <is>
          <t>Ba</t>
        </is>
      </c>
      <c r="D459" s="2" t="n">
        <v>4</v>
      </c>
      <c r="E459" s="2" t="inlineStr">
        <is>
          <t>Nội nghiệp</t>
        </is>
      </c>
      <c r="F459" s="2" t="inlineStr">
        <is>
          <t>1QTVTNMT hạng III.2</t>
        </is>
      </c>
      <c r="G459" s="2" t="n">
        <v>0.7</v>
      </c>
      <c r="H459" s="2" t="n">
        <v>1</v>
      </c>
      <c r="I459" s="2">
        <f>G459*H459</f>
        <v/>
      </c>
      <c r="J459" s="2">
        <f>D459*I459</f>
        <v/>
      </c>
    </row>
    <row r="460">
      <c r="A460" s="3" t="inlineStr">
        <is>
          <t>12</t>
        </is>
      </c>
      <c r="B460" s="3" t="inlineStr">
        <is>
          <t>CT8g</t>
        </is>
      </c>
      <c r="C460" s="3" t="inlineStr">
        <is>
          <t>Se</t>
        </is>
      </c>
      <c r="D460" s="3" t="n">
        <v>4</v>
      </c>
      <c r="E460" s="3" t="inlineStr">
        <is>
          <t>Ngoại nghiệp</t>
        </is>
      </c>
      <c r="F460" s="3" t="inlineStr">
        <is>
          <t>1QTVTNMT hạng III.1</t>
        </is>
      </c>
      <c r="G460" s="3" t="n">
        <v>0.35</v>
      </c>
      <c r="H460" s="3" t="n">
        <v>1.2</v>
      </c>
      <c r="I460" s="3">
        <f>G460*H460</f>
        <v/>
      </c>
      <c r="J460" s="3">
        <f>D460*I460</f>
        <v/>
      </c>
    </row>
    <row r="461">
      <c r="A461" s="2" t="inlineStr">
        <is>
          <t>12</t>
        </is>
      </c>
      <c r="B461" s="2" t="inlineStr">
        <is>
          <t>CT8g</t>
        </is>
      </c>
      <c r="C461" s="2" t="inlineStr">
        <is>
          <t>Se</t>
        </is>
      </c>
      <c r="D461" s="2" t="n">
        <v>4</v>
      </c>
      <c r="E461" s="2" t="inlineStr">
        <is>
          <t>Nội nghiệp</t>
        </is>
      </c>
      <c r="F461" s="2" t="inlineStr">
        <is>
          <t>1QTVTNMT hạng III.2</t>
        </is>
      </c>
      <c r="G461" s="2" t="n">
        <v>0.7</v>
      </c>
      <c r="H461" s="2" t="n">
        <v>1</v>
      </c>
      <c r="I461" s="2">
        <f>G461*H461</f>
        <v/>
      </c>
      <c r="J461" s="2">
        <f>D461*I461</f>
        <v/>
      </c>
    </row>
    <row r="462">
      <c r="A462" s="3" t="inlineStr">
        <is>
          <t>13</t>
        </is>
      </c>
      <c r="B462" s="3" t="inlineStr">
        <is>
          <t>CT8m</t>
        </is>
      </c>
      <c r="C462" s="3" t="inlineStr">
        <is>
          <t>Ag</t>
        </is>
      </c>
      <c r="D462" s="3" t="n">
        <v>4</v>
      </c>
      <c r="E462" s="3" t="inlineStr">
        <is>
          <t>Ngoại nghiệp</t>
        </is>
      </c>
      <c r="F462" s="3" t="inlineStr">
        <is>
          <t>1QTVTNMT hạng III.1</t>
        </is>
      </c>
      <c r="G462" s="3" t="n">
        <v>0.35</v>
      </c>
      <c r="H462" s="3" t="n">
        <v>1.2</v>
      </c>
      <c r="I462" s="3">
        <f>G462*H462</f>
        <v/>
      </c>
      <c r="J462" s="3">
        <f>D462*I462</f>
        <v/>
      </c>
    </row>
    <row r="463">
      <c r="A463" s="2" t="inlineStr">
        <is>
          <t>13</t>
        </is>
      </c>
      <c r="B463" s="2" t="inlineStr">
        <is>
          <t>CT8m</t>
        </is>
      </c>
      <c r="C463" s="2" t="inlineStr">
        <is>
          <t>Ag</t>
        </is>
      </c>
      <c r="D463" s="2" t="n">
        <v>4</v>
      </c>
      <c r="E463" s="2" t="inlineStr">
        <is>
          <t>Nội nghiệp</t>
        </is>
      </c>
      <c r="F463" s="2" t="inlineStr">
        <is>
          <t>1QTVTNMT hạng III.2</t>
        </is>
      </c>
      <c r="G463" s="2" t="n">
        <v>0.7</v>
      </c>
      <c r="H463" s="2" t="n">
        <v>1</v>
      </c>
      <c r="I463" s="2">
        <f>G463*H463</f>
        <v/>
      </c>
      <c r="J463" s="2">
        <f>D463*I463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45" customWidth="1" min="3" max="3"/>
    <col width="11" customWidth="1" min="4" max="4"/>
    <col width="18" customWidth="1" min="5" max="5"/>
    <col width="17" customWidth="1" min="6" max="6"/>
    <col width="16" customWidth="1" min="7" max="7"/>
    <col width="25" customWidth="1" min="8" max="8"/>
  </cols>
  <sheetData>
    <row r="1">
      <c r="A1" t="inlineStr">
        <is>
          <t>BẢNG TỔNG HỢP NHU CẦU VẬT LIỆU, HÓA CHẤT &amp; CHẤT CHUẨN TOÀN GÓI THẦU</t>
        </is>
      </c>
    </row>
    <row r="2">
      <c r="A2" t="inlineStr">
        <is>
          <t>(Căn cứ: Khoản 4.4 TT 20/2017/TT-BTNMT tự động cộng +8% hao hụt vụn vặt)</t>
        </is>
      </c>
    </row>
    <row r="3"/>
    <row r="4">
      <c r="A4" s="1" t="inlineStr">
        <is>
          <t>STT</t>
        </is>
      </c>
      <c r="B4" s="1" t="inlineStr">
        <is>
          <t>Mã Vật Tư</t>
        </is>
      </c>
      <c r="C4" s="1" t="inlineStr">
        <is>
          <t>Tên Hóa Chất / Vật Liệu</t>
        </is>
      </c>
      <c r="D4" s="1" t="inlineStr">
        <is>
          <t>ĐVT</t>
        </is>
      </c>
      <c r="E4" s="1" t="inlineStr">
        <is>
          <t>Phân Nhóm</t>
        </is>
      </c>
      <c r="F4" s="1" t="inlineStr">
        <is>
          <t>Khối Lượng Gốc</t>
        </is>
      </c>
      <c r="G4" s="1" t="inlineStr">
        <is>
          <t>Hệ Số Hao Hụt</t>
        </is>
      </c>
      <c r="H4" s="1" t="inlineStr">
        <is>
          <t>Khối Lượng Có +8% TT20</t>
        </is>
      </c>
    </row>
    <row r="5">
      <c r="A5" s="2" t="n">
        <v>1</v>
      </c>
      <c r="B5" s="2" t="inlineStr">
        <is>
          <t>VL_001</t>
        </is>
      </c>
      <c r="C5" s="2" t="inlineStr">
        <is>
          <t>(NH4)2Fe(SO4)2.6H2O</t>
        </is>
      </c>
      <c r="D5" s="2" t="inlineStr">
        <is>
          <t>gam</t>
        </is>
      </c>
      <c r="E5" s="2" t="inlineStr">
        <is>
          <t>hoa_chat</t>
        </is>
      </c>
      <c r="F5" s="2" t="n">
        <v>4</v>
      </c>
      <c r="G5" s="2" t="n">
        <v>1.08</v>
      </c>
      <c r="H5" s="2">
        <f>F5*G5</f>
        <v/>
      </c>
    </row>
    <row r="6">
      <c r="A6" s="3" t="n">
        <v>2</v>
      </c>
      <c r="B6" s="3" t="inlineStr">
        <is>
          <t>VL_002</t>
        </is>
      </c>
      <c r="C6" s="3" t="inlineStr">
        <is>
          <t>(NH4)2HPO4</t>
        </is>
      </c>
      <c r="D6" s="3" t="inlineStr">
        <is>
          <t>gam</t>
        </is>
      </c>
      <c r="E6" s="3" t="inlineStr">
        <is>
          <t>hoa_chat</t>
        </is>
      </c>
      <c r="F6" s="3" t="n">
        <v>12</v>
      </c>
      <c r="G6" s="3" t="n">
        <v>1.08</v>
      </c>
      <c r="H6" s="3">
        <f>F6*G6</f>
        <v/>
      </c>
    </row>
    <row r="7">
      <c r="A7" s="2" t="n">
        <v>3</v>
      </c>
      <c r="B7" s="2" t="inlineStr">
        <is>
          <t>VL_003</t>
        </is>
      </c>
      <c r="C7" s="2" t="inlineStr">
        <is>
          <t>(NH4)6Mo7O24.4H2O</t>
        </is>
      </c>
      <c r="D7" s="2" t="inlineStr">
        <is>
          <t>gam</t>
        </is>
      </c>
      <c r="E7" s="2" t="inlineStr">
        <is>
          <t>hoa_chat</t>
        </is>
      </c>
      <c r="F7" s="2" t="n">
        <v>2.4</v>
      </c>
      <c r="G7" s="2" t="n">
        <v>1.08</v>
      </c>
      <c r="H7" s="2">
        <f>F7*G7</f>
        <v/>
      </c>
    </row>
    <row r="8">
      <c r="A8" s="3" t="n">
        <v>4</v>
      </c>
      <c r="B8" s="3" t="inlineStr">
        <is>
          <t>VL_004</t>
        </is>
      </c>
      <c r="C8" s="3" t="inlineStr">
        <is>
          <t>1,5-Diphenylcacbazid (C13H14N4O)</t>
        </is>
      </c>
      <c r="D8" s="3" t="inlineStr">
        <is>
          <t>gam</t>
        </is>
      </c>
      <c r="E8" s="3" t="inlineStr">
        <is>
          <t>hoa_chat</t>
        </is>
      </c>
      <c r="F8" s="3" t="n">
        <v>8</v>
      </c>
      <c r="G8" s="3" t="n">
        <v>1.08</v>
      </c>
      <c r="H8" s="3">
        <f>F8*G8</f>
        <v/>
      </c>
    </row>
    <row r="9">
      <c r="A9" s="2" t="n">
        <v>5</v>
      </c>
      <c r="B9" s="2" t="inlineStr">
        <is>
          <t>VL_005</t>
        </is>
      </c>
      <c r="C9" s="2" t="inlineStr">
        <is>
          <t>Aceton</t>
        </is>
      </c>
      <c r="D9" s="2" t="inlineStr">
        <is>
          <t>Lít</t>
        </is>
      </c>
      <c r="E9" s="2" t="inlineStr">
        <is>
          <t>hoa_chat</t>
        </is>
      </c>
      <c r="F9" s="2" t="n">
        <v>1.08</v>
      </c>
      <c r="G9" s="2" t="n">
        <v>1.08</v>
      </c>
      <c r="H9" s="2">
        <f>F9*G9</f>
        <v/>
      </c>
    </row>
    <row r="10">
      <c r="A10" s="3" t="n">
        <v>6</v>
      </c>
      <c r="B10" s="3" t="inlineStr">
        <is>
          <t>VL_006</t>
        </is>
      </c>
      <c r="C10" s="3" t="inlineStr">
        <is>
          <t>Aceton</t>
        </is>
      </c>
      <c r="D10" s="3" t="inlineStr">
        <is>
          <t>ml</t>
        </is>
      </c>
      <c r="E10" s="3" t="inlineStr">
        <is>
          <t>hoa_chat</t>
        </is>
      </c>
      <c r="F10" s="3" t="n">
        <v>400</v>
      </c>
      <c r="G10" s="3" t="n">
        <v>1.08</v>
      </c>
      <c r="H10" s="3">
        <f>F10*G10</f>
        <v/>
      </c>
    </row>
    <row r="11">
      <c r="A11" s="2" t="n">
        <v>7</v>
      </c>
      <c r="B11" s="2" t="inlineStr">
        <is>
          <t>VL_007</t>
        </is>
      </c>
      <c r="C11" s="2" t="inlineStr">
        <is>
          <t>Ag2SO4</t>
        </is>
      </c>
      <c r="D11" s="2" t="inlineStr">
        <is>
          <t>gam</t>
        </is>
      </c>
      <c r="E11" s="2" t="inlineStr">
        <is>
          <t>hoa_chat</t>
        </is>
      </c>
      <c r="F11" s="2" t="n">
        <v>5.8</v>
      </c>
      <c r="G11" s="2" t="n">
        <v>1.08</v>
      </c>
      <c r="H11" s="2">
        <f>F11*G11</f>
        <v/>
      </c>
    </row>
    <row r="12">
      <c r="A12" s="3" t="n">
        <v>8</v>
      </c>
      <c r="B12" s="3" t="inlineStr">
        <is>
          <t>VL_008</t>
        </is>
      </c>
      <c r="C12" s="3" t="inlineStr">
        <is>
          <t>AgNO3</t>
        </is>
      </c>
      <c r="D12" s="3" t="inlineStr">
        <is>
          <t>Gram</t>
        </is>
      </c>
      <c r="E12" s="3" t="inlineStr">
        <is>
          <t>hoa_chat</t>
        </is>
      </c>
      <c r="F12" s="3" t="n">
        <v>18</v>
      </c>
      <c r="G12" s="3" t="n">
        <v>1.08</v>
      </c>
      <c r="H12" s="3">
        <f>F12*G12</f>
        <v/>
      </c>
    </row>
    <row r="13">
      <c r="A13" s="2" t="n">
        <v>9</v>
      </c>
      <c r="B13" s="2" t="inlineStr">
        <is>
          <t>VL_009</t>
        </is>
      </c>
      <c r="C13" s="2" t="inlineStr">
        <is>
          <t>Axit Bacbituric</t>
        </is>
      </c>
      <c r="D13" s="2" t="inlineStr">
        <is>
          <t>Gram</t>
        </is>
      </c>
      <c r="E13" s="2" t="inlineStr">
        <is>
          <t>hoa_chat</t>
        </is>
      </c>
      <c r="F13" s="2" t="n">
        <v>32.4</v>
      </c>
      <c r="G13" s="2" t="n">
        <v>1.08</v>
      </c>
      <c r="H13" s="2">
        <f>F13*G13</f>
        <v/>
      </c>
    </row>
    <row r="14">
      <c r="A14" s="3" t="n">
        <v>10</v>
      </c>
      <c r="B14" s="3" t="inlineStr">
        <is>
          <t>VL_010</t>
        </is>
      </c>
      <c r="C14" s="3" t="inlineStr">
        <is>
          <t>Axit ascorbic</t>
        </is>
      </c>
      <c r="D14" s="3" t="inlineStr">
        <is>
          <t>gam</t>
        </is>
      </c>
      <c r="E14" s="3" t="inlineStr">
        <is>
          <t>hoa_chat</t>
        </is>
      </c>
      <c r="F14" s="3" t="n">
        <v>1.2</v>
      </c>
      <c r="G14" s="3" t="n">
        <v>1.08</v>
      </c>
      <c r="H14" s="3">
        <f>F14*G14</f>
        <v/>
      </c>
    </row>
    <row r="15">
      <c r="A15" s="2" t="n">
        <v>11</v>
      </c>
      <c r="B15" s="2" t="inlineStr">
        <is>
          <t>VL_011</t>
        </is>
      </c>
      <c r="C15" s="2" t="inlineStr">
        <is>
          <t>Axit sulphamic</t>
        </is>
      </c>
      <c r="D15" s="2" t="inlineStr">
        <is>
          <t>gam</t>
        </is>
      </c>
      <c r="E15" s="2" t="inlineStr">
        <is>
          <t>hoa_chat</t>
        </is>
      </c>
      <c r="F15" s="2" t="n">
        <v>6.72</v>
      </c>
      <c r="G15" s="2" t="n">
        <v>1.08</v>
      </c>
      <c r="H15" s="2">
        <f>F15*G15</f>
        <v/>
      </c>
    </row>
    <row r="16">
      <c r="A16" s="3" t="n">
        <v>12</v>
      </c>
      <c r="B16" s="3" t="inlineStr">
        <is>
          <t>VL_012</t>
        </is>
      </c>
      <c r="C16" s="3" t="inlineStr">
        <is>
          <t>Axít acetic</t>
        </is>
      </c>
      <c r="D16" s="3" t="inlineStr">
        <is>
          <t>ml</t>
        </is>
      </c>
      <c r="E16" s="3" t="inlineStr">
        <is>
          <t>hoa_chat</t>
        </is>
      </c>
      <c r="F16" s="3" t="n">
        <v>2.4</v>
      </c>
      <c r="G16" s="3" t="n">
        <v>1.08</v>
      </c>
      <c r="H16" s="3">
        <f>F16*G16</f>
        <v/>
      </c>
    </row>
    <row r="17">
      <c r="A17" s="2" t="n">
        <v>13</v>
      </c>
      <c r="B17" s="2" t="inlineStr">
        <is>
          <t>VL_013</t>
        </is>
      </c>
      <c r="C17" s="2" t="inlineStr">
        <is>
          <t>Axít sulphanilic</t>
        </is>
      </c>
      <c r="D17" s="2" t="inlineStr">
        <is>
          <t>gam</t>
        </is>
      </c>
      <c r="E17" s="2" t="inlineStr">
        <is>
          <t>hoa_chat</t>
        </is>
      </c>
      <c r="F17" s="2" t="n">
        <v>3</v>
      </c>
      <c r="G17" s="2" t="n">
        <v>1.08</v>
      </c>
      <c r="H17" s="2">
        <f>F17*G17</f>
        <v/>
      </c>
    </row>
    <row r="18">
      <c r="A18" s="3" t="n">
        <v>14</v>
      </c>
      <c r="B18" s="3" t="inlineStr">
        <is>
          <t>VL_014</t>
        </is>
      </c>
      <c r="C18" s="3" t="inlineStr">
        <is>
          <t>Bút ghi kính</t>
        </is>
      </c>
      <c r="D18" s="3" t="inlineStr">
        <is>
          <t>cái</t>
        </is>
      </c>
      <c r="E18" s="3" t="inlineStr">
        <is>
          <t>thong_dung</t>
        </is>
      </c>
      <c r="F18" s="3" t="n">
        <v>40.2</v>
      </c>
      <c r="G18" s="3" t="n">
        <v>1.08</v>
      </c>
      <c r="H18" s="3">
        <f>F18*G18</f>
        <v/>
      </c>
    </row>
    <row r="19">
      <c r="A19" s="2" t="n">
        <v>15</v>
      </c>
      <c r="B19" s="2" t="inlineStr">
        <is>
          <t>VL_015</t>
        </is>
      </c>
      <c r="C19" s="2" t="inlineStr">
        <is>
          <t>Băng giấy in</t>
        </is>
      </c>
      <c r="D19" s="2" t="inlineStr">
        <is>
          <t>gam</t>
        </is>
      </c>
      <c r="E19" s="2" t="inlineStr">
        <is>
          <t>hoa_chat</t>
        </is>
      </c>
      <c r="F19" s="2" t="n">
        <v>2.1</v>
      </c>
      <c r="G19" s="2" t="n">
        <v>1.08</v>
      </c>
      <c r="H19" s="2">
        <f>F19*G19</f>
        <v/>
      </c>
    </row>
    <row r="20">
      <c r="A20" s="3" t="n">
        <v>16</v>
      </c>
      <c r="B20" s="3" t="inlineStr">
        <is>
          <t>VL_016</t>
        </is>
      </c>
      <c r="C20" s="3" t="inlineStr">
        <is>
          <t>Băng giấy in</t>
        </is>
      </c>
      <c r="D20" s="3" t="inlineStr">
        <is>
          <t>gram</t>
        </is>
      </c>
      <c r="E20" s="3" t="inlineStr">
        <is>
          <t>hoa_chat</t>
        </is>
      </c>
      <c r="F20" s="3" t="n">
        <v>2</v>
      </c>
      <c r="G20" s="3" t="n">
        <v>1.08</v>
      </c>
      <c r="H20" s="3">
        <f>F20*G20</f>
        <v/>
      </c>
    </row>
    <row r="21">
      <c r="A21" s="2" t="n">
        <v>17</v>
      </c>
      <c r="B21" s="2" t="inlineStr">
        <is>
          <t>VL_017</t>
        </is>
      </c>
      <c r="C21" s="2" t="inlineStr">
        <is>
          <t>Bản đồ địa hình</t>
        </is>
      </c>
      <c r="D21" s="2" t="inlineStr">
        <is>
          <t>cái</t>
        </is>
      </c>
      <c r="E21" s="2" t="inlineStr">
        <is>
          <t>thong_dung</t>
        </is>
      </c>
      <c r="F21" s="2" t="n">
        <v>19.88</v>
      </c>
      <c r="G21" s="2" t="n">
        <v>1.08</v>
      </c>
      <c r="H21" s="2">
        <f>F21*G21</f>
        <v/>
      </c>
    </row>
    <row r="22">
      <c r="A22" s="3" t="n">
        <v>18</v>
      </c>
      <c r="B22" s="3" t="inlineStr">
        <is>
          <t>VL_018</t>
        </is>
      </c>
      <c r="C22" s="3" t="inlineStr">
        <is>
          <t>Bản đồ địa hình</t>
        </is>
      </c>
      <c r="D22" s="3" t="inlineStr">
        <is>
          <t>tờ</t>
        </is>
      </c>
      <c r="E22" s="3" t="inlineStr">
        <is>
          <t>thong_dung</t>
        </is>
      </c>
      <c r="F22" s="3" t="n">
        <v>15.12</v>
      </c>
      <c r="G22" s="3" t="n">
        <v>1.08</v>
      </c>
      <c r="H22" s="3">
        <f>F22*G22</f>
        <v/>
      </c>
    </row>
    <row r="23">
      <c r="A23" s="2" t="n">
        <v>19</v>
      </c>
      <c r="B23" s="2" t="inlineStr">
        <is>
          <t>VL_019</t>
        </is>
      </c>
      <c r="C23" s="2" t="inlineStr">
        <is>
          <t>Bộ màng bơm, van, gioăng đệm</t>
        </is>
      </c>
      <c r="D23" s="2" t="inlineStr">
        <is>
          <t>bộ</t>
        </is>
      </c>
      <c r="E23" s="2" t="inlineStr">
        <is>
          <t>hoa_chat</t>
        </is>
      </c>
      <c r="F23" s="2" t="n">
        <v>0.4</v>
      </c>
      <c r="G23" s="2" t="n">
        <v>1.08</v>
      </c>
      <c r="H23" s="2">
        <f>F23*G23</f>
        <v/>
      </c>
    </row>
    <row r="24">
      <c r="A24" s="3" t="n">
        <v>20</v>
      </c>
      <c r="B24" s="3" t="inlineStr">
        <is>
          <t>VL_020</t>
        </is>
      </c>
      <c r="C24" s="3" t="inlineStr">
        <is>
          <t>Bột Niken</t>
        </is>
      </c>
      <c r="D24" s="3" t="inlineStr">
        <is>
          <t>gam</t>
        </is>
      </c>
      <c r="E24" s="3" t="inlineStr">
        <is>
          <t>hoa_chat</t>
        </is>
      </c>
      <c r="F24" s="3" t="n">
        <v>0.6</v>
      </c>
      <c r="G24" s="3" t="n">
        <v>1.08</v>
      </c>
      <c r="H24" s="3">
        <f>F24*G24</f>
        <v/>
      </c>
    </row>
    <row r="25">
      <c r="A25" s="2" t="n">
        <v>21</v>
      </c>
      <c r="B25" s="2" t="inlineStr">
        <is>
          <t>VL_021</t>
        </is>
      </c>
      <c r="C25" s="2" t="inlineStr">
        <is>
          <t>Bột Pd</t>
        </is>
      </c>
      <c r="D25" s="2" t="inlineStr">
        <is>
          <t>gam</t>
        </is>
      </c>
      <c r="E25" s="2" t="inlineStr">
        <is>
          <t>hoa_chat</t>
        </is>
      </c>
      <c r="F25" s="2" t="n">
        <v>0.1</v>
      </c>
      <c r="G25" s="2" t="n">
        <v>1.08</v>
      </c>
      <c r="H25" s="2">
        <f>F25*G25</f>
        <v/>
      </c>
    </row>
    <row r="26">
      <c r="A26" s="3" t="n">
        <v>22</v>
      </c>
      <c r="B26" s="3" t="inlineStr">
        <is>
          <t>VL_022</t>
        </is>
      </c>
      <c r="C26" s="3" t="inlineStr">
        <is>
          <t>C12H8N2.H2O</t>
        </is>
      </c>
      <c r="D26" s="3" t="inlineStr">
        <is>
          <t>gam</t>
        </is>
      </c>
      <c r="E26" s="3" t="inlineStr">
        <is>
          <t>hoa_chat</t>
        </is>
      </c>
      <c r="F26" s="3" t="n">
        <v>0.4</v>
      </c>
      <c r="G26" s="3" t="n">
        <v>1.08</v>
      </c>
      <c r="H26" s="3">
        <f>F26*G26</f>
        <v/>
      </c>
    </row>
    <row r="27">
      <c r="A27" s="2" t="n">
        <v>23</v>
      </c>
      <c r="B27" s="2" t="inlineStr">
        <is>
          <t>VL_023</t>
        </is>
      </c>
      <c r="C27" s="2" t="inlineStr">
        <is>
          <t>C3N3O3Cl2Na.2H2O</t>
        </is>
      </c>
      <c r="D27" s="2" t="inlineStr">
        <is>
          <t>gam</t>
        </is>
      </c>
      <c r="E27" s="2" t="inlineStr">
        <is>
          <t>hoa_chat</t>
        </is>
      </c>
      <c r="F27" s="2" t="n">
        <v>3.2</v>
      </c>
      <c r="G27" s="2" t="n">
        <v>1.08</v>
      </c>
      <c r="H27" s="2">
        <f>F27*G27</f>
        <v/>
      </c>
    </row>
    <row r="28">
      <c r="A28" s="3" t="n">
        <v>24</v>
      </c>
      <c r="B28" s="3" t="inlineStr">
        <is>
          <t>VL_024</t>
        </is>
      </c>
      <c r="C28" s="3" t="inlineStr">
        <is>
          <t>CDTA- C14H22N2O8</t>
        </is>
      </c>
      <c r="D28" s="3" t="inlineStr">
        <is>
          <t>gam</t>
        </is>
      </c>
      <c r="E28" s="3" t="inlineStr">
        <is>
          <t>hoa_chat</t>
        </is>
      </c>
      <c r="F28" s="3" t="n">
        <v>10</v>
      </c>
      <c r="G28" s="3" t="n">
        <v>1.08</v>
      </c>
      <c r="H28" s="3">
        <f>F28*G28</f>
        <v/>
      </c>
    </row>
    <row r="29">
      <c r="A29" s="2" t="n">
        <v>25</v>
      </c>
      <c r="B29" s="2" t="inlineStr">
        <is>
          <t>VL_025</t>
        </is>
      </c>
      <c r="C29" s="2" t="inlineStr">
        <is>
          <t>CH3COOH</t>
        </is>
      </c>
      <c r="D29" s="2" t="inlineStr">
        <is>
          <t>ml</t>
        </is>
      </c>
      <c r="E29" s="2" t="inlineStr">
        <is>
          <t>hoa_chat</t>
        </is>
      </c>
      <c r="F29" s="2" t="n">
        <v>56</v>
      </c>
      <c r="G29" s="2" t="n">
        <v>1.08</v>
      </c>
      <c r="H29" s="2">
        <f>F29*G29</f>
        <v/>
      </c>
    </row>
    <row r="30">
      <c r="A30" s="3" t="n">
        <v>26</v>
      </c>
      <c r="B30" s="3" t="inlineStr">
        <is>
          <t>VL_026</t>
        </is>
      </c>
      <c r="C30" s="3" t="inlineStr">
        <is>
          <t>CH3COONa.3H2O</t>
        </is>
      </c>
      <c r="D30" s="3" t="inlineStr">
        <is>
          <t>Gram</t>
        </is>
      </c>
      <c r="E30" s="3" t="inlineStr">
        <is>
          <t>hoa_chat</t>
        </is>
      </c>
      <c r="F30" s="3" t="n">
        <v>28.8</v>
      </c>
      <c r="G30" s="3" t="n">
        <v>1.08</v>
      </c>
      <c r="H30" s="3">
        <f>F30*G30</f>
        <v/>
      </c>
    </row>
    <row r="31">
      <c r="A31" s="2" t="n">
        <v>27</v>
      </c>
      <c r="B31" s="2" t="inlineStr">
        <is>
          <t>VL_027</t>
        </is>
      </c>
      <c r="C31" s="2" t="inlineStr">
        <is>
          <t>CHCl3</t>
        </is>
      </c>
      <c r="D31" s="2" t="inlineStr">
        <is>
          <t>ml</t>
        </is>
      </c>
      <c r="E31" s="2" t="inlineStr">
        <is>
          <t>hoa_chat</t>
        </is>
      </c>
      <c r="F31" s="2" t="n">
        <v>22</v>
      </c>
      <c r="G31" s="2" t="n">
        <v>1.08</v>
      </c>
      <c r="H31" s="2">
        <f>F31*G31</f>
        <v/>
      </c>
    </row>
    <row r="32">
      <c r="A32" s="3" t="n">
        <v>28</v>
      </c>
      <c r="B32" s="3" t="inlineStr">
        <is>
          <t>VL_028</t>
        </is>
      </c>
      <c r="C32" s="3" t="inlineStr">
        <is>
          <t>CaCO3</t>
        </is>
      </c>
      <c r="D32" s="3" t="inlineStr">
        <is>
          <t>gam</t>
        </is>
      </c>
      <c r="E32" s="3" t="inlineStr">
        <is>
          <t>hoa_chat</t>
        </is>
      </c>
      <c r="F32" s="3" t="n">
        <v>3.2</v>
      </c>
      <c r="G32" s="3" t="n">
        <v>1.08</v>
      </c>
      <c r="H32" s="3">
        <f>F32*G32</f>
        <v/>
      </c>
    </row>
    <row r="33">
      <c r="A33" s="2" t="n">
        <v>29</v>
      </c>
      <c r="B33" s="2" t="inlineStr">
        <is>
          <t>VL_029</t>
        </is>
      </c>
      <c r="C33" s="2" t="inlineStr">
        <is>
          <t>CaCl2</t>
        </is>
      </c>
      <c r="D33" s="2" t="inlineStr">
        <is>
          <t>gam</t>
        </is>
      </c>
      <c r="E33" s="2" t="inlineStr">
        <is>
          <t>hoa_chat</t>
        </is>
      </c>
      <c r="F33" s="2" t="n">
        <v>1.44</v>
      </c>
      <c r="G33" s="2" t="n">
        <v>1.08</v>
      </c>
      <c r="H33" s="2">
        <f>F33*G33</f>
        <v/>
      </c>
    </row>
    <row r="34">
      <c r="A34" s="3" t="n">
        <v>30</v>
      </c>
      <c r="B34" s="3" t="inlineStr">
        <is>
          <t>VL_030</t>
        </is>
      </c>
      <c r="C34" s="3" t="inlineStr">
        <is>
          <t>Cloramin T</t>
        </is>
      </c>
      <c r="D34" s="3" t="inlineStr">
        <is>
          <t>Gram</t>
        </is>
      </c>
      <c r="E34" s="3" t="inlineStr">
        <is>
          <t>hoa_chat</t>
        </is>
      </c>
      <c r="F34" s="3" t="n">
        <v>7.2</v>
      </c>
      <c r="G34" s="3" t="n">
        <v>1.08</v>
      </c>
      <c r="H34" s="3">
        <f>F34*G34</f>
        <v/>
      </c>
    </row>
    <row r="35">
      <c r="A35" s="2" t="n">
        <v>31</v>
      </c>
      <c r="B35" s="2" t="inlineStr">
        <is>
          <t>VL_031</t>
        </is>
      </c>
      <c r="C35" s="2" t="inlineStr">
        <is>
          <t>Cồn lau dụng cụ (lít)</t>
        </is>
      </c>
      <c r="D35" s="2" t="inlineStr">
        <is>
          <t>lít</t>
        </is>
      </c>
      <c r="E35" s="2" t="inlineStr">
        <is>
          <t>hoa_chat</t>
        </is>
      </c>
      <c r="F35" s="2" t="n">
        <v>10.68</v>
      </c>
      <c r="G35" s="2" t="n">
        <v>1.08</v>
      </c>
      <c r="H35" s="2">
        <f>F35*G35</f>
        <v/>
      </c>
    </row>
    <row r="36">
      <c r="A36" s="3" t="n">
        <v>32</v>
      </c>
      <c r="B36" s="3" t="inlineStr">
        <is>
          <t>VL_032</t>
        </is>
      </c>
      <c r="C36" s="3" t="inlineStr">
        <is>
          <t>Cồn lau dụng cụ</t>
        </is>
      </c>
      <c r="D36" s="3" t="inlineStr">
        <is>
          <t>lít</t>
        </is>
      </c>
      <c r="E36" s="3" t="inlineStr">
        <is>
          <t>hoa_chat</t>
        </is>
      </c>
      <c r="F36" s="3" t="n">
        <v>7.02</v>
      </c>
      <c r="G36" s="3" t="n">
        <v>1.08</v>
      </c>
      <c r="H36" s="3">
        <f>F36*G36</f>
        <v/>
      </c>
    </row>
    <row r="37">
      <c r="A37" s="2" t="n">
        <v>33</v>
      </c>
      <c r="B37" s="2" t="inlineStr">
        <is>
          <t>VL_033</t>
        </is>
      </c>
      <c r="C37" s="2" t="inlineStr">
        <is>
          <t>Cồn lau dụng cụ</t>
        </is>
      </c>
      <c r="D37" s="2" t="inlineStr">
        <is>
          <t>ml</t>
        </is>
      </c>
      <c r="E37" s="2" t="inlineStr">
        <is>
          <t>hoa_chat</t>
        </is>
      </c>
      <c r="F37" s="2" t="n">
        <v>21210.02</v>
      </c>
      <c r="G37" s="2" t="n">
        <v>1.08</v>
      </c>
      <c r="H37" s="2">
        <f>F37*G37</f>
        <v/>
      </c>
    </row>
    <row r="38">
      <c r="A38" s="3" t="n">
        <v>34</v>
      </c>
      <c r="B38" s="3" t="inlineStr">
        <is>
          <t>VL_034</t>
        </is>
      </c>
      <c r="C38" s="3" t="inlineStr">
        <is>
          <t>Cồn lau đầu đo</t>
        </is>
      </c>
      <c r="D38" s="3" t="inlineStr">
        <is>
          <t>ml</t>
        </is>
      </c>
      <c r="E38" s="3" t="inlineStr">
        <is>
          <t>hoa_chat</t>
        </is>
      </c>
      <c r="F38" s="3" t="n">
        <v>1560</v>
      </c>
      <c r="G38" s="3" t="n">
        <v>1.08</v>
      </c>
      <c r="H38" s="3">
        <f>F38*G38</f>
        <v/>
      </c>
    </row>
    <row r="39">
      <c r="A39" s="2" t="n">
        <v>35</v>
      </c>
      <c r="B39" s="2" t="inlineStr">
        <is>
          <t>VL_035</t>
        </is>
      </c>
      <c r="C39" s="2" t="inlineStr">
        <is>
          <t>Diatomit cỡ hạt 0,125mm - 0,150mm</t>
        </is>
      </c>
      <c r="D39" s="2" t="inlineStr">
        <is>
          <t>gam</t>
        </is>
      </c>
      <c r="E39" s="2" t="inlineStr">
        <is>
          <t>hoa_chat</t>
        </is>
      </c>
      <c r="F39" s="2" t="n">
        <v>2</v>
      </c>
      <c r="G39" s="2" t="n">
        <v>1.08</v>
      </c>
      <c r="H39" s="2">
        <f>F39*G39</f>
        <v/>
      </c>
    </row>
    <row r="40">
      <c r="A40" s="3" t="n">
        <v>36</v>
      </c>
      <c r="B40" s="3" t="inlineStr">
        <is>
          <t>VL_036</t>
        </is>
      </c>
      <c r="C40" s="3" t="inlineStr">
        <is>
          <t>Dung dịch NH4+ chuẩn</t>
        </is>
      </c>
      <c r="D40" s="3" t="inlineStr">
        <is>
          <t>ml</t>
        </is>
      </c>
      <c r="E40" s="3" t="inlineStr">
        <is>
          <t>chuan</t>
        </is>
      </c>
      <c r="F40" s="3" t="n">
        <v>8</v>
      </c>
      <c r="G40" s="3" t="n">
        <v>1.08</v>
      </c>
      <c r="H40" s="3">
        <f>F40*G40</f>
        <v/>
      </c>
    </row>
    <row r="41">
      <c r="A41" s="2" t="n">
        <v>37</v>
      </c>
      <c r="B41" s="2" t="inlineStr">
        <is>
          <t>VL_037</t>
        </is>
      </c>
      <c r="C41" s="2" t="inlineStr">
        <is>
          <t>Dung dịch chuẩn 1000 Pt-Co</t>
        </is>
      </c>
      <c r="D41" s="2" t="inlineStr">
        <is>
          <t>ml</t>
        </is>
      </c>
      <c r="E41" s="2" t="inlineStr">
        <is>
          <t>chuan</t>
        </is>
      </c>
      <c r="F41" s="2" t="n">
        <v>120</v>
      </c>
      <c r="G41" s="2" t="n">
        <v>1.08</v>
      </c>
      <c r="H41" s="2">
        <f>F41*G41</f>
        <v/>
      </c>
    </row>
    <row r="42">
      <c r="A42" s="3" t="n">
        <v>38</v>
      </c>
      <c r="B42" s="3" t="inlineStr">
        <is>
          <t>VL_038</t>
        </is>
      </c>
      <c r="C42" s="3" t="inlineStr">
        <is>
          <t>Dung dịch chuẩn NaNO2</t>
        </is>
      </c>
      <c r="D42" s="3" t="inlineStr">
        <is>
          <t>ml</t>
        </is>
      </c>
      <c r="E42" s="3" t="inlineStr">
        <is>
          <t>chuan</t>
        </is>
      </c>
      <c r="F42" s="3" t="n">
        <v>34</v>
      </c>
      <c r="G42" s="3" t="n">
        <v>1.08</v>
      </c>
      <c r="H42" s="3">
        <f>F42*G42</f>
        <v/>
      </c>
    </row>
    <row r="43">
      <c r="A43" s="2" t="n">
        <v>39</v>
      </c>
      <c r="B43" s="2" t="inlineStr">
        <is>
          <t>VL_039</t>
        </is>
      </c>
      <c r="C43" s="2" t="inlineStr">
        <is>
          <t>Dung dịch chuẩn P-PO4</t>
        </is>
      </c>
      <c r="D43" s="2" t="inlineStr">
        <is>
          <t>ml</t>
        </is>
      </c>
      <c r="E43" s="2" t="inlineStr">
        <is>
          <t>chuan</t>
        </is>
      </c>
      <c r="F43" s="2" t="n">
        <v>2</v>
      </c>
      <c r="G43" s="2" t="n">
        <v>1.08</v>
      </c>
      <c r="H43" s="2">
        <f>F43*G43</f>
        <v/>
      </c>
    </row>
    <row r="44">
      <c r="A44" s="3" t="n">
        <v>40</v>
      </c>
      <c r="B44" s="3" t="inlineStr">
        <is>
          <t>VL_040</t>
        </is>
      </c>
      <c r="C44" s="3" t="inlineStr">
        <is>
          <t>Dung dịch chuẩn gốc 1.000ppm</t>
        </is>
      </c>
      <c r="D44" s="3" t="inlineStr">
        <is>
          <t>ml</t>
        </is>
      </c>
      <c r="E44" s="3" t="inlineStr">
        <is>
          <t>chuan</t>
        </is>
      </c>
      <c r="F44" s="3" t="n">
        <v>287.2</v>
      </c>
      <c r="G44" s="3" t="n">
        <v>1.08</v>
      </c>
      <c r="H44" s="3">
        <f>F44*G44</f>
        <v/>
      </c>
    </row>
    <row r="45">
      <c r="A45" s="2" t="n">
        <v>41</v>
      </c>
      <c r="B45" s="2" t="inlineStr">
        <is>
          <t>VL_041</t>
        </is>
      </c>
      <c r="C45" s="2" t="inlineStr">
        <is>
          <t>Dung dịch chuẩn gốc 1000ppm</t>
        </is>
      </c>
      <c r="D45" s="2" t="inlineStr">
        <is>
          <t>ml</t>
        </is>
      </c>
      <c r="E45" s="2" t="inlineStr">
        <is>
          <t>chuan</t>
        </is>
      </c>
      <c r="F45" s="2" t="n">
        <v>112</v>
      </c>
      <c r="G45" s="2" t="n">
        <v>1.08</v>
      </c>
      <c r="H45" s="2">
        <f>F45*G45</f>
        <v/>
      </c>
    </row>
    <row r="46">
      <c r="A46" s="3" t="n">
        <v>42</v>
      </c>
      <c r="B46" s="3" t="inlineStr">
        <is>
          <t>VL_042</t>
        </is>
      </c>
      <c r="C46" s="3" t="inlineStr">
        <is>
          <t>Dung dịch chuẩn pH ở giá trị pH = 4 và pH = 10</t>
        </is>
      </c>
      <c r="D46" s="3" t="inlineStr">
        <is>
          <t>ml</t>
        </is>
      </c>
      <c r="E46" s="3" t="inlineStr">
        <is>
          <t>chuan</t>
        </is>
      </c>
      <c r="F46" s="3" t="n">
        <v>386.4</v>
      </c>
      <c r="G46" s="3" t="n">
        <v>1.08</v>
      </c>
      <c r="H46" s="3">
        <f>F46*G46</f>
        <v/>
      </c>
    </row>
    <row r="47">
      <c r="A47" s="2" t="n">
        <v>43</v>
      </c>
      <c r="B47" s="2" t="inlineStr">
        <is>
          <t>VL_043</t>
        </is>
      </c>
      <c r="C47" s="2" t="inlineStr">
        <is>
          <t>Dung dịch chuẩn pH ở pH = 4, pH = 7, pH = 10</t>
        </is>
      </c>
      <c r="D47" s="2" t="inlineStr">
        <is>
          <t>ml</t>
        </is>
      </c>
      <c r="E47" s="2" t="inlineStr">
        <is>
          <t>chuan</t>
        </is>
      </c>
      <c r="F47" s="2" t="n">
        <v>1860</v>
      </c>
      <c r="G47" s="2" t="n">
        <v>1.08</v>
      </c>
      <c r="H47" s="2">
        <f>F47*G47</f>
        <v/>
      </c>
    </row>
    <row r="48">
      <c r="A48" s="3" t="n">
        <v>44</v>
      </c>
      <c r="B48" s="3" t="inlineStr">
        <is>
          <t>VL_044</t>
        </is>
      </c>
      <c r="C48" s="3" t="inlineStr">
        <is>
          <t>Dung dịch chuẩn pH</t>
        </is>
      </c>
      <c r="D48" s="3" t="inlineStr">
        <is>
          <t>hộp</t>
        </is>
      </c>
      <c r="E48" s="3" t="inlineStr">
        <is>
          <t>chuan</t>
        </is>
      </c>
      <c r="F48" s="3" t="n">
        <v>1.28</v>
      </c>
      <c r="G48" s="3" t="n">
        <v>1.08</v>
      </c>
      <c r="H48" s="3">
        <f>F48*G48</f>
        <v/>
      </c>
    </row>
    <row r="49">
      <c r="A49" s="2" t="n">
        <v>45</v>
      </c>
      <c r="B49" s="2" t="inlineStr">
        <is>
          <t>VL_045</t>
        </is>
      </c>
      <c r="C49" s="2" t="inlineStr">
        <is>
          <t>Dung dịch làm sạch điện cực</t>
        </is>
      </c>
      <c r="D49" s="2" t="inlineStr">
        <is>
          <t>ml</t>
        </is>
      </c>
      <c r="E49" s="2" t="inlineStr">
        <is>
          <t>hoa_chat</t>
        </is>
      </c>
      <c r="F49" s="2" t="n">
        <v>190</v>
      </c>
      <c r="G49" s="2" t="n">
        <v>1.08</v>
      </c>
      <c r="H49" s="2">
        <f>F49*G49</f>
        <v/>
      </c>
    </row>
    <row r="50">
      <c r="A50" s="3" t="n">
        <v>46</v>
      </c>
      <c r="B50" s="3" t="inlineStr">
        <is>
          <t>VL_046</t>
        </is>
      </c>
      <c r="C50" s="3" t="inlineStr">
        <is>
          <t>Dung dịch điện cực DO</t>
        </is>
      </c>
      <c r="D50" s="3" t="inlineStr">
        <is>
          <t>ml</t>
        </is>
      </c>
      <c r="E50" s="3" t="inlineStr">
        <is>
          <t>hoa_chat</t>
        </is>
      </c>
      <c r="F50" s="3" t="n">
        <v>190</v>
      </c>
      <c r="G50" s="3" t="n">
        <v>1.08</v>
      </c>
      <c r="H50" s="3">
        <f>F50*G50</f>
        <v/>
      </c>
    </row>
    <row r="51">
      <c r="A51" s="2" t="n">
        <v>47</v>
      </c>
      <c r="B51" s="2" t="inlineStr">
        <is>
          <t>VL_047</t>
        </is>
      </c>
      <c r="C51" s="2" t="inlineStr">
        <is>
          <t>Dung môi</t>
        </is>
      </c>
      <c r="D51" s="2" t="inlineStr">
        <is>
          <t>ml</t>
        </is>
      </c>
      <c r="E51" s="2" t="inlineStr">
        <is>
          <t>hoa_chat</t>
        </is>
      </c>
      <c r="F51" s="2" t="n">
        <v>4200</v>
      </c>
      <c r="G51" s="2" t="n">
        <v>1.08</v>
      </c>
      <c r="H51" s="2">
        <f>F51*G51</f>
        <v/>
      </c>
    </row>
    <row r="52">
      <c r="A52" s="3" t="n">
        <v>48</v>
      </c>
      <c r="B52" s="3" t="inlineStr">
        <is>
          <t>VL_048</t>
        </is>
      </c>
      <c r="C52" s="3" t="inlineStr">
        <is>
          <t>EDTA</t>
        </is>
      </c>
      <c r="D52" s="3" t="inlineStr">
        <is>
          <t>gam</t>
        </is>
      </c>
      <c r="E52" s="3" t="inlineStr">
        <is>
          <t>hoa_chat</t>
        </is>
      </c>
      <c r="F52" s="3" t="n">
        <v>0.24</v>
      </c>
      <c r="G52" s="3" t="n">
        <v>1.08</v>
      </c>
      <c r="H52" s="3">
        <f>F52*G52</f>
        <v/>
      </c>
    </row>
    <row r="53">
      <c r="A53" s="2" t="n">
        <v>49</v>
      </c>
      <c r="B53" s="2" t="inlineStr">
        <is>
          <t>VL_049</t>
        </is>
      </c>
      <c r="C53" s="2" t="inlineStr">
        <is>
          <t>EDTA</t>
        </is>
      </c>
      <c r="D53" s="2" t="inlineStr">
        <is>
          <t>ml</t>
        </is>
      </c>
      <c r="E53" s="2" t="inlineStr">
        <is>
          <t>hoa_chat</t>
        </is>
      </c>
      <c r="F53" s="2" t="n">
        <v>0.6</v>
      </c>
      <c r="G53" s="2" t="n">
        <v>1.08</v>
      </c>
      <c r="H53" s="2">
        <f>F53*G53</f>
        <v/>
      </c>
    </row>
    <row r="54">
      <c r="A54" s="3" t="n">
        <v>50</v>
      </c>
      <c r="B54" s="3" t="inlineStr">
        <is>
          <t>VL_050</t>
        </is>
      </c>
      <c r="C54" s="3" t="inlineStr">
        <is>
          <t>FeCl3, 6H2O</t>
        </is>
      </c>
      <c r="D54" s="3" t="inlineStr">
        <is>
          <t>gam</t>
        </is>
      </c>
      <c r="E54" s="3" t="inlineStr">
        <is>
          <t>hoa_chat</t>
        </is>
      </c>
      <c r="F54" s="3" t="n">
        <v>1.44</v>
      </c>
      <c r="G54" s="3" t="n">
        <v>1.08</v>
      </c>
      <c r="H54" s="3">
        <f>F54*G54</f>
        <v/>
      </c>
    </row>
    <row r="55">
      <c r="A55" s="2" t="n">
        <v>51</v>
      </c>
      <c r="B55" s="2" t="inlineStr">
        <is>
          <t>VL_051</t>
        </is>
      </c>
      <c r="C55" s="2" t="inlineStr">
        <is>
          <t>FeCl3</t>
        </is>
      </c>
      <c r="D55" s="2" t="inlineStr">
        <is>
          <t>gam</t>
        </is>
      </c>
      <c r="E55" s="2" t="inlineStr">
        <is>
          <t>hoa_chat</t>
        </is>
      </c>
      <c r="F55" s="2" t="n">
        <v>0.288</v>
      </c>
      <c r="G55" s="2" t="n">
        <v>1.08</v>
      </c>
      <c r="H55" s="2">
        <f>F55*G55</f>
        <v/>
      </c>
    </row>
    <row r="56">
      <c r="A56" s="3" t="n">
        <v>52</v>
      </c>
      <c r="B56" s="3" t="inlineStr">
        <is>
          <t>VL_052</t>
        </is>
      </c>
      <c r="C56" s="3" t="inlineStr">
        <is>
          <t>FeSO4.7H2O</t>
        </is>
      </c>
      <c r="D56" s="3" t="inlineStr">
        <is>
          <t>gam</t>
        </is>
      </c>
      <c r="E56" s="3" t="inlineStr">
        <is>
          <t>hoa_chat</t>
        </is>
      </c>
      <c r="F56" s="3" t="n">
        <v>4</v>
      </c>
      <c r="G56" s="3" t="n">
        <v>1.08</v>
      </c>
      <c r="H56" s="3">
        <f>F56*G56</f>
        <v/>
      </c>
    </row>
    <row r="57">
      <c r="A57" s="2" t="n">
        <v>53</v>
      </c>
      <c r="B57" s="2" t="inlineStr">
        <is>
          <t>VL_053</t>
        </is>
      </c>
      <c r="C57" s="2" t="inlineStr">
        <is>
          <t>Formaldehyt</t>
        </is>
      </c>
      <c r="D57" s="2" t="inlineStr">
        <is>
          <t>ml</t>
        </is>
      </c>
      <c r="E57" s="2" t="inlineStr">
        <is>
          <t>hoa_chat</t>
        </is>
      </c>
      <c r="F57" s="2" t="n">
        <v>5.6</v>
      </c>
      <c r="G57" s="2" t="n">
        <v>1.08</v>
      </c>
      <c r="H57" s="2">
        <f>F57*G57</f>
        <v/>
      </c>
    </row>
    <row r="58">
      <c r="A58" s="3" t="n">
        <v>54</v>
      </c>
      <c r="B58" s="3" t="inlineStr">
        <is>
          <t>VL_054</t>
        </is>
      </c>
      <c r="C58" s="3" t="inlineStr">
        <is>
          <t>Gim bấm</t>
        </is>
      </c>
      <c r="D58" s="3" t="inlineStr">
        <is>
          <t>Hộp</t>
        </is>
      </c>
      <c r="E58" s="3" t="inlineStr">
        <is>
          <t>thong_dung</t>
        </is>
      </c>
      <c r="F58" s="3" t="n">
        <v>1.6</v>
      </c>
      <c r="G58" s="3" t="n">
        <v>1.08</v>
      </c>
      <c r="H58" s="3">
        <f>F58*G58</f>
        <v/>
      </c>
    </row>
    <row r="59">
      <c r="A59" s="2" t="n">
        <v>55</v>
      </c>
      <c r="B59" s="2" t="inlineStr">
        <is>
          <t>VL_055</t>
        </is>
      </c>
      <c r="C59" s="2" t="inlineStr">
        <is>
          <t>Gim bấm</t>
        </is>
      </c>
      <c r="D59" s="2" t="inlineStr">
        <is>
          <t>cái</t>
        </is>
      </c>
      <c r="E59" s="2" t="inlineStr">
        <is>
          <t>thong_dung</t>
        </is>
      </c>
      <c r="F59" s="2" t="n">
        <v>0.36</v>
      </c>
      <c r="G59" s="2" t="n">
        <v>1.08</v>
      </c>
      <c r="H59" s="2">
        <f>F59*G59</f>
        <v/>
      </c>
    </row>
    <row r="60">
      <c r="A60" s="3" t="n">
        <v>56</v>
      </c>
      <c r="B60" s="3" t="inlineStr">
        <is>
          <t>VL_056</t>
        </is>
      </c>
      <c r="C60" s="3" t="inlineStr">
        <is>
          <t>Gim bấm</t>
        </is>
      </c>
      <c r="D60" s="3" t="inlineStr">
        <is>
          <t>hộp</t>
        </is>
      </c>
      <c r="E60" s="3" t="inlineStr">
        <is>
          <t>thong_dung</t>
        </is>
      </c>
      <c r="F60" s="3" t="n">
        <v>3.88</v>
      </c>
      <c r="G60" s="3" t="n">
        <v>1.08</v>
      </c>
      <c r="H60" s="3">
        <f>F60*G60</f>
        <v/>
      </c>
    </row>
    <row r="61">
      <c r="A61" s="2" t="n">
        <v>57</v>
      </c>
      <c r="B61" s="2" t="inlineStr">
        <is>
          <t>VL_057</t>
        </is>
      </c>
      <c r="C61" s="2" t="inlineStr">
        <is>
          <t>Gim kẹp giấy</t>
        </is>
      </c>
      <c r="D61" s="2" t="inlineStr">
        <is>
          <t>Hộp</t>
        </is>
      </c>
      <c r="E61" s="2" t="inlineStr">
        <is>
          <t>thong_dung</t>
        </is>
      </c>
      <c r="F61" s="2" t="n">
        <v>1.6</v>
      </c>
      <c r="G61" s="2" t="n">
        <v>1.08</v>
      </c>
      <c r="H61" s="2">
        <f>F61*G61</f>
        <v/>
      </c>
    </row>
    <row r="62">
      <c r="A62" s="3" t="n">
        <v>58</v>
      </c>
      <c r="B62" s="3" t="inlineStr">
        <is>
          <t>VL_058</t>
        </is>
      </c>
      <c r="C62" s="3" t="inlineStr">
        <is>
          <t>Gim kẹp giấy</t>
        </is>
      </c>
      <c r="D62" s="3" t="inlineStr">
        <is>
          <t>cái</t>
        </is>
      </c>
      <c r="E62" s="3" t="inlineStr">
        <is>
          <t>thong_dung</t>
        </is>
      </c>
      <c r="F62" s="3" t="n">
        <v>0.36</v>
      </c>
      <c r="G62" s="3" t="n">
        <v>1.08</v>
      </c>
      <c r="H62" s="3">
        <f>F62*G62</f>
        <v/>
      </c>
    </row>
    <row r="63">
      <c r="A63" s="2" t="n">
        <v>59</v>
      </c>
      <c r="B63" s="2" t="inlineStr">
        <is>
          <t>VL_059</t>
        </is>
      </c>
      <c r="C63" s="2" t="inlineStr">
        <is>
          <t>Gim kẹp giấy</t>
        </is>
      </c>
      <c r="D63" s="2" t="inlineStr">
        <is>
          <t>hộp</t>
        </is>
      </c>
      <c r="E63" s="2" t="inlineStr">
        <is>
          <t>thong_dung</t>
        </is>
      </c>
      <c r="F63" s="2" t="n">
        <v>3.16</v>
      </c>
      <c r="G63" s="2" t="n">
        <v>1.08</v>
      </c>
      <c r="H63" s="2">
        <f>F63*G63</f>
        <v/>
      </c>
    </row>
    <row r="64">
      <c r="A64" s="3" t="n">
        <v>60</v>
      </c>
      <c r="B64" s="3" t="inlineStr">
        <is>
          <t>VL_060</t>
        </is>
      </c>
      <c r="C64" s="3" t="inlineStr">
        <is>
          <t>Giấy A4</t>
        </is>
      </c>
      <c r="D64" s="3" t="inlineStr">
        <is>
          <t>gam</t>
        </is>
      </c>
      <c r="E64" s="3" t="inlineStr">
        <is>
          <t>hoa_chat</t>
        </is>
      </c>
      <c r="F64" s="3" t="n">
        <v>1.6</v>
      </c>
      <c r="G64" s="3" t="n">
        <v>1.08</v>
      </c>
      <c r="H64" s="3">
        <f>F64*G64</f>
        <v/>
      </c>
    </row>
    <row r="65">
      <c r="A65" s="2" t="n">
        <v>61</v>
      </c>
      <c r="B65" s="2" t="inlineStr">
        <is>
          <t>VL_061</t>
        </is>
      </c>
      <c r="C65" s="2" t="inlineStr">
        <is>
          <t>Giấy lau</t>
        </is>
      </c>
      <c r="D65" s="2" t="inlineStr">
        <is>
          <t>Hộp</t>
        </is>
      </c>
      <c r="E65" s="2" t="inlineStr">
        <is>
          <t>thong_dung</t>
        </is>
      </c>
      <c r="F65" s="2" t="n">
        <v>1</v>
      </c>
      <c r="G65" s="2" t="n">
        <v>1.08</v>
      </c>
      <c r="H65" s="2">
        <f>F65*G65</f>
        <v/>
      </c>
    </row>
    <row r="66">
      <c r="A66" s="3" t="n">
        <v>62</v>
      </c>
      <c r="B66" s="3" t="inlineStr">
        <is>
          <t>VL_062</t>
        </is>
      </c>
      <c r="C66" s="3" t="inlineStr">
        <is>
          <t>Giấy lau</t>
        </is>
      </c>
      <c r="D66" s="3" t="inlineStr">
        <is>
          <t>cái</t>
        </is>
      </c>
      <c r="E66" s="3" t="inlineStr">
        <is>
          <t>thong_dung</t>
        </is>
      </c>
      <c r="F66" s="3" t="n">
        <v>0.5</v>
      </c>
      <c r="G66" s="3" t="n">
        <v>1.08</v>
      </c>
      <c r="H66" s="3">
        <f>F66*G66</f>
        <v/>
      </c>
    </row>
    <row r="67">
      <c r="A67" s="2" t="n">
        <v>63</v>
      </c>
      <c r="B67" s="2" t="inlineStr">
        <is>
          <t>VL_063</t>
        </is>
      </c>
      <c r="C67" s="2" t="inlineStr">
        <is>
          <t>Giấy lau</t>
        </is>
      </c>
      <c r="D67" s="2" t="inlineStr">
        <is>
          <t>hộp</t>
        </is>
      </c>
      <c r="E67" s="2" t="inlineStr">
        <is>
          <t>thong_dung</t>
        </is>
      </c>
      <c r="F67" s="2" t="n">
        <v>27.68</v>
      </c>
      <c r="G67" s="2" t="n">
        <v>1.08</v>
      </c>
      <c r="H67" s="2">
        <f>F67*G67</f>
        <v/>
      </c>
    </row>
    <row r="68">
      <c r="A68" s="3" t="n">
        <v>64</v>
      </c>
      <c r="B68" s="3" t="inlineStr">
        <is>
          <t>VL_064</t>
        </is>
      </c>
      <c r="C68" s="3" t="inlineStr">
        <is>
          <t>Giấy lọc bụi</t>
        </is>
      </c>
      <c r="D68" s="3" t="inlineStr">
        <is>
          <t>tờ</t>
        </is>
      </c>
      <c r="E68" s="3" t="inlineStr">
        <is>
          <t>vat_tu_tieu_hao</t>
        </is>
      </c>
      <c r="F68" s="3" t="n">
        <v>12</v>
      </c>
      <c r="G68" s="3" t="n">
        <v>1.08</v>
      </c>
      <c r="H68" s="3">
        <f>F68*G68</f>
        <v/>
      </c>
    </row>
    <row r="69">
      <c r="A69" s="2" t="n">
        <v>65</v>
      </c>
      <c r="B69" s="2" t="inlineStr">
        <is>
          <t>VL_065</t>
        </is>
      </c>
      <c r="C69" s="2" t="inlineStr">
        <is>
          <t>Giấy lọc chuyên dụng</t>
        </is>
      </c>
      <c r="D69" s="2" t="inlineStr">
        <is>
          <t>Cái</t>
        </is>
      </c>
      <c r="E69" s="2" t="inlineStr">
        <is>
          <t>vat_tu_tieu_hao</t>
        </is>
      </c>
      <c r="F69" s="2" t="n">
        <v>12</v>
      </c>
      <c r="G69" s="2" t="n">
        <v>1.08</v>
      </c>
      <c r="H69" s="2">
        <f>F69*G69</f>
        <v/>
      </c>
    </row>
    <row r="70">
      <c r="A70" s="3" t="n">
        <v>66</v>
      </c>
      <c r="B70" s="3" t="inlineStr">
        <is>
          <t>VL_066</t>
        </is>
      </c>
      <c r="C70" s="3" t="inlineStr">
        <is>
          <t>Giấy lọc sợi thủy tinh</t>
        </is>
      </c>
      <c r="D70" s="3" t="inlineStr">
        <is>
          <t>hộp</t>
        </is>
      </c>
      <c r="E70" s="3" t="inlineStr">
        <is>
          <t>vat_tu_tieu_hao</t>
        </is>
      </c>
      <c r="F70" s="3" t="n">
        <v>0.44</v>
      </c>
      <c r="G70" s="3" t="n">
        <v>1.08</v>
      </c>
      <c r="H70" s="3">
        <f>F70*G70</f>
        <v/>
      </c>
    </row>
    <row r="71">
      <c r="A71" s="2" t="n">
        <v>67</v>
      </c>
      <c r="B71" s="2" t="inlineStr">
        <is>
          <t>VL_067</t>
        </is>
      </c>
      <c r="C71" s="2" t="inlineStr">
        <is>
          <t>Giấy lọc</t>
        </is>
      </c>
      <c r="D71" s="2" t="inlineStr">
        <is>
          <t>hộp</t>
        </is>
      </c>
      <c r="E71" s="2" t="inlineStr">
        <is>
          <t>vat_tu_tieu_hao</t>
        </is>
      </c>
      <c r="F71" s="2" t="n">
        <v>21.46</v>
      </c>
      <c r="G71" s="2" t="n">
        <v>1.08</v>
      </c>
      <c r="H71" s="2">
        <f>F71*G71</f>
        <v/>
      </c>
    </row>
    <row r="72">
      <c r="A72" s="3" t="n">
        <v>68</v>
      </c>
      <c r="B72" s="3" t="inlineStr">
        <is>
          <t>VL_068</t>
        </is>
      </c>
      <c r="C72" s="3" t="inlineStr">
        <is>
          <t>Giấy pH</t>
        </is>
      </c>
      <c r="D72" s="3" t="inlineStr">
        <is>
          <t>hộp</t>
        </is>
      </c>
      <c r="E72" s="3" t="inlineStr">
        <is>
          <t>thong_dung</t>
        </is>
      </c>
      <c r="F72" s="3" t="n">
        <v>0.24</v>
      </c>
      <c r="G72" s="3" t="n">
        <v>1.08</v>
      </c>
      <c r="H72" s="3">
        <f>F72*G72</f>
        <v/>
      </c>
    </row>
    <row r="73">
      <c r="A73" s="2" t="n">
        <v>69</v>
      </c>
      <c r="B73" s="2" t="inlineStr">
        <is>
          <t>VL_069</t>
        </is>
      </c>
      <c r="C73" s="2" t="inlineStr">
        <is>
          <t>Giấy thử pH</t>
        </is>
      </c>
      <c r="D73" s="2" t="inlineStr">
        <is>
          <t>hộp</t>
        </is>
      </c>
      <c r="E73" s="2" t="inlineStr">
        <is>
          <t>thong_dung</t>
        </is>
      </c>
      <c r="F73" s="2" t="n">
        <v>6.72</v>
      </c>
      <c r="G73" s="2" t="n">
        <v>1.08</v>
      </c>
      <c r="H73" s="2">
        <f>F73*G73</f>
        <v/>
      </c>
    </row>
    <row r="74">
      <c r="A74" s="3" t="n">
        <v>70</v>
      </c>
      <c r="B74" s="3" t="inlineStr">
        <is>
          <t>VL_070</t>
        </is>
      </c>
      <c r="C74" s="3" t="inlineStr">
        <is>
          <t>Gluco</t>
        </is>
      </c>
      <c r="D74" s="3" t="inlineStr">
        <is>
          <t>gam</t>
        </is>
      </c>
      <c r="E74" s="3" t="inlineStr">
        <is>
          <t>hoa_chat</t>
        </is>
      </c>
      <c r="F74" s="3" t="n">
        <v>1.44</v>
      </c>
      <c r="G74" s="3" t="n">
        <v>1.08</v>
      </c>
      <c r="H74" s="3">
        <f>F74*G74</f>
        <v/>
      </c>
    </row>
    <row r="75">
      <c r="A75" s="2" t="n">
        <v>71</v>
      </c>
      <c r="B75" s="2" t="inlineStr">
        <is>
          <t>VL_071</t>
        </is>
      </c>
      <c r="C75" s="2" t="inlineStr">
        <is>
          <t>Glutamic</t>
        </is>
      </c>
      <c r="D75" s="2" t="inlineStr">
        <is>
          <t>gam</t>
        </is>
      </c>
      <c r="E75" s="2" t="inlineStr">
        <is>
          <t>hoa_chat</t>
        </is>
      </c>
      <c r="F75" s="2" t="n">
        <v>15.84</v>
      </c>
      <c r="G75" s="2" t="n">
        <v>1.08</v>
      </c>
      <c r="H75" s="2">
        <f>F75*G75</f>
        <v/>
      </c>
    </row>
    <row r="76">
      <c r="A76" s="3" t="n">
        <v>72</v>
      </c>
      <c r="B76" s="3" t="inlineStr">
        <is>
          <t>VL_072</t>
        </is>
      </c>
      <c r="C76" s="3" t="inlineStr">
        <is>
          <t>Găng tay chịu nhiệt</t>
        </is>
      </c>
      <c r="D76" s="3" t="inlineStr">
        <is>
          <t>đôi</t>
        </is>
      </c>
      <c r="E76" s="3" t="inlineStr">
        <is>
          <t>thong_dung</t>
        </is>
      </c>
      <c r="F76" s="3" t="n">
        <v>0.36</v>
      </c>
      <c r="G76" s="3" t="n">
        <v>1.08</v>
      </c>
      <c r="H76" s="3">
        <f>F76*G76</f>
        <v/>
      </c>
    </row>
    <row r="77">
      <c r="A77" s="2" t="n">
        <v>73</v>
      </c>
      <c r="B77" s="2" t="inlineStr">
        <is>
          <t>VL_073</t>
        </is>
      </c>
      <c r="C77" s="2" t="inlineStr">
        <is>
          <t>H2O2</t>
        </is>
      </c>
      <c r="D77" s="2" t="inlineStr">
        <is>
          <t>gam</t>
        </is>
      </c>
      <c r="E77" s="2" t="inlineStr">
        <is>
          <t>hoa_chat</t>
        </is>
      </c>
      <c r="F77" s="2" t="n">
        <v>0.96</v>
      </c>
      <c r="G77" s="2" t="n">
        <v>1.08</v>
      </c>
      <c r="H77" s="2">
        <f>F77*G77</f>
        <v/>
      </c>
    </row>
    <row r="78">
      <c r="A78" s="3" t="n">
        <v>74</v>
      </c>
      <c r="B78" s="3" t="inlineStr">
        <is>
          <t>VL_074</t>
        </is>
      </c>
      <c r="C78" s="3" t="inlineStr">
        <is>
          <t>H2O2</t>
        </is>
      </c>
      <c r="D78" s="3" t="inlineStr">
        <is>
          <t>ml</t>
        </is>
      </c>
      <c r="E78" s="3" t="inlineStr">
        <is>
          <t>hoa_chat</t>
        </is>
      </c>
      <c r="F78" s="3" t="n">
        <v>3480</v>
      </c>
      <c r="G78" s="3" t="n">
        <v>1.08</v>
      </c>
      <c r="H78" s="3">
        <f>F78*G78</f>
        <v/>
      </c>
    </row>
    <row r="79">
      <c r="A79" s="2" t="n">
        <v>75</v>
      </c>
      <c r="B79" s="2" t="inlineStr">
        <is>
          <t>VL_075</t>
        </is>
      </c>
      <c r="C79" s="2" t="inlineStr">
        <is>
          <t>H2SO4 đậm đặc</t>
        </is>
      </c>
      <c r="D79" s="2" t="inlineStr">
        <is>
          <t>ml</t>
        </is>
      </c>
      <c r="E79" s="2" t="inlineStr">
        <is>
          <t>hoa_chat</t>
        </is>
      </c>
      <c r="F79" s="2" t="n">
        <v>2438.8</v>
      </c>
      <c r="G79" s="2" t="n">
        <v>1.08</v>
      </c>
      <c r="H79" s="2">
        <f>F79*G79</f>
        <v/>
      </c>
    </row>
    <row r="80">
      <c r="A80" s="3" t="n">
        <v>76</v>
      </c>
      <c r="B80" s="3" t="inlineStr">
        <is>
          <t>VL_076</t>
        </is>
      </c>
      <c r="C80" s="3" t="inlineStr">
        <is>
          <t>H2SO4</t>
        </is>
      </c>
      <c r="D80" s="3" t="inlineStr">
        <is>
          <t>ml</t>
        </is>
      </c>
      <c r="E80" s="3" t="inlineStr">
        <is>
          <t>hoa_chat</t>
        </is>
      </c>
      <c r="F80" s="3" t="n">
        <v>320</v>
      </c>
      <c r="G80" s="3" t="n">
        <v>1.08</v>
      </c>
      <c r="H80" s="3">
        <f>F80*G80</f>
        <v/>
      </c>
    </row>
    <row r="81">
      <c r="A81" s="2" t="n">
        <v>77</v>
      </c>
      <c r="B81" s="2" t="inlineStr">
        <is>
          <t>VL_077</t>
        </is>
      </c>
      <c r="C81" s="2" t="inlineStr">
        <is>
          <t>H3BO3</t>
        </is>
      </c>
      <c r="D81" s="2" t="inlineStr">
        <is>
          <t>gam</t>
        </is>
      </c>
      <c r="E81" s="2" t="inlineStr">
        <is>
          <t>hoa_chat</t>
        </is>
      </c>
      <c r="F81" s="2" t="n">
        <v>4.8</v>
      </c>
      <c r="G81" s="2" t="n">
        <v>1.08</v>
      </c>
      <c r="H81" s="2">
        <f>F81*G81</f>
        <v/>
      </c>
    </row>
    <row r="82">
      <c r="A82" s="3" t="n">
        <v>78</v>
      </c>
      <c r="B82" s="3" t="inlineStr">
        <is>
          <t>VL_078</t>
        </is>
      </c>
      <c r="C82" s="3" t="inlineStr">
        <is>
          <t>H3PO4</t>
        </is>
      </c>
      <c r="D82" s="3" t="inlineStr">
        <is>
          <t>gam</t>
        </is>
      </c>
      <c r="E82" s="3" t="inlineStr">
        <is>
          <t>hoa_chat</t>
        </is>
      </c>
      <c r="F82" s="3" t="n">
        <v>80</v>
      </c>
      <c r="G82" s="3" t="n">
        <v>1.08</v>
      </c>
      <c r="H82" s="3">
        <f>F82*G82</f>
        <v/>
      </c>
    </row>
    <row r="83">
      <c r="A83" s="2" t="n">
        <v>79</v>
      </c>
      <c r="B83" s="2" t="inlineStr">
        <is>
          <t>VL_079</t>
        </is>
      </c>
      <c r="C83" s="2" t="inlineStr">
        <is>
          <t>H3PO4</t>
        </is>
      </c>
      <c r="D83" s="2" t="inlineStr">
        <is>
          <t>ml</t>
        </is>
      </c>
      <c r="E83" s="2" t="inlineStr">
        <is>
          <t>hoa_chat</t>
        </is>
      </c>
      <c r="F83" s="2" t="n">
        <v>116</v>
      </c>
      <c r="G83" s="2" t="n">
        <v>1.08</v>
      </c>
      <c r="H83" s="2">
        <f>F83*G83</f>
        <v/>
      </c>
    </row>
    <row r="84">
      <c r="A84" s="3" t="n">
        <v>80</v>
      </c>
      <c r="B84" s="3" t="inlineStr">
        <is>
          <t>VL_080</t>
        </is>
      </c>
      <c r="C84" s="3" t="inlineStr">
        <is>
          <t>HCl</t>
        </is>
      </c>
      <c r="D84" s="3" t="inlineStr">
        <is>
          <t>ml</t>
        </is>
      </c>
      <c r="E84" s="3" t="inlineStr">
        <is>
          <t>hoa_chat</t>
        </is>
      </c>
      <c r="F84" s="3" t="n">
        <v>987.2</v>
      </c>
      <c r="G84" s="3" t="n">
        <v>1.08</v>
      </c>
      <c r="H84" s="3">
        <f>F84*G84</f>
        <v/>
      </c>
    </row>
    <row r="85">
      <c r="A85" s="2" t="n">
        <v>81</v>
      </c>
      <c r="B85" s="2" t="inlineStr">
        <is>
          <t>VL_081</t>
        </is>
      </c>
      <c r="C85" s="2" t="inlineStr">
        <is>
          <t>HNO3</t>
        </is>
      </c>
      <c r="D85" s="2" t="inlineStr">
        <is>
          <t>ml</t>
        </is>
      </c>
      <c r="E85" s="2" t="inlineStr">
        <is>
          <t>hoa_chat</t>
        </is>
      </c>
      <c r="F85" s="2" t="n">
        <v>3504</v>
      </c>
      <c r="G85" s="2" t="n">
        <v>1.08</v>
      </c>
      <c r="H85" s="2">
        <f>F85*G85</f>
        <v/>
      </c>
    </row>
    <row r="86">
      <c r="A86" s="3" t="n">
        <v>82</v>
      </c>
      <c r="B86" s="3" t="inlineStr">
        <is>
          <t>VL_082</t>
        </is>
      </c>
      <c r="C86" s="3" t="inlineStr">
        <is>
          <t>HgCl2</t>
        </is>
      </c>
      <c r="D86" s="3" t="inlineStr">
        <is>
          <t>gam</t>
        </is>
      </c>
      <c r="E86" s="3" t="inlineStr">
        <is>
          <t>hoa_chat</t>
        </is>
      </c>
      <c r="F86" s="3" t="n">
        <v>3.44</v>
      </c>
      <c r="G86" s="3" t="n">
        <v>1.08</v>
      </c>
      <c r="H86" s="3">
        <f>F86*G86</f>
        <v/>
      </c>
    </row>
    <row r="87">
      <c r="A87" s="2" t="n">
        <v>83</v>
      </c>
      <c r="B87" s="2" t="inlineStr">
        <is>
          <t>VL_083</t>
        </is>
      </c>
      <c r="C87" s="2" t="inlineStr">
        <is>
          <t>HgCl</t>
        </is>
      </c>
      <c r="D87" s="2" t="inlineStr">
        <is>
          <t>gam</t>
        </is>
      </c>
      <c r="E87" s="2" t="inlineStr">
        <is>
          <t>hoa_chat</t>
        </is>
      </c>
      <c r="F87" s="2" t="n">
        <v>17.4</v>
      </c>
      <c r="G87" s="2" t="n">
        <v>1.08</v>
      </c>
      <c r="H87" s="2">
        <f>F87*G87</f>
        <v/>
      </c>
    </row>
    <row r="88">
      <c r="A88" s="3" t="n">
        <v>84</v>
      </c>
      <c r="B88" s="3" t="inlineStr">
        <is>
          <t>VL_084</t>
        </is>
      </c>
      <c r="C88" s="3" t="inlineStr">
        <is>
          <t>HgSO4</t>
        </is>
      </c>
      <c r="D88" s="3" t="inlineStr">
        <is>
          <t>gam</t>
        </is>
      </c>
      <c r="E88" s="3" t="inlineStr">
        <is>
          <t>hoa_chat</t>
        </is>
      </c>
      <c r="F88" s="3" t="n">
        <v>8</v>
      </c>
      <c r="G88" s="3" t="n">
        <v>1.08</v>
      </c>
      <c r="H88" s="3">
        <f>F88*G88</f>
        <v/>
      </c>
    </row>
    <row r="89">
      <c r="A89" s="2" t="n">
        <v>85</v>
      </c>
      <c r="B89" s="2" t="inlineStr">
        <is>
          <t>VL_085</t>
        </is>
      </c>
      <c r="C89" s="2" t="inlineStr">
        <is>
          <t>Hóa chất bảo quản mẫu</t>
        </is>
      </c>
      <c r="D89" s="2" t="inlineStr">
        <is>
          <t>ml</t>
        </is>
      </c>
      <c r="E89" s="2" t="inlineStr">
        <is>
          <t>hoa_chat</t>
        </is>
      </c>
      <c r="F89" s="2" t="n">
        <v>1886</v>
      </c>
      <c r="G89" s="2" t="n">
        <v>1.08</v>
      </c>
      <c r="H89" s="2">
        <f>F89*G89</f>
        <v/>
      </c>
    </row>
    <row r="90">
      <c r="A90" s="3" t="n">
        <v>86</v>
      </c>
      <c r="B90" s="3" t="inlineStr">
        <is>
          <t>VL_086</t>
        </is>
      </c>
      <c r="C90" s="3" t="inlineStr">
        <is>
          <t>Hồ tinh bột</t>
        </is>
      </c>
      <c r="D90" s="3" t="inlineStr">
        <is>
          <t>gam</t>
        </is>
      </c>
      <c r="E90" s="3" t="inlineStr">
        <is>
          <t>hoa_chat</t>
        </is>
      </c>
      <c r="F90" s="3" t="n">
        <v>4</v>
      </c>
      <c r="G90" s="3" t="n">
        <v>1.08</v>
      </c>
      <c r="H90" s="3">
        <f>F90*G90</f>
        <v/>
      </c>
    </row>
    <row r="91">
      <c r="A91" s="2" t="n">
        <v>87</v>
      </c>
      <c r="B91" s="2" t="inlineStr">
        <is>
          <t>VL_087</t>
        </is>
      </c>
      <c r="C91" s="2" t="inlineStr">
        <is>
          <t>Hợp kim Devarda</t>
        </is>
      </c>
      <c r="D91" s="2" t="inlineStr">
        <is>
          <t>gam</t>
        </is>
      </c>
      <c r="E91" s="2" t="inlineStr">
        <is>
          <t>hoa_chat</t>
        </is>
      </c>
      <c r="F91" s="2" t="n">
        <v>4.8</v>
      </c>
      <c r="G91" s="2" t="n">
        <v>1.08</v>
      </c>
      <c r="H91" s="2">
        <f>F91*G91</f>
        <v/>
      </c>
    </row>
    <row r="92">
      <c r="A92" s="3" t="n">
        <v>88</v>
      </c>
      <c r="B92" s="3" t="inlineStr">
        <is>
          <t>VL_088</t>
        </is>
      </c>
      <c r="C92" s="3" t="inlineStr">
        <is>
          <t>Iốt</t>
        </is>
      </c>
      <c r="D92" s="3" t="inlineStr">
        <is>
          <t>gam</t>
        </is>
      </c>
      <c r="E92" s="3" t="inlineStr">
        <is>
          <t>hoa_chat</t>
        </is>
      </c>
      <c r="F92" s="3" t="n">
        <v>7</v>
      </c>
      <c r="G92" s="3" t="n">
        <v>1.08</v>
      </c>
      <c r="H92" s="3">
        <f>F92*G92</f>
        <v/>
      </c>
    </row>
    <row r="93">
      <c r="A93" s="2" t="n">
        <v>89</v>
      </c>
      <c r="B93" s="2" t="inlineStr">
        <is>
          <t>VL_089</t>
        </is>
      </c>
      <c r="C93" s="2" t="inlineStr">
        <is>
          <t>K2Cr2O7</t>
        </is>
      </c>
      <c r="D93" s="2" t="inlineStr">
        <is>
          <t>gam</t>
        </is>
      </c>
      <c r="E93" s="2" t="inlineStr">
        <is>
          <t>hoa_chat</t>
        </is>
      </c>
      <c r="F93" s="2" t="n">
        <v>51.96</v>
      </c>
      <c r="G93" s="2" t="n">
        <v>1.08</v>
      </c>
      <c r="H93" s="2">
        <f>F93*G93</f>
        <v/>
      </c>
    </row>
    <row r="94">
      <c r="A94" s="3" t="n">
        <v>90</v>
      </c>
      <c r="B94" s="3" t="inlineStr">
        <is>
          <t>VL_090</t>
        </is>
      </c>
      <c r="C94" s="3" t="inlineStr">
        <is>
          <t>K2CrO4</t>
        </is>
      </c>
      <c r="D94" s="3" t="inlineStr">
        <is>
          <t>gam</t>
        </is>
      </c>
      <c r="E94" s="3" t="inlineStr">
        <is>
          <t>hoa_chat</t>
        </is>
      </c>
      <c r="F94" s="3" t="n">
        <v>8</v>
      </c>
      <c r="G94" s="3" t="n">
        <v>1.08</v>
      </c>
      <c r="H94" s="3">
        <f>F94*G94</f>
        <v/>
      </c>
    </row>
    <row r="95">
      <c r="A95" s="2" t="n">
        <v>91</v>
      </c>
      <c r="B95" s="2" t="inlineStr">
        <is>
          <t>VL_091</t>
        </is>
      </c>
      <c r="C95" s="2" t="inlineStr">
        <is>
          <t>K2HPO4</t>
        </is>
      </c>
      <c r="D95" s="2" t="inlineStr">
        <is>
          <t>Gram</t>
        </is>
      </c>
      <c r="E95" s="2" t="inlineStr">
        <is>
          <t>hoa_chat</t>
        </is>
      </c>
      <c r="F95" s="2" t="n">
        <v>69.672</v>
      </c>
      <c r="G95" s="2" t="n">
        <v>1.08</v>
      </c>
      <c r="H95" s="2">
        <f>F95*G95</f>
        <v/>
      </c>
    </row>
    <row r="96">
      <c r="A96" s="3" t="n">
        <v>92</v>
      </c>
      <c r="B96" s="3" t="inlineStr">
        <is>
          <t>VL_092</t>
        </is>
      </c>
      <c r="C96" s="3" t="inlineStr">
        <is>
          <t>K2HPO4</t>
        </is>
      </c>
      <c r="D96" s="3" t="inlineStr">
        <is>
          <t>gam</t>
        </is>
      </c>
      <c r="E96" s="3" t="inlineStr">
        <is>
          <t>hoa_chat</t>
        </is>
      </c>
      <c r="F96" s="3" t="n">
        <v>0.96</v>
      </c>
      <c r="G96" s="3" t="n">
        <v>1.08</v>
      </c>
      <c r="H96" s="3">
        <f>F96*G96</f>
        <v/>
      </c>
    </row>
    <row r="97">
      <c r="A97" s="2" t="n">
        <v>93</v>
      </c>
      <c r="B97" s="2" t="inlineStr">
        <is>
          <t>VL_093</t>
        </is>
      </c>
      <c r="C97" s="2" t="inlineStr">
        <is>
          <t>K2S2O8</t>
        </is>
      </c>
      <c r="D97" s="2" t="inlineStr">
        <is>
          <t>gam</t>
        </is>
      </c>
      <c r="E97" s="2" t="inlineStr">
        <is>
          <t>hoa_chat</t>
        </is>
      </c>
      <c r="F97" s="2" t="n">
        <v>48.8</v>
      </c>
      <c r="G97" s="2" t="n">
        <v>1.08</v>
      </c>
      <c r="H97" s="2">
        <f>F97*G97</f>
        <v/>
      </c>
    </row>
    <row r="98">
      <c r="A98" s="3" t="n">
        <v>94</v>
      </c>
      <c r="B98" s="3" t="inlineStr">
        <is>
          <t>VL_094</t>
        </is>
      </c>
      <c r="C98" s="3" t="inlineStr">
        <is>
          <t>K2SO4</t>
        </is>
      </c>
      <c r="D98" s="3" t="inlineStr">
        <is>
          <t>gam</t>
        </is>
      </c>
      <c r="E98" s="3" t="inlineStr">
        <is>
          <t>hoa_chat</t>
        </is>
      </c>
      <c r="F98" s="3" t="n">
        <v>48</v>
      </c>
      <c r="G98" s="3" t="n">
        <v>1.08</v>
      </c>
      <c r="H98" s="3">
        <f>F98*G98</f>
        <v/>
      </c>
    </row>
    <row r="99">
      <c r="A99" s="2" t="n">
        <v>95</v>
      </c>
      <c r="B99" s="2" t="inlineStr">
        <is>
          <t>VL_095</t>
        </is>
      </c>
      <c r="C99" s="2" t="inlineStr">
        <is>
          <t>K4P2O7</t>
        </is>
      </c>
      <c r="D99" s="2" t="inlineStr">
        <is>
          <t>gam</t>
        </is>
      </c>
      <c r="E99" s="2" t="inlineStr">
        <is>
          <t>hoa_chat</t>
        </is>
      </c>
      <c r="F99" s="2" t="n">
        <v>0.4</v>
      </c>
      <c r="G99" s="2" t="n">
        <v>1.08</v>
      </c>
      <c r="H99" s="2">
        <f>F99*G99</f>
        <v/>
      </c>
    </row>
    <row r="100">
      <c r="A100" s="3" t="n">
        <v>96</v>
      </c>
      <c r="B100" s="3" t="inlineStr">
        <is>
          <t>VL_096</t>
        </is>
      </c>
      <c r="C100" s="3" t="inlineStr">
        <is>
          <t>KCl</t>
        </is>
      </c>
      <c r="D100" s="3" t="inlineStr">
        <is>
          <t>gam</t>
        </is>
      </c>
      <c r="E100" s="3" t="inlineStr">
        <is>
          <t>hoa_chat</t>
        </is>
      </c>
      <c r="F100" s="3" t="n">
        <v>6.72</v>
      </c>
      <c r="G100" s="3" t="n">
        <v>1.08</v>
      </c>
      <c r="H100" s="3">
        <f>F100*G100</f>
        <v/>
      </c>
    </row>
    <row r="101">
      <c r="A101" s="2" t="n">
        <v>97</v>
      </c>
      <c r="B101" s="2" t="inlineStr">
        <is>
          <t>VL_097</t>
        </is>
      </c>
      <c r="C101" s="2" t="inlineStr">
        <is>
          <t>KH2PO4</t>
        </is>
      </c>
      <c r="D101" s="2" t="inlineStr">
        <is>
          <t>Gram</t>
        </is>
      </c>
      <c r="E101" s="2" t="inlineStr">
        <is>
          <t>hoa_chat</t>
        </is>
      </c>
      <c r="F101" s="2" t="n">
        <v>54.432</v>
      </c>
      <c r="G101" s="2" t="n">
        <v>1.08</v>
      </c>
      <c r="H101" s="2">
        <f>F101*G101</f>
        <v/>
      </c>
    </row>
    <row r="102">
      <c r="A102" s="3" t="n">
        <v>98</v>
      </c>
      <c r="B102" s="3" t="inlineStr">
        <is>
          <t>VL_098</t>
        </is>
      </c>
      <c r="C102" s="3" t="inlineStr">
        <is>
          <t>KH2PO4</t>
        </is>
      </c>
      <c r="D102" s="3" t="inlineStr">
        <is>
          <t>gam</t>
        </is>
      </c>
      <c r="E102" s="3" t="inlineStr">
        <is>
          <t>hoa_chat</t>
        </is>
      </c>
      <c r="F102" s="3" t="n">
        <v>0.48</v>
      </c>
      <c r="G102" s="3" t="n">
        <v>1.08</v>
      </c>
      <c r="H102" s="3">
        <f>F102*G102</f>
        <v/>
      </c>
    </row>
    <row r="103">
      <c r="A103" s="2" t="n">
        <v>99</v>
      </c>
      <c r="B103" s="2" t="inlineStr">
        <is>
          <t>VL_099</t>
        </is>
      </c>
      <c r="C103" s="2" t="inlineStr">
        <is>
          <t>KIO3</t>
        </is>
      </c>
      <c r="D103" s="2" t="inlineStr">
        <is>
          <t>gam</t>
        </is>
      </c>
      <c r="E103" s="2" t="inlineStr">
        <is>
          <t>hoa_chat</t>
        </is>
      </c>
      <c r="F103" s="2" t="n">
        <v>9.6</v>
      </c>
      <c r="G103" s="2" t="n">
        <v>1.08</v>
      </c>
      <c r="H103" s="2">
        <f>F103*G103</f>
        <v/>
      </c>
    </row>
    <row r="104">
      <c r="A104" s="3" t="n">
        <v>100</v>
      </c>
      <c r="B104" s="3" t="inlineStr">
        <is>
          <t>VL_100</t>
        </is>
      </c>
      <c r="C104" s="3" t="inlineStr">
        <is>
          <t>KI</t>
        </is>
      </c>
      <c r="D104" s="3" t="inlineStr">
        <is>
          <t>gam</t>
        </is>
      </c>
      <c r="E104" s="3" t="inlineStr">
        <is>
          <t>hoa_chat</t>
        </is>
      </c>
      <c r="F104" s="3" t="n">
        <v>78.40000000000001</v>
      </c>
      <c r="G104" s="3" t="n">
        <v>1.08</v>
      </c>
      <c r="H104" s="3">
        <f>F104*G104</f>
        <v/>
      </c>
    </row>
    <row r="105">
      <c r="A105" s="2" t="n">
        <v>101</v>
      </c>
      <c r="B105" s="2" t="inlineStr">
        <is>
          <t>VL_101</t>
        </is>
      </c>
      <c r="C105" s="2" t="inlineStr">
        <is>
          <t>KMnO4</t>
        </is>
      </c>
      <c r="D105" s="2" t="inlineStr">
        <is>
          <t>gam</t>
        </is>
      </c>
      <c r="E105" s="2" t="inlineStr">
        <is>
          <t>hoa_chat</t>
        </is>
      </c>
      <c r="F105" s="2" t="n">
        <v>80</v>
      </c>
      <c r="G105" s="2" t="n">
        <v>1.08</v>
      </c>
      <c r="H105" s="2">
        <f>F105*G105</f>
        <v/>
      </c>
    </row>
    <row r="106">
      <c r="A106" s="3" t="n">
        <v>102</v>
      </c>
      <c r="B106" s="3" t="inlineStr">
        <is>
          <t>VL_102</t>
        </is>
      </c>
      <c r="C106" s="3" t="inlineStr">
        <is>
          <t>Kali antimontatrat</t>
        </is>
      </c>
      <c r="D106" s="3" t="inlineStr">
        <is>
          <t>gam</t>
        </is>
      </c>
      <c r="E106" s="3" t="inlineStr">
        <is>
          <t>hoa_chat</t>
        </is>
      </c>
      <c r="F106" s="3" t="n">
        <v>1.6</v>
      </c>
      <c r="G106" s="3" t="n">
        <v>1.08</v>
      </c>
      <c r="H106" s="3">
        <f>F106*G106</f>
        <v/>
      </c>
    </row>
    <row r="107">
      <c r="A107" s="2" t="n">
        <v>103</v>
      </c>
      <c r="B107" s="2" t="inlineStr">
        <is>
          <t>VL_103</t>
        </is>
      </c>
      <c r="C107" s="2" t="inlineStr">
        <is>
          <t>Kaliphatalat</t>
        </is>
      </c>
      <c r="D107" s="2" t="inlineStr">
        <is>
          <t>gam</t>
        </is>
      </c>
      <c r="E107" s="2" t="inlineStr">
        <is>
          <t>hoa_chat</t>
        </is>
      </c>
      <c r="F107" s="2" t="n">
        <v>12</v>
      </c>
      <c r="G107" s="2" t="n">
        <v>1.08</v>
      </c>
      <c r="H107" s="2">
        <f>F107*G107</f>
        <v/>
      </c>
    </row>
    <row r="108">
      <c r="A108" s="3" t="n">
        <v>104</v>
      </c>
      <c r="B108" s="3" t="inlineStr">
        <is>
          <t>VL_104</t>
        </is>
      </c>
      <c r="C108" s="3" t="inlineStr">
        <is>
          <t>Khí Heli</t>
        </is>
      </c>
      <c r="D108" s="3" t="inlineStr">
        <is>
          <t>bình</t>
        </is>
      </c>
      <c r="E108" s="3" t="inlineStr">
        <is>
          <t>thong_dung</t>
        </is>
      </c>
      <c r="F108" s="3" t="n">
        <v>0.1</v>
      </c>
      <c r="G108" s="3" t="n">
        <v>1.08</v>
      </c>
      <c r="H108" s="3">
        <f>F108*G108</f>
        <v/>
      </c>
    </row>
    <row r="109">
      <c r="A109" s="2" t="n">
        <v>105</v>
      </c>
      <c r="B109" s="2" t="inlineStr">
        <is>
          <t>VL_105</t>
        </is>
      </c>
      <c r="C109" s="2" t="inlineStr">
        <is>
          <t>Khí Hydro</t>
        </is>
      </c>
      <c r="D109" s="2" t="inlineStr">
        <is>
          <t>bình</t>
        </is>
      </c>
      <c r="E109" s="2" t="inlineStr">
        <is>
          <t>thong_dung</t>
        </is>
      </c>
      <c r="F109" s="2" t="n">
        <v>0.1</v>
      </c>
      <c r="G109" s="2" t="n">
        <v>1.08</v>
      </c>
      <c r="H109" s="2">
        <f>F109*G109</f>
        <v/>
      </c>
    </row>
    <row r="110">
      <c r="A110" s="3" t="n">
        <v>106</v>
      </c>
      <c r="B110" s="3" t="inlineStr">
        <is>
          <t>VL_106</t>
        </is>
      </c>
      <c r="C110" s="3" t="inlineStr">
        <is>
          <t>Khí Nitơ</t>
        </is>
      </c>
      <c r="D110" s="3" t="inlineStr">
        <is>
          <t>bình</t>
        </is>
      </c>
      <c r="E110" s="3" t="inlineStr">
        <is>
          <t>thong_dung</t>
        </is>
      </c>
      <c r="F110" s="3" t="n">
        <v>0.1</v>
      </c>
      <c r="G110" s="3" t="n">
        <v>1.08</v>
      </c>
      <c r="H110" s="3">
        <f>F110*G110</f>
        <v/>
      </c>
    </row>
    <row r="111">
      <c r="A111" s="2" t="n">
        <v>107</v>
      </c>
      <c r="B111" s="2" t="inlineStr">
        <is>
          <t>VL_107</t>
        </is>
      </c>
      <c r="C111" s="2" t="inlineStr">
        <is>
          <t>Khí argon</t>
        </is>
      </c>
      <c r="D111" s="2" t="inlineStr">
        <is>
          <t>bình</t>
        </is>
      </c>
      <c r="E111" s="2" t="inlineStr">
        <is>
          <t>thong_dung</t>
        </is>
      </c>
      <c r="F111" s="2" t="n">
        <v>0.696</v>
      </c>
      <c r="G111" s="2" t="n">
        <v>1.08</v>
      </c>
      <c r="H111" s="2">
        <f>F111*G111</f>
        <v/>
      </c>
    </row>
    <row r="112">
      <c r="A112" s="3" t="n">
        <v>108</v>
      </c>
      <c r="B112" s="3" t="inlineStr">
        <is>
          <t>VL_108</t>
        </is>
      </c>
      <c r="C112" s="3" t="inlineStr">
        <is>
          <t>Khí axetylen</t>
        </is>
      </c>
      <c r="D112" s="3" t="inlineStr">
        <is>
          <t>bình</t>
        </is>
      </c>
      <c r="E112" s="3" t="inlineStr">
        <is>
          <t>thong_dung</t>
        </is>
      </c>
      <c r="F112" s="3" t="n">
        <v>0.496</v>
      </c>
      <c r="G112" s="3" t="n">
        <v>1.08</v>
      </c>
      <c r="H112" s="3">
        <f>F112*G112</f>
        <v/>
      </c>
    </row>
    <row r="113">
      <c r="A113" s="2" t="n">
        <v>109</v>
      </c>
      <c r="B113" s="2" t="inlineStr">
        <is>
          <t>VL_109</t>
        </is>
      </c>
      <c r="C113" s="2" t="inlineStr">
        <is>
          <t>Khí chuẩn CO</t>
        </is>
      </c>
      <c r="D113" s="2" t="inlineStr">
        <is>
          <t>bình</t>
        </is>
      </c>
      <c r="E113" s="2" t="inlineStr">
        <is>
          <t>chuan</t>
        </is>
      </c>
      <c r="F113" s="2" t="n">
        <v>0.144</v>
      </c>
      <c r="G113" s="2" t="n">
        <v>1.08</v>
      </c>
      <c r="H113" s="2">
        <f>F113*G113</f>
        <v/>
      </c>
    </row>
    <row r="114">
      <c r="A114" s="3" t="n">
        <v>110</v>
      </c>
      <c r="B114" s="3" t="inlineStr">
        <is>
          <t>VL_110</t>
        </is>
      </c>
      <c r="C114" s="3" t="inlineStr">
        <is>
          <t>Khí chuẩn Metan</t>
        </is>
      </c>
      <c r="D114" s="3" t="inlineStr">
        <is>
          <t>bình</t>
        </is>
      </c>
      <c r="E114" s="3" t="inlineStr">
        <is>
          <t>chuan</t>
        </is>
      </c>
      <c r="F114" s="3" t="n">
        <v>0.1</v>
      </c>
      <c r="G114" s="3" t="n">
        <v>1.08</v>
      </c>
      <c r="H114" s="3">
        <f>F114*G114</f>
        <v/>
      </c>
    </row>
    <row r="115">
      <c r="A115" s="2" t="n">
        <v>111</v>
      </c>
      <c r="B115" s="2" t="inlineStr">
        <is>
          <t>VL_111</t>
        </is>
      </c>
      <c r="C115" s="2" t="inlineStr">
        <is>
          <t>Khí chuẩn NO</t>
        </is>
      </c>
      <c r="D115" s="2" t="inlineStr">
        <is>
          <t>bình</t>
        </is>
      </c>
      <c r="E115" s="2" t="inlineStr">
        <is>
          <t>chuan</t>
        </is>
      </c>
      <c r="F115" s="2" t="n">
        <v>0.132</v>
      </c>
      <c r="G115" s="2" t="n">
        <v>1.08</v>
      </c>
      <c r="H115" s="2">
        <f>F115*G115</f>
        <v/>
      </c>
    </row>
    <row r="116">
      <c r="A116" s="3" t="n">
        <v>112</v>
      </c>
      <c r="B116" s="3" t="inlineStr">
        <is>
          <t>VL_112</t>
        </is>
      </c>
      <c r="C116" s="3" t="inlineStr">
        <is>
          <t>Khí chuẩn O2</t>
        </is>
      </c>
      <c r="D116" s="3" t="inlineStr">
        <is>
          <t>bình</t>
        </is>
      </c>
      <c r="E116" s="3" t="inlineStr">
        <is>
          <t>chuan</t>
        </is>
      </c>
      <c r="F116" s="3" t="n">
        <v>0.144</v>
      </c>
      <c r="G116" s="3" t="n">
        <v>1.08</v>
      </c>
      <c r="H116" s="3">
        <f>F116*G116</f>
        <v/>
      </c>
    </row>
    <row r="117">
      <c r="A117" s="2" t="n">
        <v>113</v>
      </c>
      <c r="B117" s="2" t="inlineStr">
        <is>
          <t>VL_113</t>
        </is>
      </c>
      <c r="C117" s="2" t="inlineStr">
        <is>
          <t>Khí chuẩn SO2</t>
        </is>
      </c>
      <c r="D117" s="2" t="inlineStr">
        <is>
          <t>bình</t>
        </is>
      </c>
      <c r="E117" s="2" t="inlineStr">
        <is>
          <t>chuan</t>
        </is>
      </c>
      <c r="F117" s="2" t="n">
        <v>0.144</v>
      </c>
      <c r="G117" s="2" t="n">
        <v>1.08</v>
      </c>
      <c r="H117" s="2">
        <f>F117*G117</f>
        <v/>
      </c>
    </row>
    <row r="118">
      <c r="A118" s="3" t="n">
        <v>114</v>
      </c>
      <c r="B118" s="3" t="inlineStr">
        <is>
          <t>VL_114</t>
        </is>
      </c>
      <c r="C118" s="3" t="inlineStr">
        <is>
          <t>Khẩu trang y tế</t>
        </is>
      </c>
      <c r="D118" s="3" t="inlineStr">
        <is>
          <t>cái</t>
        </is>
      </c>
      <c r="E118" s="3" t="inlineStr">
        <is>
          <t>thong_dung</t>
        </is>
      </c>
      <c r="F118" s="3" t="n">
        <v>0.6</v>
      </c>
      <c r="G118" s="3" t="n">
        <v>1.08</v>
      </c>
      <c r="H118" s="3">
        <f>F118*G118</f>
        <v/>
      </c>
    </row>
    <row r="119">
      <c r="A119" s="2" t="n">
        <v>115</v>
      </c>
      <c r="B119" s="2" t="inlineStr">
        <is>
          <t>VL_115</t>
        </is>
      </c>
      <c r="C119" s="2" t="inlineStr">
        <is>
          <t>MgCl2</t>
        </is>
      </c>
      <c r="D119" s="2" t="inlineStr">
        <is>
          <t>Gram</t>
        </is>
      </c>
      <c r="E119" s="2" t="inlineStr">
        <is>
          <t>hoa_chat</t>
        </is>
      </c>
      <c r="F119" s="2" t="n">
        <v>370.4</v>
      </c>
      <c r="G119" s="2" t="n">
        <v>1.08</v>
      </c>
      <c r="H119" s="2">
        <f>F119*G119</f>
        <v/>
      </c>
    </row>
    <row r="120">
      <c r="A120" s="3" t="n">
        <v>116</v>
      </c>
      <c r="B120" s="3" t="inlineStr">
        <is>
          <t>VL_116</t>
        </is>
      </c>
      <c r="C120" s="3" t="inlineStr">
        <is>
          <t>MgSO4.7H2O</t>
        </is>
      </c>
      <c r="D120" s="3" t="inlineStr">
        <is>
          <t>gam</t>
        </is>
      </c>
      <c r="E120" s="3" t="inlineStr">
        <is>
          <t>hoa_chat</t>
        </is>
      </c>
      <c r="F120" s="3" t="n">
        <v>1.44</v>
      </c>
      <c r="G120" s="3" t="n">
        <v>1.08</v>
      </c>
      <c r="H120" s="3">
        <f>F120*G120</f>
        <v/>
      </c>
    </row>
    <row r="121">
      <c r="A121" s="2" t="n">
        <v>117</v>
      </c>
      <c r="B121" s="2" t="inlineStr">
        <is>
          <t>VL_117</t>
        </is>
      </c>
      <c r="C121" s="2" t="inlineStr">
        <is>
          <t>Màng lọc bụi</t>
        </is>
      </c>
      <c r="D121" s="2" t="inlineStr">
        <is>
          <t>cái</t>
        </is>
      </c>
      <c r="E121" s="2" t="inlineStr">
        <is>
          <t>vat_tu_tieu_hao</t>
        </is>
      </c>
      <c r="F121" s="2" t="n">
        <v>0.2</v>
      </c>
      <c r="G121" s="2" t="n">
        <v>1.08</v>
      </c>
      <c r="H121" s="2">
        <f>F121*G121</f>
        <v/>
      </c>
    </row>
    <row r="122">
      <c r="A122" s="3" t="n">
        <v>118</v>
      </c>
      <c r="B122" s="3" t="inlineStr">
        <is>
          <t>VL_118</t>
        </is>
      </c>
      <c r="C122" s="3" t="inlineStr">
        <is>
          <t>Mực máy in</t>
        </is>
      </c>
      <c r="D122" s="3" t="inlineStr">
        <is>
          <t>hộp</t>
        </is>
      </c>
      <c r="E122" s="3" t="inlineStr">
        <is>
          <t>thong_dung</t>
        </is>
      </c>
      <c r="F122" s="3" t="n">
        <v>1.24</v>
      </c>
      <c r="G122" s="3" t="n">
        <v>1.08</v>
      </c>
      <c r="H122" s="3">
        <f>F122*G122</f>
        <v/>
      </c>
    </row>
    <row r="123">
      <c r="A123" s="2" t="n">
        <v>119</v>
      </c>
      <c r="B123" s="2" t="inlineStr">
        <is>
          <t>VL_119</t>
        </is>
      </c>
      <c r="C123" s="2" t="inlineStr">
        <is>
          <t>N,N-dimethyl-pphenylenediamineoxalate</t>
        </is>
      </c>
      <c r="D123" s="2" t="inlineStr">
        <is>
          <t>gam</t>
        </is>
      </c>
      <c r="E123" s="2" t="inlineStr">
        <is>
          <t>hoa_chat</t>
        </is>
      </c>
      <c r="F123" s="2" t="n">
        <v>0.48</v>
      </c>
      <c r="G123" s="2" t="n">
        <v>1.08</v>
      </c>
      <c r="H123" s="2">
        <f>F123*G123</f>
        <v/>
      </c>
    </row>
    <row r="124">
      <c r="A124" s="3" t="n">
        <v>120</v>
      </c>
      <c r="B124" s="3" t="inlineStr">
        <is>
          <t>VL_120</t>
        </is>
      </c>
      <c r="C124" s="3" t="inlineStr">
        <is>
          <t>N-(1-naphyl)-ethyllediamine</t>
        </is>
      </c>
      <c r="D124" s="3" t="inlineStr">
        <is>
          <t>gam</t>
        </is>
      </c>
      <c r="E124" s="3" t="inlineStr">
        <is>
          <t>hoa_chat</t>
        </is>
      </c>
      <c r="F124" s="3" t="n">
        <v>12.2</v>
      </c>
      <c r="G124" s="3" t="n">
        <v>1.08</v>
      </c>
      <c r="H124" s="3">
        <f>F124*G124</f>
        <v/>
      </c>
    </row>
    <row r="125">
      <c r="A125" s="2" t="n">
        <v>121</v>
      </c>
      <c r="B125" s="2" t="inlineStr">
        <is>
          <t>VL_121</t>
        </is>
      </c>
      <c r="C125" s="2" t="inlineStr">
        <is>
          <t>NH3</t>
        </is>
      </c>
      <c r="D125" s="2" t="inlineStr">
        <is>
          <t>ml</t>
        </is>
      </c>
      <c r="E125" s="2" t="inlineStr">
        <is>
          <t>hoa_chat</t>
        </is>
      </c>
      <c r="F125" s="2" t="n">
        <v>44</v>
      </c>
      <c r="G125" s="2" t="n">
        <v>1.08</v>
      </c>
      <c r="H125" s="2">
        <f>F125*G125</f>
        <v/>
      </c>
    </row>
    <row r="126">
      <c r="A126" s="3" t="n">
        <v>122</v>
      </c>
      <c r="B126" s="3" t="inlineStr">
        <is>
          <t>VL_122</t>
        </is>
      </c>
      <c r="C126" s="3" t="inlineStr">
        <is>
          <t>NH4Cl</t>
        </is>
      </c>
      <c r="D126" s="3" t="inlineStr">
        <is>
          <t>gam</t>
        </is>
      </c>
      <c r="E126" s="3" t="inlineStr">
        <is>
          <t>hoa_chat</t>
        </is>
      </c>
      <c r="F126" s="3" t="n">
        <v>0.72</v>
      </c>
      <c r="G126" s="3" t="n">
        <v>1.08</v>
      </c>
      <c r="H126" s="3">
        <f>F126*G126</f>
        <v/>
      </c>
    </row>
    <row r="127">
      <c r="A127" s="2" t="n">
        <v>123</v>
      </c>
      <c r="B127" s="2" t="inlineStr">
        <is>
          <t>VL_123</t>
        </is>
      </c>
      <c r="C127" s="2" t="inlineStr">
        <is>
          <t>NH4NO3</t>
        </is>
      </c>
      <c r="D127" s="2" t="inlineStr">
        <is>
          <t>gam</t>
        </is>
      </c>
      <c r="E127" s="2" t="inlineStr">
        <is>
          <t>hoa_chat</t>
        </is>
      </c>
      <c r="F127" s="2" t="n">
        <v>1000</v>
      </c>
      <c r="G127" s="2" t="n">
        <v>1.08</v>
      </c>
      <c r="H127" s="2">
        <f>F127*G127</f>
        <v/>
      </c>
    </row>
    <row r="128">
      <c r="A128" s="3" t="n">
        <v>124</v>
      </c>
      <c r="B128" s="3" t="inlineStr">
        <is>
          <t>VL_124</t>
        </is>
      </c>
      <c r="C128" s="3" t="inlineStr">
        <is>
          <t>NH4OCl</t>
        </is>
      </c>
      <c r="D128" s="3" t="inlineStr">
        <is>
          <t>gam</t>
        </is>
      </c>
      <c r="E128" s="3" t="inlineStr">
        <is>
          <t>hoa_chat</t>
        </is>
      </c>
      <c r="F128" s="3" t="n">
        <v>36</v>
      </c>
      <c r="G128" s="3" t="n">
        <v>1.08</v>
      </c>
      <c r="H128" s="3">
        <f>F128*G128</f>
        <v/>
      </c>
    </row>
    <row r="129">
      <c r="A129" s="2" t="n">
        <v>125</v>
      </c>
      <c r="B129" s="2" t="inlineStr">
        <is>
          <t>VL_125</t>
        </is>
      </c>
      <c r="C129" s="2" t="inlineStr">
        <is>
          <t>Na2CO3</t>
        </is>
      </c>
      <c r="D129" s="2" t="inlineStr">
        <is>
          <t>Gram</t>
        </is>
      </c>
      <c r="E129" s="2" t="inlineStr">
        <is>
          <t>hoa_chat</t>
        </is>
      </c>
      <c r="F129" s="2" t="n">
        <v>24</v>
      </c>
      <c r="G129" s="2" t="n">
        <v>1.08</v>
      </c>
      <c r="H129" s="2">
        <f>F129*G129</f>
        <v/>
      </c>
    </row>
    <row r="130">
      <c r="A130" s="3" t="n">
        <v>126</v>
      </c>
      <c r="B130" s="3" t="inlineStr">
        <is>
          <t>VL_126</t>
        </is>
      </c>
      <c r="C130" s="3" t="inlineStr">
        <is>
          <t>Na2CO3</t>
        </is>
      </c>
      <c r="D130" s="3" t="inlineStr">
        <is>
          <t>gam</t>
        </is>
      </c>
      <c r="E130" s="3" t="inlineStr">
        <is>
          <t>hoa_chat</t>
        </is>
      </c>
      <c r="F130" s="3" t="n">
        <v>0.72</v>
      </c>
      <c r="G130" s="3" t="n">
        <v>1.08</v>
      </c>
      <c r="H130" s="3">
        <f>F130*G130</f>
        <v/>
      </c>
    </row>
    <row r="131">
      <c r="A131" s="2" t="n">
        <v>127</v>
      </c>
      <c r="B131" s="2" t="inlineStr">
        <is>
          <t>VL_127</t>
        </is>
      </c>
      <c r="C131" s="2" t="inlineStr">
        <is>
          <t>Na2HPO4</t>
        </is>
      </c>
      <c r="D131" s="2" t="inlineStr">
        <is>
          <t>gam</t>
        </is>
      </c>
      <c r="E131" s="2" t="inlineStr">
        <is>
          <t>hoa_chat</t>
        </is>
      </c>
      <c r="F131" s="2" t="n">
        <v>1.68</v>
      </c>
      <c r="G131" s="2" t="n">
        <v>1.08</v>
      </c>
      <c r="H131" s="2">
        <f>F131*G131</f>
        <v/>
      </c>
    </row>
    <row r="132">
      <c r="A132" s="3" t="n">
        <v>128</v>
      </c>
      <c r="B132" s="3" t="inlineStr">
        <is>
          <t>VL_128</t>
        </is>
      </c>
      <c r="C132" s="3" t="inlineStr">
        <is>
          <t>Na2S.9H2O</t>
        </is>
      </c>
      <c r="D132" s="3" t="inlineStr">
        <is>
          <t>gam</t>
        </is>
      </c>
      <c r="E132" s="3" t="inlineStr">
        <is>
          <t>hoa_chat</t>
        </is>
      </c>
      <c r="F132" s="3" t="n">
        <v>1.2</v>
      </c>
      <c r="G132" s="3" t="n">
        <v>1.08</v>
      </c>
      <c r="H132" s="3">
        <f>F132*G132</f>
        <v/>
      </c>
    </row>
    <row r="133">
      <c r="A133" s="2" t="n">
        <v>129</v>
      </c>
      <c r="B133" s="2" t="inlineStr">
        <is>
          <t>VL_129</t>
        </is>
      </c>
      <c r="C133" s="2" t="inlineStr">
        <is>
          <t>Na2S2O3</t>
        </is>
      </c>
      <c r="D133" s="2" t="inlineStr">
        <is>
          <t>gam</t>
        </is>
      </c>
      <c r="E133" s="2" t="inlineStr">
        <is>
          <t>hoa_chat</t>
        </is>
      </c>
      <c r="F133" s="2" t="n">
        <v>25.6</v>
      </c>
      <c r="G133" s="2" t="n">
        <v>1.08</v>
      </c>
      <c r="H133" s="2">
        <f>F133*G133</f>
        <v/>
      </c>
    </row>
    <row r="134">
      <c r="A134" s="3" t="n">
        <v>130</v>
      </c>
      <c r="B134" s="3" t="inlineStr">
        <is>
          <t>VL_130</t>
        </is>
      </c>
      <c r="C134" s="3" t="inlineStr">
        <is>
          <t>Na2S2O5 0,1N</t>
        </is>
      </c>
      <c r="D134" s="3" t="inlineStr">
        <is>
          <t>ống</t>
        </is>
      </c>
      <c r="E134" s="3" t="inlineStr">
        <is>
          <t>hoa_chat</t>
        </is>
      </c>
      <c r="F134" s="3" t="n">
        <v>14</v>
      </c>
      <c r="G134" s="3" t="n">
        <v>1.08</v>
      </c>
      <c r="H134" s="3">
        <f>F134*G134</f>
        <v/>
      </c>
    </row>
    <row r="135">
      <c r="A135" s="2" t="n">
        <v>131</v>
      </c>
      <c r="B135" s="2" t="inlineStr">
        <is>
          <t>VL_131</t>
        </is>
      </c>
      <c r="C135" s="2" t="inlineStr">
        <is>
          <t>Na2SO3</t>
        </is>
      </c>
      <c r="D135" s="2" t="inlineStr">
        <is>
          <t>gam</t>
        </is>
      </c>
      <c r="E135" s="2" t="inlineStr">
        <is>
          <t>hoa_chat</t>
        </is>
      </c>
      <c r="F135" s="2" t="n">
        <v>11.2</v>
      </c>
      <c r="G135" s="2" t="n">
        <v>1.08</v>
      </c>
      <c r="H135" s="2">
        <f>F135*G135</f>
        <v/>
      </c>
    </row>
    <row r="136">
      <c r="A136" s="3" t="n">
        <v>132</v>
      </c>
      <c r="B136" s="3" t="inlineStr">
        <is>
          <t>VL_132</t>
        </is>
      </c>
      <c r="C136" s="3" t="inlineStr">
        <is>
          <t>Na2SO4</t>
        </is>
      </c>
      <c r="D136" s="3" t="inlineStr">
        <is>
          <t>gam</t>
        </is>
      </c>
      <c r="E136" s="3" t="inlineStr">
        <is>
          <t>hoa_chat</t>
        </is>
      </c>
      <c r="F136" s="3" t="n">
        <v>560</v>
      </c>
      <c r="G136" s="3" t="n">
        <v>1.08</v>
      </c>
      <c r="H136" s="3">
        <f>F136*G136</f>
        <v/>
      </c>
    </row>
    <row r="137">
      <c r="A137" s="2" t="n">
        <v>133</v>
      </c>
      <c r="B137" s="2" t="inlineStr">
        <is>
          <t>VL_133</t>
        </is>
      </c>
      <c r="C137" s="2" t="inlineStr">
        <is>
          <t>Na2[Fe(CN)5.NO].2H2O</t>
        </is>
      </c>
      <c r="D137" s="2" t="inlineStr">
        <is>
          <t>gam</t>
        </is>
      </c>
      <c r="E137" s="2" t="inlineStr">
        <is>
          <t>hoa_chat</t>
        </is>
      </c>
      <c r="F137" s="2" t="n">
        <v>1.6</v>
      </c>
      <c r="G137" s="2" t="n">
        <v>1.08</v>
      </c>
      <c r="H137" s="2">
        <f>F137*G137</f>
        <v/>
      </c>
    </row>
    <row r="138">
      <c r="A138" s="3" t="n">
        <v>134</v>
      </c>
      <c r="B138" s="3" t="inlineStr">
        <is>
          <t>VL_134</t>
        </is>
      </c>
      <c r="C138" s="3" t="inlineStr">
        <is>
          <t>Na3C6H5O7.2H2O</t>
        </is>
      </c>
      <c r="D138" s="3" t="inlineStr">
        <is>
          <t>gam</t>
        </is>
      </c>
      <c r="E138" s="3" t="inlineStr">
        <is>
          <t>hoa_chat</t>
        </is>
      </c>
      <c r="F138" s="3" t="n">
        <v>8</v>
      </c>
      <c r="G138" s="3" t="n">
        <v>1.08</v>
      </c>
      <c r="H138" s="3">
        <f>F138*G138</f>
        <v/>
      </c>
    </row>
    <row r="139">
      <c r="A139" s="2" t="n">
        <v>135</v>
      </c>
      <c r="B139" s="2" t="inlineStr">
        <is>
          <t>VL_135</t>
        </is>
      </c>
      <c r="C139" s="2" t="inlineStr">
        <is>
          <t>NaAsO2</t>
        </is>
      </c>
      <c r="D139" s="2" t="inlineStr">
        <is>
          <t>gam</t>
        </is>
      </c>
      <c r="E139" s="2" t="inlineStr">
        <is>
          <t>hoa_chat</t>
        </is>
      </c>
      <c r="F139" s="2" t="n">
        <v>10</v>
      </c>
      <c r="G139" s="2" t="n">
        <v>1.08</v>
      </c>
      <c r="H139" s="2">
        <f>F139*G139</f>
        <v/>
      </c>
    </row>
    <row r="140">
      <c r="A140" s="3" t="n">
        <v>136</v>
      </c>
      <c r="B140" s="3" t="inlineStr">
        <is>
          <t>VL_136</t>
        </is>
      </c>
      <c r="C140" s="3" t="inlineStr">
        <is>
          <t>NaBH4</t>
        </is>
      </c>
      <c r="D140" s="3" t="inlineStr">
        <is>
          <t>gam</t>
        </is>
      </c>
      <c r="E140" s="3" t="inlineStr">
        <is>
          <t>hoa_chat</t>
        </is>
      </c>
      <c r="F140" s="3" t="n">
        <v>2.4</v>
      </c>
      <c r="G140" s="3" t="n">
        <v>1.08</v>
      </c>
      <c r="H140" s="3">
        <f>F140*G140</f>
        <v/>
      </c>
    </row>
    <row r="141">
      <c r="A141" s="2" t="n">
        <v>137</v>
      </c>
      <c r="B141" s="2" t="inlineStr">
        <is>
          <t>VL_137</t>
        </is>
      </c>
      <c r="C141" s="2" t="inlineStr">
        <is>
          <t>NaC7H5NaO3</t>
        </is>
      </c>
      <c r="D141" s="2" t="inlineStr">
        <is>
          <t>gam</t>
        </is>
      </c>
      <c r="E141" s="2" t="inlineStr">
        <is>
          <t>hoa_chat</t>
        </is>
      </c>
      <c r="F141" s="2" t="n">
        <v>20</v>
      </c>
      <c r="G141" s="2" t="n">
        <v>1.08</v>
      </c>
      <c r="H141" s="2">
        <f>F141*G141</f>
        <v/>
      </c>
    </row>
    <row r="142">
      <c r="A142" s="3" t="n">
        <v>138</v>
      </c>
      <c r="B142" s="3" t="inlineStr">
        <is>
          <t>VL_138</t>
        </is>
      </c>
      <c r="C142" s="3" t="inlineStr">
        <is>
          <t>NaCH3COO</t>
        </is>
      </c>
      <c r="D142" s="3" t="inlineStr">
        <is>
          <t>gam</t>
        </is>
      </c>
      <c r="E142" s="3" t="inlineStr">
        <is>
          <t>hoa_chat</t>
        </is>
      </c>
      <c r="F142" s="3" t="n">
        <v>0.6</v>
      </c>
      <c r="G142" s="3" t="n">
        <v>1.08</v>
      </c>
      <c r="H142" s="3">
        <f>F142*G142</f>
        <v/>
      </c>
    </row>
    <row r="143">
      <c r="A143" s="2" t="n">
        <v>139</v>
      </c>
      <c r="B143" s="2" t="inlineStr">
        <is>
          <t>VL_139</t>
        </is>
      </c>
      <c r="C143" s="2" t="inlineStr">
        <is>
          <t>NaCN</t>
        </is>
      </c>
      <c r="D143" s="2" t="inlineStr">
        <is>
          <t>Gram</t>
        </is>
      </c>
      <c r="E143" s="2" t="inlineStr">
        <is>
          <t>hoa_chat</t>
        </is>
      </c>
      <c r="F143" s="2" t="n">
        <v>18</v>
      </c>
      <c r="G143" s="2" t="n">
        <v>1.08</v>
      </c>
      <c r="H143" s="2">
        <f>F143*G143</f>
        <v/>
      </c>
    </row>
    <row r="144">
      <c r="A144" s="3" t="n">
        <v>140</v>
      </c>
      <c r="B144" s="3" t="inlineStr">
        <is>
          <t>VL_140</t>
        </is>
      </c>
      <c r="C144" s="3" t="inlineStr">
        <is>
          <t>NaClO</t>
        </is>
      </c>
      <c r="D144" s="3" t="inlineStr">
        <is>
          <t>ml</t>
        </is>
      </c>
      <c r="E144" s="3" t="inlineStr">
        <is>
          <t>hoa_chat</t>
        </is>
      </c>
      <c r="F144" s="3" t="n">
        <v>28</v>
      </c>
      <c r="G144" s="3" t="n">
        <v>1.08</v>
      </c>
      <c r="H144" s="3">
        <f>F144*G144</f>
        <v/>
      </c>
    </row>
    <row r="145">
      <c r="A145" s="2" t="n">
        <v>141</v>
      </c>
      <c r="B145" s="2" t="inlineStr">
        <is>
          <t>VL_141</t>
        </is>
      </c>
      <c r="C145" s="2" t="inlineStr">
        <is>
          <t>NaCl</t>
        </is>
      </c>
      <c r="D145" s="2" t="inlineStr">
        <is>
          <t>gam</t>
        </is>
      </c>
      <c r="E145" s="2" t="inlineStr">
        <is>
          <t>hoa_chat</t>
        </is>
      </c>
      <c r="F145" s="2" t="n">
        <v>108</v>
      </c>
      <c r="G145" s="2" t="n">
        <v>1.08</v>
      </c>
      <c r="H145" s="2">
        <f>F145*G145</f>
        <v/>
      </c>
    </row>
    <row r="146">
      <c r="A146" s="3" t="n">
        <v>142</v>
      </c>
      <c r="B146" s="3" t="inlineStr">
        <is>
          <t>VL_142</t>
        </is>
      </c>
      <c r="C146" s="3" t="inlineStr">
        <is>
          <t>NaOH</t>
        </is>
      </c>
      <c r="D146" s="3" t="inlineStr">
        <is>
          <t>Gram</t>
        </is>
      </c>
      <c r="E146" s="3" t="inlineStr">
        <is>
          <t>hoa_chat</t>
        </is>
      </c>
      <c r="F146" s="3" t="n">
        <v>24</v>
      </c>
      <c r="G146" s="3" t="n">
        <v>1.08</v>
      </c>
      <c r="H146" s="3">
        <f>F146*G146</f>
        <v/>
      </c>
    </row>
    <row r="147">
      <c r="A147" s="2" t="n">
        <v>143</v>
      </c>
      <c r="B147" s="2" t="inlineStr">
        <is>
          <t>VL_143</t>
        </is>
      </c>
      <c r="C147" s="2" t="inlineStr">
        <is>
          <t>NaOH</t>
        </is>
      </c>
      <c r="D147" s="2" t="inlineStr">
        <is>
          <t>gam</t>
        </is>
      </c>
      <c r="E147" s="2" t="inlineStr">
        <is>
          <t>hoa_chat</t>
        </is>
      </c>
      <c r="F147" s="2" t="n">
        <v>3354.8</v>
      </c>
      <c r="G147" s="2" t="n">
        <v>1.08</v>
      </c>
      <c r="H147" s="2">
        <f>F147*G147</f>
        <v/>
      </c>
    </row>
    <row r="148">
      <c r="A148" s="3" t="n">
        <v>144</v>
      </c>
      <c r="B148" s="3" t="inlineStr">
        <is>
          <t>VL_144</t>
        </is>
      </c>
      <c r="C148" s="3" t="inlineStr">
        <is>
          <t>Natri tetracloromercurat</t>
        </is>
      </c>
      <c r="D148" s="3" t="inlineStr">
        <is>
          <t>gam</t>
        </is>
      </c>
      <c r="E148" s="3" t="inlineStr">
        <is>
          <t>hoa_chat</t>
        </is>
      </c>
      <c r="F148" s="3" t="n">
        <v>4.8</v>
      </c>
      <c r="G148" s="3" t="n">
        <v>1.08</v>
      </c>
      <c r="H148" s="3">
        <f>F148*G148</f>
        <v/>
      </c>
    </row>
    <row r="149">
      <c r="A149" s="2" t="n">
        <v>145</v>
      </c>
      <c r="B149" s="2" t="inlineStr">
        <is>
          <t>VL_145</t>
        </is>
      </c>
      <c r="C149" s="2" t="inlineStr">
        <is>
          <t>Nước cất</t>
        </is>
      </c>
      <c r="D149" s="2" t="inlineStr">
        <is>
          <t>lít</t>
        </is>
      </c>
      <c r="E149" s="2" t="inlineStr">
        <is>
          <t>thong_dung</t>
        </is>
      </c>
      <c r="F149" s="2" t="n">
        <v>11.2</v>
      </c>
      <c r="G149" s="2" t="n">
        <v>1.08</v>
      </c>
      <c r="H149" s="2">
        <f>F149*G149</f>
        <v/>
      </c>
    </row>
    <row r="150">
      <c r="A150" s="3" t="n">
        <v>146</v>
      </c>
      <c r="B150" s="3" t="inlineStr">
        <is>
          <t>VL_146</t>
        </is>
      </c>
      <c r="C150" s="3" t="inlineStr">
        <is>
          <t>Nước rửa dụng cụ</t>
        </is>
      </c>
      <c r="D150" s="3" t="inlineStr">
        <is>
          <t>Lít</t>
        </is>
      </c>
      <c r="E150" s="3" t="inlineStr">
        <is>
          <t>hoa_chat</t>
        </is>
      </c>
      <c r="F150" s="3" t="n">
        <v>40</v>
      </c>
      <c r="G150" s="3" t="n">
        <v>1.08</v>
      </c>
      <c r="H150" s="3">
        <f>F150*G150</f>
        <v/>
      </c>
    </row>
    <row r="151">
      <c r="A151" s="2" t="n">
        <v>147</v>
      </c>
      <c r="B151" s="2" t="inlineStr">
        <is>
          <t>VL_147</t>
        </is>
      </c>
      <c r="C151" s="2" t="inlineStr">
        <is>
          <t>Nước rửa dụng cụ</t>
        </is>
      </c>
      <c r="D151" s="2" t="inlineStr">
        <is>
          <t>lít</t>
        </is>
      </c>
      <c r="E151" s="2" t="inlineStr">
        <is>
          <t>hoa_chat</t>
        </is>
      </c>
      <c r="F151" s="2" t="n">
        <v>111.1</v>
      </c>
      <c r="G151" s="2" t="n">
        <v>1.08</v>
      </c>
      <c r="H151" s="2">
        <f>F151*G151</f>
        <v/>
      </c>
    </row>
    <row r="152">
      <c r="A152" s="3" t="n">
        <v>148</v>
      </c>
      <c r="B152" s="3" t="inlineStr">
        <is>
          <t>VL_148</t>
        </is>
      </c>
      <c r="C152" s="3" t="inlineStr">
        <is>
          <t>Nước rửa đầu đo</t>
        </is>
      </c>
      <c r="D152" s="3" t="inlineStr">
        <is>
          <t>lít</t>
        </is>
      </c>
      <c r="E152" s="3" t="inlineStr">
        <is>
          <t>hoa_chat</t>
        </is>
      </c>
      <c r="F152" s="3" t="n">
        <v>41.1</v>
      </c>
      <c r="G152" s="3" t="n">
        <v>1.08</v>
      </c>
      <c r="H152" s="3">
        <f>F152*G152</f>
        <v/>
      </c>
    </row>
    <row r="153">
      <c r="A153" s="2" t="n">
        <v>149</v>
      </c>
      <c r="B153" s="2" t="inlineStr">
        <is>
          <t>VL_149</t>
        </is>
      </c>
      <c r="C153" s="2" t="inlineStr">
        <is>
          <t>Pararosanilin</t>
        </is>
      </c>
      <c r="D153" s="2" t="inlineStr">
        <is>
          <t>gam</t>
        </is>
      </c>
      <c r="E153" s="2" t="inlineStr">
        <is>
          <t>hoa_chat</t>
        </is>
      </c>
      <c r="F153" s="2" t="n">
        <v>4.48</v>
      </c>
      <c r="G153" s="2" t="n">
        <v>1.08</v>
      </c>
      <c r="H153" s="2">
        <f>F153*G153</f>
        <v/>
      </c>
    </row>
    <row r="154">
      <c r="A154" s="3" t="n">
        <v>150</v>
      </c>
      <c r="B154" s="3" t="inlineStr">
        <is>
          <t>VL_150</t>
        </is>
      </c>
      <c r="C154" s="3" t="inlineStr">
        <is>
          <t>Phenolphtalein</t>
        </is>
      </c>
      <c r="D154" s="3" t="inlineStr">
        <is>
          <t>gam</t>
        </is>
      </c>
      <c r="E154" s="3" t="inlineStr">
        <is>
          <t>hoa_chat</t>
        </is>
      </c>
      <c r="F154" s="3" t="n">
        <v>0.8</v>
      </c>
      <c r="G154" s="3" t="n">
        <v>1.08</v>
      </c>
      <c r="H154" s="3">
        <f>F154*G154</f>
        <v/>
      </c>
    </row>
    <row r="155">
      <c r="A155" s="2" t="n">
        <v>151</v>
      </c>
      <c r="B155" s="2" t="inlineStr">
        <is>
          <t>VL_151</t>
        </is>
      </c>
      <c r="C155" s="2" t="inlineStr">
        <is>
          <t>Pin chuyên dụng</t>
        </is>
      </c>
      <c r="D155" s="2" t="inlineStr">
        <is>
          <t>cục</t>
        </is>
      </c>
      <c r="E155" s="2" t="inlineStr">
        <is>
          <t>thong_dung</t>
        </is>
      </c>
      <c r="F155" s="2" t="n">
        <v>366.11</v>
      </c>
      <c r="G155" s="2" t="n">
        <v>1.08</v>
      </c>
      <c r="H155" s="2">
        <f>F155*G155</f>
        <v/>
      </c>
    </row>
    <row r="156">
      <c r="A156" s="3" t="n">
        <v>152</v>
      </c>
      <c r="B156" s="3" t="inlineStr">
        <is>
          <t>VL_152</t>
        </is>
      </c>
      <c r="C156" s="3" t="inlineStr">
        <is>
          <t>Polyseed</t>
        </is>
      </c>
      <c r="D156" s="3" t="inlineStr">
        <is>
          <t>Viên</t>
        </is>
      </c>
      <c r="E156" s="3" t="inlineStr">
        <is>
          <t>thong_dung</t>
        </is>
      </c>
      <c r="F156" s="3" t="n">
        <v>2.4</v>
      </c>
      <c r="G156" s="3" t="n">
        <v>1.08</v>
      </c>
      <c r="H156" s="3">
        <f>F156*G156</f>
        <v/>
      </c>
    </row>
    <row r="157">
      <c r="A157" s="2" t="n">
        <v>153</v>
      </c>
      <c r="B157" s="2" t="inlineStr">
        <is>
          <t>VL_153</t>
        </is>
      </c>
      <c r="C157" s="2" t="inlineStr">
        <is>
          <t>SPADNS (C16H9O11N2S3Na3)</t>
        </is>
      </c>
      <c r="D157" s="2" t="inlineStr">
        <is>
          <t>gam</t>
        </is>
      </c>
      <c r="E157" s="2" t="inlineStr">
        <is>
          <t>hoa_chat</t>
        </is>
      </c>
      <c r="F157" s="2" t="n">
        <v>4</v>
      </c>
      <c r="G157" s="2" t="n">
        <v>1.08</v>
      </c>
      <c r="H157" s="2">
        <f>F157*G157</f>
        <v/>
      </c>
    </row>
    <row r="158">
      <c r="A158" s="3" t="n">
        <v>154</v>
      </c>
      <c r="B158" s="3" t="inlineStr">
        <is>
          <t>VL_154</t>
        </is>
      </c>
      <c r="C158" s="3" t="inlineStr">
        <is>
          <t>Silicagel</t>
        </is>
      </c>
      <c r="D158" s="3" t="inlineStr">
        <is>
          <t>gam</t>
        </is>
      </c>
      <c r="E158" s="3" t="inlineStr">
        <is>
          <t>hoa_chat</t>
        </is>
      </c>
      <c r="F158" s="3" t="n">
        <v>3640</v>
      </c>
      <c r="G158" s="3" t="n">
        <v>1.08</v>
      </c>
      <c r="H158" s="3">
        <f>F158*G158</f>
        <v/>
      </c>
    </row>
    <row r="159">
      <c r="A159" s="2" t="n">
        <v>155</v>
      </c>
      <c r="B159" s="2" t="inlineStr">
        <is>
          <t>VL_155</t>
        </is>
      </c>
      <c r="C159" s="2" t="inlineStr">
        <is>
          <t>SnCl2.2H2O</t>
        </is>
      </c>
      <c r="D159" s="2" t="inlineStr">
        <is>
          <t>gam</t>
        </is>
      </c>
      <c r="E159" s="2" t="inlineStr">
        <is>
          <t>hoa_chat</t>
        </is>
      </c>
      <c r="F159" s="2" t="n">
        <v>18</v>
      </c>
      <c r="G159" s="2" t="n">
        <v>1.08</v>
      </c>
      <c r="H159" s="2">
        <f>F159*G159</f>
        <v/>
      </c>
    </row>
    <row r="160">
      <c r="A160" s="3" t="n">
        <v>156</v>
      </c>
      <c r="B160" s="3" t="inlineStr">
        <is>
          <t>VL_156</t>
        </is>
      </c>
      <c r="C160" s="3" t="inlineStr">
        <is>
          <t>Sulfaniamide</t>
        </is>
      </c>
      <c r="D160" s="3" t="inlineStr">
        <is>
          <t>gam</t>
        </is>
      </c>
      <c r="E160" s="3" t="inlineStr">
        <is>
          <t>hoa_chat</t>
        </is>
      </c>
      <c r="F160" s="3" t="n">
        <v>8.800000000000001</v>
      </c>
      <c r="G160" s="3" t="n">
        <v>1.08</v>
      </c>
      <c r="H160" s="3">
        <f>F160*G160</f>
        <v/>
      </c>
    </row>
    <row r="161">
      <c r="A161" s="2" t="n">
        <v>157</v>
      </c>
      <c r="B161" s="2" t="inlineStr">
        <is>
          <t>VL_157</t>
        </is>
      </c>
      <c r="C161" s="2" t="inlineStr">
        <is>
          <t>Sổ công tác</t>
        </is>
      </c>
      <c r="D161" s="2" t="inlineStr">
        <is>
          <t>Cuốn</t>
        </is>
      </c>
      <c r="E161" s="2" t="inlineStr">
        <is>
          <t>thong_dung</t>
        </is>
      </c>
      <c r="F161" s="2" t="n">
        <v>0.08</v>
      </c>
      <c r="G161" s="2" t="n">
        <v>1.08</v>
      </c>
      <c r="H161" s="2">
        <f>F161*G161</f>
        <v/>
      </c>
    </row>
    <row r="162">
      <c r="A162" s="3" t="n">
        <v>158</v>
      </c>
      <c r="B162" s="3" t="inlineStr">
        <is>
          <t>VL_158</t>
        </is>
      </c>
      <c r="C162" s="3" t="inlineStr">
        <is>
          <t>Sổ công tác</t>
        </is>
      </c>
      <c r="D162" s="3" t="inlineStr">
        <is>
          <t>cuốn</t>
        </is>
      </c>
      <c r="E162" s="3" t="inlineStr">
        <is>
          <t>thong_dung</t>
        </is>
      </c>
      <c r="F162" s="3" t="n">
        <v>15.016</v>
      </c>
      <c r="G162" s="3" t="n">
        <v>1.08</v>
      </c>
      <c r="H162" s="3">
        <f>F162*G162</f>
        <v/>
      </c>
    </row>
    <row r="163">
      <c r="A163" s="2" t="n">
        <v>159</v>
      </c>
      <c r="B163" s="2" t="inlineStr">
        <is>
          <t>VL_159</t>
        </is>
      </c>
      <c r="C163" s="2" t="inlineStr">
        <is>
          <t>Than hoạt tính</t>
        </is>
      </c>
      <c r="D163" s="2" t="inlineStr">
        <is>
          <t>kg</t>
        </is>
      </c>
      <c r="E163" s="2" t="inlineStr">
        <is>
          <t>hoa_chat</t>
        </is>
      </c>
      <c r="F163" s="2" t="n">
        <v>0.04</v>
      </c>
      <c r="G163" s="2" t="n">
        <v>1.08</v>
      </c>
      <c r="H163" s="2">
        <f>F163*G163</f>
        <v/>
      </c>
    </row>
    <row r="164">
      <c r="A164" s="3" t="n">
        <v>160</v>
      </c>
      <c r="B164" s="3" t="inlineStr">
        <is>
          <t>VL_160</t>
        </is>
      </c>
      <c r="C164" s="3" t="inlineStr">
        <is>
          <t>Thùng đựng chai lấy mẫu</t>
        </is>
      </c>
      <c r="D164" s="3" t="inlineStr">
        <is>
          <t>Hộp</t>
        </is>
      </c>
      <c r="E164" s="3" t="inlineStr">
        <is>
          <t>thong_dung</t>
        </is>
      </c>
      <c r="F164" s="3" t="n">
        <v>0.036</v>
      </c>
      <c r="G164" s="3" t="n">
        <v>1.08</v>
      </c>
      <c r="H164" s="3">
        <f>F164*G164</f>
        <v/>
      </c>
    </row>
    <row r="165">
      <c r="A165" s="2" t="n">
        <v>161</v>
      </c>
      <c r="B165" s="2" t="inlineStr">
        <is>
          <t>VL_161</t>
        </is>
      </c>
      <c r="C165" s="2" t="inlineStr">
        <is>
          <t>Toluen</t>
        </is>
      </c>
      <c r="D165" s="2" t="inlineStr">
        <is>
          <t>Lít</t>
        </is>
      </c>
      <c r="E165" s="2" t="inlineStr">
        <is>
          <t>hoa_chat</t>
        </is>
      </c>
      <c r="F165" s="2" t="n">
        <v>1.08</v>
      </c>
      <c r="G165" s="2" t="n">
        <v>1.08</v>
      </c>
      <c r="H165" s="2">
        <f>F165*G165</f>
        <v/>
      </c>
    </row>
    <row r="166">
      <c r="A166" s="3" t="n">
        <v>162</v>
      </c>
      <c r="B166" s="3" t="inlineStr">
        <is>
          <t>VL_162</t>
        </is>
      </c>
      <c r="C166" s="3" t="inlineStr">
        <is>
          <t>Túi nilon</t>
        </is>
      </c>
      <c r="D166" s="3" t="inlineStr">
        <is>
          <t>cái</t>
        </is>
      </c>
      <c r="E166" s="3" t="inlineStr">
        <is>
          <t>thong_dung</t>
        </is>
      </c>
      <c r="F166" s="3" t="n">
        <v>41.02</v>
      </c>
      <c r="G166" s="3" t="n">
        <v>1.08</v>
      </c>
      <c r="H166" s="3">
        <f>F166*G166</f>
        <v/>
      </c>
    </row>
    <row r="167">
      <c r="A167" s="2" t="n">
        <v>163</v>
      </c>
      <c r="B167" s="2" t="inlineStr">
        <is>
          <t>VL_163</t>
        </is>
      </c>
      <c r="C167" s="2" t="inlineStr">
        <is>
          <t>Xenlulo</t>
        </is>
      </c>
      <c r="D167" s="2" t="inlineStr">
        <is>
          <t>gam</t>
        </is>
      </c>
      <c r="E167" s="2" t="inlineStr">
        <is>
          <t>hoa_chat</t>
        </is>
      </c>
      <c r="F167" s="2" t="n">
        <v>0.36</v>
      </c>
      <c r="G167" s="2" t="n">
        <v>1.08</v>
      </c>
      <c r="H167" s="2">
        <f>F167*G167</f>
        <v/>
      </c>
    </row>
    <row r="168">
      <c r="A168" s="3" t="n">
        <v>164</v>
      </c>
      <c r="B168" s="3" t="inlineStr">
        <is>
          <t>VL_164</t>
        </is>
      </c>
      <c r="C168" s="3" t="inlineStr">
        <is>
          <t>Zn(CH3COO)2</t>
        </is>
      </c>
      <c r="D168" s="3" t="inlineStr">
        <is>
          <t>gam</t>
        </is>
      </c>
      <c r="E168" s="3" t="inlineStr">
        <is>
          <t>hoa_chat</t>
        </is>
      </c>
      <c r="F168" s="3" t="n">
        <v>24</v>
      </c>
      <c r="G168" s="3" t="n">
        <v>1.08</v>
      </c>
      <c r="H168" s="3">
        <f>F168*G168</f>
        <v/>
      </c>
    </row>
    <row r="169">
      <c r="A169" s="2" t="n">
        <v>165</v>
      </c>
      <c r="B169" s="2" t="inlineStr">
        <is>
          <t>VL_165</t>
        </is>
      </c>
      <c r="C169" s="2" t="inlineStr">
        <is>
          <t>ZrOCl2.8.H2O</t>
        </is>
      </c>
      <c r="D169" s="2" t="inlineStr">
        <is>
          <t>gam</t>
        </is>
      </c>
      <c r="E169" s="2" t="inlineStr">
        <is>
          <t>hoa_chat</t>
        </is>
      </c>
      <c r="F169" s="2" t="n">
        <v>2</v>
      </c>
      <c r="G169" s="2" t="n">
        <v>1.08</v>
      </c>
      <c r="H169" s="2">
        <f>F169*G169</f>
        <v/>
      </c>
    </row>
    <row r="170">
      <c r="A170" s="3" t="n">
        <v>166</v>
      </c>
      <c r="B170" s="3" t="inlineStr">
        <is>
          <t>VL_166</t>
        </is>
      </c>
      <c r="C170" s="3" t="inlineStr">
        <is>
          <t>hộp</t>
        </is>
      </c>
      <c r="D170" s="3" t="inlineStr">
        <is>
          <t>0,010</t>
        </is>
      </c>
      <c r="E170" s="3" t="inlineStr">
        <is>
          <t>thong_dung</t>
        </is>
      </c>
      <c r="F170" s="3" t="n">
        <v>0</v>
      </c>
      <c r="G170" s="3" t="n">
        <v>1.08</v>
      </c>
      <c r="H170" s="3">
        <f>F170*G170</f>
        <v/>
      </c>
    </row>
    <row r="171">
      <c r="A171" s="2" t="n">
        <v>167</v>
      </c>
      <c r="B171" s="2" t="inlineStr">
        <is>
          <t>VL_167</t>
        </is>
      </c>
      <c r="C171" s="2" t="inlineStr">
        <is>
          <t>n-Butanol</t>
        </is>
      </c>
      <c r="D171" s="2" t="inlineStr">
        <is>
          <t>ml</t>
        </is>
      </c>
      <c r="E171" s="2" t="inlineStr">
        <is>
          <t>hoa_chat</t>
        </is>
      </c>
      <c r="F171" s="2" t="n">
        <v>3.36</v>
      </c>
      <c r="G171" s="2" t="n">
        <v>1.08</v>
      </c>
      <c r="H171" s="2">
        <f>F171*G171</f>
        <v/>
      </c>
    </row>
    <row r="172">
      <c r="A172" s="3" t="n">
        <v>168</v>
      </c>
      <c r="B172" s="3" t="inlineStr">
        <is>
          <t>VL_168</t>
        </is>
      </c>
      <c r="C172" s="3" t="inlineStr">
        <is>
          <t>n-Hexan</t>
        </is>
      </c>
      <c r="D172" s="3" t="inlineStr">
        <is>
          <t>Lít</t>
        </is>
      </c>
      <c r="E172" s="3" t="inlineStr">
        <is>
          <t>hoa_chat</t>
        </is>
      </c>
      <c r="F172" s="3" t="n">
        <v>0.18</v>
      </c>
      <c r="G172" s="3" t="n">
        <v>1.08</v>
      </c>
      <c r="H172" s="3">
        <f>F172*G172</f>
        <v/>
      </c>
    </row>
    <row r="173">
      <c r="A173" s="2" t="n">
        <v>169</v>
      </c>
      <c r="B173" s="2" t="inlineStr">
        <is>
          <t>VL_169</t>
        </is>
      </c>
      <c r="C173" s="2" t="inlineStr">
        <is>
          <t>n-Hexan</t>
        </is>
      </c>
      <c r="D173" s="2" t="inlineStr">
        <is>
          <t>ml</t>
        </is>
      </c>
      <c r="E173" s="2" t="inlineStr">
        <is>
          <t>hoa_chat</t>
        </is>
      </c>
      <c r="F173" s="2" t="n">
        <v>840</v>
      </c>
      <c r="G173" s="2" t="n">
        <v>1.08</v>
      </c>
      <c r="H173" s="2">
        <f>F173*G173</f>
        <v/>
      </c>
    </row>
    <row r="174">
      <c r="A174" s="3" t="n">
        <v>170</v>
      </c>
      <c r="B174" s="3" t="inlineStr">
        <is>
          <t>VL_170</t>
        </is>
      </c>
      <c r="C174" s="3" t="inlineStr">
        <is>
          <t>Đá khô</t>
        </is>
      </c>
      <c r="D174" s="3" t="inlineStr">
        <is>
          <t>túi</t>
        </is>
      </c>
      <c r="E174" s="3" t="inlineStr">
        <is>
          <t>thong_dung</t>
        </is>
      </c>
      <c r="F174" s="3" t="n">
        <v>691</v>
      </c>
      <c r="G174" s="3" t="n">
        <v>1.08</v>
      </c>
      <c r="H174" s="3">
        <f>F174*G174</f>
        <v/>
      </c>
    </row>
    <row r="175">
      <c r="A175" s="2" t="n">
        <v>171</v>
      </c>
      <c r="B175" s="2" t="inlineStr">
        <is>
          <t>VL_171</t>
        </is>
      </c>
      <c r="C175" s="2" t="inlineStr">
        <is>
          <t>Đĩa CD</t>
        </is>
      </c>
      <c r="D175" s="2" t="inlineStr">
        <is>
          <t>cái</t>
        </is>
      </c>
      <c r="E175" s="2" t="inlineStr">
        <is>
          <t>thong_dung</t>
        </is>
      </c>
      <c r="F175" s="2" t="n">
        <v>42</v>
      </c>
      <c r="G175" s="2" t="n">
        <v>1.08</v>
      </c>
      <c r="H175" s="2">
        <f>F175*G175</f>
        <v/>
      </c>
    </row>
    <row r="176">
      <c r="A176" s="3" t="n">
        <v>172</v>
      </c>
      <c r="B176" s="3" t="inlineStr">
        <is>
          <t>VL_172</t>
        </is>
      </c>
      <c r="C176" s="3" t="inlineStr">
        <is>
          <t>Ống chuẩn AgNO3 0,1N</t>
        </is>
      </c>
      <c r="D176" s="3" t="inlineStr">
        <is>
          <t>ống</t>
        </is>
      </c>
      <c r="E176" s="3" t="inlineStr">
        <is>
          <t>hoa_chat</t>
        </is>
      </c>
      <c r="F176" s="3" t="n">
        <v>0.24</v>
      </c>
      <c r="G176" s="3" t="n">
        <v>1.08</v>
      </c>
      <c r="H176" s="3">
        <f>F176*G176</f>
        <v/>
      </c>
    </row>
    <row r="177">
      <c r="A177" s="2" t="n">
        <v>173</v>
      </c>
      <c r="B177" s="2" t="inlineStr">
        <is>
          <t>VL_173</t>
        </is>
      </c>
      <c r="C177" s="2" t="inlineStr">
        <is>
          <t>Ống chuẩn K2C2O7 0.1N</t>
        </is>
      </c>
      <c r="D177" s="2" t="inlineStr">
        <is>
          <t>ống</t>
        </is>
      </c>
      <c r="E177" s="2" t="inlineStr">
        <is>
          <t>chuan</t>
        </is>
      </c>
      <c r="F177" s="2" t="n">
        <v>0.4</v>
      </c>
      <c r="G177" s="2" t="n">
        <v>1.08</v>
      </c>
      <c r="H177" s="2">
        <f>F177*G177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11" customWidth="1" min="4" max="4"/>
    <col width="22" customWidth="1" min="5" max="5"/>
    <col width="24" customWidth="1" min="6" max="6"/>
    <col width="15" customWidth="1" min="7" max="7"/>
    <col width="22" customWidth="1" min="8" max="8"/>
  </cols>
  <sheetData>
    <row r="1">
      <c r="A1" t="inlineStr">
        <is>
          <t>BẢNG BÓC TÁCH NHU CẦU DỤNG CỤ ĐO &amp; TRANG BỊ BẢO HỘ LAO ĐỘNG</t>
        </is>
      </c>
    </row>
    <row r="2">
      <c r="A2" t="inlineStr">
        <is>
          <t>(Căn cứ: Khoản 4.2 TT 20/2017/TT-BTNMT; Quy chuẩn 1 tháng = 22 ca; Cộng +10% dụng cụ nhỏ phụ)</t>
        </is>
      </c>
    </row>
    <row r="3"/>
    <row r="4">
      <c r="A4" s="4" t="inlineStr">
        <is>
          <t>STT</t>
        </is>
      </c>
      <c r="B4" s="4" t="inlineStr">
        <is>
          <t>Mã DC</t>
        </is>
      </c>
      <c r="C4" s="4" t="inlineStr">
        <is>
          <t>Tên Dụng Cụ / Thiết Bị BHLĐ</t>
        </is>
      </c>
      <c r="D4" s="4" t="inlineStr">
        <is>
          <t>ĐVT</t>
        </is>
      </c>
      <c r="E4" s="4" t="inlineStr">
        <is>
          <t>Niên Hạn Tm (tháng)</t>
        </is>
      </c>
      <c r="F4" s="4" t="inlineStr">
        <is>
          <t>Số Ca Chuẩn (Tm x 22)</t>
        </is>
      </c>
      <c r="G4" s="4" t="inlineStr">
        <is>
          <t>Hệ Số DC Phụ</t>
        </is>
      </c>
      <c r="H4" s="4" t="inlineStr">
        <is>
          <t>Tổng Số Ca Định Mức</t>
        </is>
      </c>
    </row>
    <row r="5">
      <c r="A5" s="2" t="n">
        <v>1</v>
      </c>
      <c r="B5" s="2" t="inlineStr">
        <is>
          <t>DC_001</t>
        </is>
      </c>
      <c r="C5" s="2" t="inlineStr">
        <is>
          <t>Acqui</t>
        </is>
      </c>
      <c r="D5" s="2" t="inlineStr">
        <is>
          <t>bộ</t>
        </is>
      </c>
      <c r="E5" s="2" t="n">
        <v>12</v>
      </c>
      <c r="F5" s="2" t="n">
        <v>264</v>
      </c>
      <c r="G5" s="2" t="n">
        <v>1.1</v>
      </c>
      <c r="H5" s="2" t="n">
        <v>0.2333</v>
      </c>
    </row>
    <row r="6">
      <c r="A6" s="3" t="n">
        <v>2</v>
      </c>
      <c r="B6" s="3" t="inlineStr">
        <is>
          <t>DC_002</t>
        </is>
      </c>
      <c r="C6" s="3" t="inlineStr">
        <is>
          <t>Buret chuẩn độ</t>
        </is>
      </c>
      <c r="D6" s="3" t="inlineStr">
        <is>
          <t>cái</t>
        </is>
      </c>
      <c r="E6" s="3" t="n">
        <v>12</v>
      </c>
      <c r="F6" s="3" t="n">
        <v>264</v>
      </c>
      <c r="G6" s="3" t="n">
        <v>1.1</v>
      </c>
      <c r="H6" s="3" t="n">
        <v>0.2333</v>
      </c>
    </row>
    <row r="7">
      <c r="A7" s="2" t="n">
        <v>3</v>
      </c>
      <c r="B7" s="2" t="inlineStr">
        <is>
          <t>DC_003</t>
        </is>
      </c>
      <c r="C7" s="2" t="inlineStr">
        <is>
          <t>Burret chuẩn độ tự động</t>
        </is>
      </c>
      <c r="D7" s="2" t="inlineStr">
        <is>
          <t>cái</t>
        </is>
      </c>
      <c r="E7" s="2" t="n">
        <v>12</v>
      </c>
      <c r="F7" s="2" t="n">
        <v>264</v>
      </c>
      <c r="G7" s="2" t="n">
        <v>1.1</v>
      </c>
      <c r="H7" s="2" t="n">
        <v>0.15</v>
      </c>
    </row>
    <row r="8">
      <c r="A8" s="3" t="n">
        <v>4</v>
      </c>
      <c r="B8" s="3" t="inlineStr">
        <is>
          <t>DC_004</t>
        </is>
      </c>
      <c r="C8" s="3" t="inlineStr">
        <is>
          <t>Burret chuẩn độ tự động</t>
        </is>
      </c>
      <c r="D8" s="3" t="inlineStr">
        <is>
          <t>Cái</t>
        </is>
      </c>
      <c r="E8" s="3" t="n">
        <v>12</v>
      </c>
      <c r="F8" s="3" t="n">
        <v>264</v>
      </c>
      <c r="G8" s="3" t="n">
        <v>1.1</v>
      </c>
      <c r="H8" s="3" t="n">
        <v>0.15</v>
      </c>
    </row>
    <row r="9">
      <c r="A9" s="2" t="n">
        <v>5</v>
      </c>
      <c r="B9" s="2" t="inlineStr">
        <is>
          <t>DC_005</t>
        </is>
      </c>
      <c r="C9" s="2" t="inlineStr">
        <is>
          <t>Bàn làm việc</t>
        </is>
      </c>
      <c r="D9" s="2" t="inlineStr">
        <is>
          <t>cái</t>
        </is>
      </c>
      <c r="E9" s="2" t="n">
        <v>72</v>
      </c>
      <c r="F9" s="2" t="n">
        <v>1584</v>
      </c>
      <c r="G9" s="2" t="n">
        <v>1.1</v>
      </c>
      <c r="H9" s="2" t="n">
        <v>0.5722</v>
      </c>
    </row>
    <row r="10">
      <c r="A10" s="3" t="n">
        <v>6</v>
      </c>
      <c r="B10" s="3" t="inlineStr">
        <is>
          <t>DC_006</t>
        </is>
      </c>
      <c r="C10" s="3" t="inlineStr">
        <is>
          <t>Bàn làm việc</t>
        </is>
      </c>
      <c r="D10" s="3" t="inlineStr">
        <is>
          <t>Cái</t>
        </is>
      </c>
      <c r="E10" s="3" t="n">
        <v>72</v>
      </c>
      <c r="F10" s="3" t="n">
        <v>1584</v>
      </c>
      <c r="G10" s="3" t="n">
        <v>1.1</v>
      </c>
      <c r="H10" s="3" t="n">
        <v>0.025</v>
      </c>
    </row>
    <row r="11">
      <c r="A11" s="2" t="n">
        <v>7</v>
      </c>
      <c r="B11" s="2" t="inlineStr">
        <is>
          <t>DC_007</t>
        </is>
      </c>
      <c r="C11" s="2" t="inlineStr">
        <is>
          <t>Bàn làm việc</t>
        </is>
      </c>
      <c r="D11" s="2" t="inlineStr">
        <is>
          <t>đôi</t>
        </is>
      </c>
      <c r="E11" s="2" t="n">
        <v>72</v>
      </c>
      <c r="F11" s="2" t="n">
        <v>1584</v>
      </c>
      <c r="G11" s="2" t="n">
        <v>1.1</v>
      </c>
      <c r="H11" s="2" t="n">
        <v>0.0083</v>
      </c>
    </row>
    <row r="12">
      <c r="A12" s="3" t="n">
        <v>8</v>
      </c>
      <c r="B12" s="3" t="inlineStr">
        <is>
          <t>DC_008</t>
        </is>
      </c>
      <c r="C12" s="3" t="inlineStr">
        <is>
          <t>Bình chưng cất</t>
        </is>
      </c>
      <c r="D12" s="3" t="inlineStr">
        <is>
          <t>cái</t>
        </is>
      </c>
      <c r="E12" s="3" t="n">
        <v>6</v>
      </c>
      <c r="F12" s="3" t="n">
        <v>132</v>
      </c>
      <c r="G12" s="3" t="n">
        <v>1.1</v>
      </c>
      <c r="H12" s="3" t="n">
        <v>0.3333</v>
      </c>
    </row>
    <row r="13">
      <c r="A13" s="2" t="n">
        <v>9</v>
      </c>
      <c r="B13" s="2" t="inlineStr">
        <is>
          <t>DC_009</t>
        </is>
      </c>
      <c r="C13" s="2" t="inlineStr">
        <is>
          <t>Bình nhỏ giọt</t>
        </is>
      </c>
      <c r="D13" s="2" t="inlineStr">
        <is>
          <t>cái</t>
        </is>
      </c>
      <c r="E13" s="2" t="n">
        <v>1</v>
      </c>
      <c r="F13" s="2" t="n">
        <v>22</v>
      </c>
      <c r="G13" s="2" t="n">
        <v>1.1</v>
      </c>
      <c r="H13" s="2" t="n">
        <v>1.8</v>
      </c>
    </row>
    <row r="14">
      <c r="A14" s="3" t="n">
        <v>10</v>
      </c>
      <c r="B14" s="3" t="inlineStr">
        <is>
          <t>DC_010</t>
        </is>
      </c>
      <c r="C14" s="3" t="inlineStr">
        <is>
          <t>Bình nhựa 0,5 lít</t>
        </is>
      </c>
      <c r="D14" s="3" t="inlineStr">
        <is>
          <t>cái</t>
        </is>
      </c>
      <c r="E14" s="3" t="n">
        <v>6</v>
      </c>
      <c r="F14" s="3" t="n">
        <v>132</v>
      </c>
      <c r="G14" s="3" t="n">
        <v>1.1</v>
      </c>
      <c r="H14" s="3" t="n">
        <v>2.9</v>
      </c>
    </row>
    <row r="15">
      <c r="A15" s="2" t="n">
        <v>11</v>
      </c>
      <c r="B15" s="2" t="inlineStr">
        <is>
          <t>DC_011</t>
        </is>
      </c>
      <c r="C15" s="2" t="inlineStr">
        <is>
          <t>Bình nhựa 2 lít</t>
        </is>
      </c>
      <c r="D15" s="2" t="inlineStr">
        <is>
          <t>cái</t>
        </is>
      </c>
      <c r="E15" s="2" t="n">
        <v>6</v>
      </c>
      <c r="F15" s="2" t="n">
        <v>132</v>
      </c>
      <c r="G15" s="2" t="n">
        <v>1.1</v>
      </c>
      <c r="H15" s="2" t="n">
        <v>5.6333</v>
      </c>
    </row>
    <row r="16">
      <c r="A16" s="3" t="n">
        <v>12</v>
      </c>
      <c r="B16" s="3" t="inlineStr">
        <is>
          <t>DC_012</t>
        </is>
      </c>
      <c r="C16" s="3" t="inlineStr">
        <is>
          <t>Bình nhựa 2 lít</t>
        </is>
      </c>
      <c r="D16" s="3" t="inlineStr">
        <is>
          <t>Cái</t>
        </is>
      </c>
      <c r="E16" s="3" t="n">
        <v>6</v>
      </c>
      <c r="F16" s="3" t="n">
        <v>132</v>
      </c>
      <c r="G16" s="3" t="n">
        <v>1.1</v>
      </c>
      <c r="H16" s="3" t="n">
        <v>0.3</v>
      </c>
    </row>
    <row r="17">
      <c r="A17" s="2" t="n">
        <v>13</v>
      </c>
      <c r="B17" s="2" t="inlineStr">
        <is>
          <t>DC_013</t>
        </is>
      </c>
      <c r="C17" s="2" t="inlineStr">
        <is>
          <t>Bình nhựa 5 lít</t>
        </is>
      </c>
      <c r="D17" s="2" t="inlineStr">
        <is>
          <t>cái</t>
        </is>
      </c>
      <c r="E17" s="2" t="n">
        <v>6</v>
      </c>
      <c r="F17" s="2" t="n">
        <v>132</v>
      </c>
      <c r="G17" s="2" t="n">
        <v>1.1</v>
      </c>
      <c r="H17" s="2" t="n">
        <v>4.6667</v>
      </c>
    </row>
    <row r="18">
      <c r="A18" s="3" t="n">
        <v>14</v>
      </c>
      <c r="B18" s="3" t="inlineStr">
        <is>
          <t>DC_014</t>
        </is>
      </c>
      <c r="C18" s="3" t="inlineStr">
        <is>
          <t>Bình nhựa 5 lít</t>
        </is>
      </c>
      <c r="D18" s="3" t="inlineStr">
        <is>
          <t>Cái</t>
        </is>
      </c>
      <c r="E18" s="3" t="n">
        <v>6</v>
      </c>
      <c r="F18" s="3" t="n">
        <v>132</v>
      </c>
      <c r="G18" s="3" t="n">
        <v>1.1</v>
      </c>
      <c r="H18" s="3" t="n">
        <v>0.3</v>
      </c>
    </row>
    <row r="19">
      <c r="A19" s="2" t="n">
        <v>15</v>
      </c>
      <c r="B19" s="2" t="inlineStr">
        <is>
          <t>DC_015</t>
        </is>
      </c>
      <c r="C19" s="2" t="inlineStr">
        <is>
          <t>Bình tam giác</t>
        </is>
      </c>
      <c r="D19" s="2" t="inlineStr">
        <is>
          <t>cái</t>
        </is>
      </c>
      <c r="E19" s="2" t="n">
        <v>6</v>
      </c>
      <c r="F19" s="2" t="n">
        <v>132</v>
      </c>
      <c r="G19" s="2" t="n">
        <v>1.1</v>
      </c>
      <c r="H19" s="2" t="n">
        <v>0.5667</v>
      </c>
    </row>
    <row r="20">
      <c r="A20" s="3" t="n">
        <v>16</v>
      </c>
      <c r="B20" s="3" t="inlineStr">
        <is>
          <t>DC_016</t>
        </is>
      </c>
      <c r="C20" s="3" t="inlineStr">
        <is>
          <t>Bình tam giác 250ml</t>
        </is>
      </c>
      <c r="D20" s="3" t="inlineStr">
        <is>
          <t>cái</t>
        </is>
      </c>
      <c r="E20" s="3" t="n">
        <v>6</v>
      </c>
      <c r="F20" s="3" t="n">
        <v>132</v>
      </c>
      <c r="G20" s="3" t="n">
        <v>1.1</v>
      </c>
      <c r="H20" s="3" t="n">
        <v>4.1333</v>
      </c>
    </row>
    <row r="21">
      <c r="A21" s="2" t="n">
        <v>17</v>
      </c>
      <c r="B21" s="2" t="inlineStr">
        <is>
          <t>DC_017</t>
        </is>
      </c>
      <c r="C21" s="2" t="inlineStr">
        <is>
          <t>Bình tam giác 500ml</t>
        </is>
      </c>
      <c r="D21" s="2" t="inlineStr">
        <is>
          <t>cái</t>
        </is>
      </c>
      <c r="E21" s="2" t="n">
        <v>6</v>
      </c>
      <c r="F21" s="2" t="n">
        <v>132</v>
      </c>
      <c r="G21" s="2" t="n">
        <v>1.1</v>
      </c>
      <c r="H21" s="2" t="n">
        <v>0.3333</v>
      </c>
    </row>
    <row r="22">
      <c r="A22" s="3" t="n">
        <v>18</v>
      </c>
      <c r="B22" s="3" t="inlineStr">
        <is>
          <t>DC_018</t>
        </is>
      </c>
      <c r="C22" s="3" t="inlineStr">
        <is>
          <t>Bình tia</t>
        </is>
      </c>
      <c r="D22" s="3" t="inlineStr">
        <is>
          <t>cái</t>
        </is>
      </c>
      <c r="E22" s="3" t="n">
        <v>6</v>
      </c>
      <c r="F22" s="3" t="n">
        <v>132</v>
      </c>
      <c r="G22" s="3" t="n">
        <v>1.1</v>
      </c>
      <c r="H22" s="3" t="n">
        <v>12.15</v>
      </c>
    </row>
    <row r="23">
      <c r="A23" s="2" t="n">
        <v>19</v>
      </c>
      <c r="B23" s="2" t="inlineStr">
        <is>
          <t>DC_019</t>
        </is>
      </c>
      <c r="C23" s="2" t="inlineStr">
        <is>
          <t>Bình tia</t>
        </is>
      </c>
      <c r="D23" s="2" t="inlineStr">
        <is>
          <t>Cái</t>
        </is>
      </c>
      <c r="E23" s="2" t="n">
        <v>6</v>
      </c>
      <c r="F23" s="2" t="n">
        <v>132</v>
      </c>
      <c r="G23" s="2" t="n">
        <v>1.1</v>
      </c>
      <c r="H23" s="2" t="n">
        <v>0.3</v>
      </c>
    </row>
    <row r="24">
      <c r="A24" s="3" t="n">
        <v>20</v>
      </c>
      <c r="B24" s="3" t="inlineStr">
        <is>
          <t>DC_020</t>
        </is>
      </c>
      <c r="C24" s="3" t="inlineStr">
        <is>
          <t>Bình định mức 1000ml</t>
        </is>
      </c>
      <c r="D24" s="3" t="inlineStr">
        <is>
          <t>cái</t>
        </is>
      </c>
      <c r="E24" s="3" t="n">
        <v>6</v>
      </c>
      <c r="F24" s="3" t="n">
        <v>132</v>
      </c>
      <c r="G24" s="3" t="n">
        <v>1.1</v>
      </c>
      <c r="H24" s="3" t="n">
        <v>4.2667</v>
      </c>
    </row>
    <row r="25">
      <c r="A25" s="2" t="n">
        <v>21</v>
      </c>
      <c r="B25" s="2" t="inlineStr">
        <is>
          <t>DC_021</t>
        </is>
      </c>
      <c r="C25" s="2" t="inlineStr">
        <is>
          <t>Bình định mức 100ml</t>
        </is>
      </c>
      <c r="D25" s="2" t="inlineStr">
        <is>
          <t>cái</t>
        </is>
      </c>
      <c r="E25" s="2" t="n">
        <v>6</v>
      </c>
      <c r="F25" s="2" t="n">
        <v>132</v>
      </c>
      <c r="G25" s="2" t="n">
        <v>1.1</v>
      </c>
      <c r="H25" s="2" t="n">
        <v>1.9</v>
      </c>
    </row>
    <row r="26">
      <c r="A26" s="3" t="n">
        <v>22</v>
      </c>
      <c r="B26" s="3" t="inlineStr">
        <is>
          <t>DC_022</t>
        </is>
      </c>
      <c r="C26" s="3" t="inlineStr">
        <is>
          <t>Bình định mức 100ml</t>
        </is>
      </c>
      <c r="D26" s="3" t="inlineStr">
        <is>
          <t>Cái</t>
        </is>
      </c>
      <c r="E26" s="3" t="n">
        <v>6</v>
      </c>
      <c r="F26" s="3" t="n">
        <v>132</v>
      </c>
      <c r="G26" s="3" t="n">
        <v>1.1</v>
      </c>
      <c r="H26" s="3" t="n">
        <v>0.3</v>
      </c>
    </row>
    <row r="27">
      <c r="A27" s="2" t="n">
        <v>23</v>
      </c>
      <c r="B27" s="2" t="inlineStr">
        <is>
          <t>DC_023</t>
        </is>
      </c>
      <c r="C27" s="2" t="inlineStr">
        <is>
          <t>Bình định mức 250ml</t>
        </is>
      </c>
      <c r="D27" s="2" t="inlineStr">
        <is>
          <t>cái</t>
        </is>
      </c>
      <c r="E27" s="2" t="n">
        <v>6</v>
      </c>
      <c r="F27" s="2" t="n">
        <v>132</v>
      </c>
      <c r="G27" s="2" t="n">
        <v>1.1</v>
      </c>
      <c r="H27" s="2" t="n">
        <v>1.4</v>
      </c>
    </row>
    <row r="28">
      <c r="A28" s="3" t="n">
        <v>24</v>
      </c>
      <c r="B28" s="3" t="inlineStr">
        <is>
          <t>DC_024</t>
        </is>
      </c>
      <c r="C28" s="3" t="inlineStr">
        <is>
          <t>Bình định mức 25ml</t>
        </is>
      </c>
      <c r="D28" s="3" t="inlineStr">
        <is>
          <t>cái</t>
        </is>
      </c>
      <c r="E28" s="3" t="n">
        <v>6</v>
      </c>
      <c r="F28" s="3" t="n">
        <v>132</v>
      </c>
      <c r="G28" s="3" t="n">
        <v>1.1</v>
      </c>
      <c r="H28" s="3" t="n">
        <v>3.4667</v>
      </c>
    </row>
    <row r="29">
      <c r="A29" s="2" t="n">
        <v>25</v>
      </c>
      <c r="B29" s="2" t="inlineStr">
        <is>
          <t>DC_025</t>
        </is>
      </c>
      <c r="C29" s="2" t="inlineStr">
        <is>
          <t>Bình định mức 50ml</t>
        </is>
      </c>
      <c r="D29" s="2" t="inlineStr">
        <is>
          <t>cái</t>
        </is>
      </c>
      <c r="E29" s="2" t="n">
        <v>6</v>
      </c>
      <c r="F29" s="2" t="n">
        <v>132</v>
      </c>
      <c r="G29" s="2" t="n">
        <v>1.1</v>
      </c>
      <c r="H29" s="2" t="n">
        <v>4.9667</v>
      </c>
    </row>
    <row r="30">
      <c r="A30" s="3" t="n">
        <v>26</v>
      </c>
      <c r="B30" s="3" t="inlineStr">
        <is>
          <t>DC_026</t>
        </is>
      </c>
      <c r="C30" s="3" t="inlineStr">
        <is>
          <t>Bình định mức 50ml</t>
        </is>
      </c>
      <c r="D30" s="3" t="inlineStr">
        <is>
          <t>Cái</t>
        </is>
      </c>
      <c r="E30" s="3" t="n">
        <v>6</v>
      </c>
      <c r="F30" s="3" t="n">
        <v>132</v>
      </c>
      <c r="G30" s="3" t="n">
        <v>1.1</v>
      </c>
      <c r="H30" s="3" t="n">
        <v>0.3</v>
      </c>
    </row>
    <row r="31">
      <c r="A31" s="2" t="n">
        <v>27</v>
      </c>
      <c r="B31" s="2" t="inlineStr">
        <is>
          <t>DC_027</t>
        </is>
      </c>
      <c r="C31" s="2" t="inlineStr">
        <is>
          <t>Bản đồ địa hình</t>
        </is>
      </c>
      <c r="D31" s="2" t="inlineStr">
        <is>
          <t>cái</t>
        </is>
      </c>
      <c r="E31" s="2" t="n">
        <v>3</v>
      </c>
      <c r="F31" s="2" t="n">
        <v>66</v>
      </c>
      <c r="G31" s="2" t="n">
        <v>1.1</v>
      </c>
      <c r="H31" s="2" t="n">
        <v>11.4</v>
      </c>
    </row>
    <row r="32">
      <c r="A32" s="3" t="n">
        <v>28</v>
      </c>
      <c r="B32" s="3" t="inlineStr">
        <is>
          <t>DC_028</t>
        </is>
      </c>
      <c r="C32" s="3" t="inlineStr">
        <is>
          <t>Bếp điện</t>
        </is>
      </c>
      <c r="D32" s="3" t="inlineStr">
        <is>
          <t>cái</t>
        </is>
      </c>
      <c r="E32" s="3" t="n">
        <v>12</v>
      </c>
      <c r="F32" s="3" t="n">
        <v>264</v>
      </c>
      <c r="G32" s="3" t="n">
        <v>1.1</v>
      </c>
      <c r="H32" s="3" t="n">
        <v>0.1167</v>
      </c>
    </row>
    <row r="33">
      <c r="A33" s="2" t="n">
        <v>29</v>
      </c>
      <c r="B33" s="2" t="inlineStr">
        <is>
          <t>DC_029</t>
        </is>
      </c>
      <c r="C33" s="2" t="inlineStr">
        <is>
          <t>Bộ dây nối</t>
        </is>
      </c>
      <c r="D33" s="2" t="inlineStr">
        <is>
          <t>bộ</t>
        </is>
      </c>
      <c r="E33" s="2" t="n">
        <v>12</v>
      </c>
      <c r="F33" s="2" t="n">
        <v>264</v>
      </c>
      <c r="G33" s="2" t="n">
        <v>1.1</v>
      </c>
      <c r="H33" s="2" t="n">
        <v>0.05</v>
      </c>
    </row>
    <row r="34">
      <c r="A34" s="3" t="n">
        <v>30</v>
      </c>
      <c r="B34" s="3" t="inlineStr">
        <is>
          <t>DC_030</t>
        </is>
      </c>
      <c r="C34" s="3" t="inlineStr">
        <is>
          <t>Bộ lưu giữ filter</t>
        </is>
      </c>
      <c r="D34" s="3" t="inlineStr">
        <is>
          <t>bộ</t>
        </is>
      </c>
      <c r="E34" s="3" t="n">
        <v>60</v>
      </c>
      <c r="F34" s="3" t="n">
        <v>1320</v>
      </c>
      <c r="G34" s="3" t="n">
        <v>1.1</v>
      </c>
      <c r="H34" s="3" t="n">
        <v>0.01</v>
      </c>
    </row>
    <row r="35">
      <c r="A35" s="2" t="n">
        <v>31</v>
      </c>
      <c r="B35" s="2" t="inlineStr">
        <is>
          <t>DC_031</t>
        </is>
      </c>
      <c r="C35" s="2" t="inlineStr">
        <is>
          <t>Bộ lọc bụi</t>
        </is>
      </c>
      <c r="D35" s="2" t="inlineStr">
        <is>
          <t>bộ</t>
        </is>
      </c>
      <c r="E35" s="2" t="n">
        <v>6</v>
      </c>
      <c r="F35" s="2" t="n">
        <v>132</v>
      </c>
      <c r="G35" s="2" t="n">
        <v>1.1</v>
      </c>
      <c r="H35" s="2" t="n">
        <v>0.4667</v>
      </c>
    </row>
    <row r="36">
      <c r="A36" s="3" t="n">
        <v>32</v>
      </c>
      <c r="B36" s="3" t="inlineStr">
        <is>
          <t>DC_032</t>
        </is>
      </c>
      <c r="C36" s="3" t="inlineStr">
        <is>
          <t>Bộ lọc khí lưu huỳnh</t>
        </is>
      </c>
      <c r="D36" s="3" t="inlineStr">
        <is>
          <t>bộ</t>
        </is>
      </c>
      <c r="E36" s="3" t="n">
        <v>6</v>
      </c>
      <c r="F36" s="3" t="n">
        <v>132</v>
      </c>
      <c r="G36" s="3" t="n">
        <v>1.1</v>
      </c>
      <c r="H36" s="3" t="n">
        <v>0.1</v>
      </c>
    </row>
    <row r="37">
      <c r="A37" s="2" t="n">
        <v>33</v>
      </c>
      <c r="B37" s="2" t="inlineStr">
        <is>
          <t>DC_033</t>
        </is>
      </c>
      <c r="C37" s="2" t="inlineStr">
        <is>
          <t>Bộ lọc tạp chất cản trở</t>
        </is>
      </c>
      <c r="D37" s="2" t="inlineStr">
        <is>
          <t>bộ</t>
        </is>
      </c>
      <c r="E37" s="2" t="n">
        <v>6</v>
      </c>
      <c r="F37" s="2" t="n">
        <v>132</v>
      </c>
      <c r="G37" s="2" t="n">
        <v>1.1</v>
      </c>
      <c r="H37" s="2" t="n">
        <v>0.3667</v>
      </c>
    </row>
    <row r="38">
      <c r="A38" s="3" t="n">
        <v>34</v>
      </c>
      <c r="B38" s="3" t="inlineStr">
        <is>
          <t>DC_034</t>
        </is>
      </c>
      <c r="C38" s="3" t="inlineStr">
        <is>
          <t>Bộ sục khí</t>
        </is>
      </c>
      <c r="D38" s="3" t="inlineStr">
        <is>
          <t>bộ</t>
        </is>
      </c>
      <c r="E38" s="3" t="n">
        <v>24</v>
      </c>
      <c r="F38" s="3" t="n">
        <v>528</v>
      </c>
      <c r="G38" s="3" t="n">
        <v>1.1</v>
      </c>
      <c r="H38" s="3" t="n">
        <v>0.0583</v>
      </c>
    </row>
    <row r="39">
      <c r="A39" s="2" t="n">
        <v>35</v>
      </c>
      <c r="B39" s="2" t="inlineStr">
        <is>
          <t>DC_035</t>
        </is>
      </c>
      <c r="C39" s="2" t="inlineStr">
        <is>
          <t>Chai BOD</t>
        </is>
      </c>
      <c r="D39" s="2" t="inlineStr">
        <is>
          <t>cái</t>
        </is>
      </c>
      <c r="E39" s="2" t="n">
        <v>6</v>
      </c>
      <c r="F39" s="2" t="n">
        <v>132</v>
      </c>
      <c r="G39" s="2" t="n">
        <v>1.1</v>
      </c>
      <c r="H39" s="2" t="n">
        <v>0.2333</v>
      </c>
    </row>
    <row r="40">
      <c r="A40" s="3" t="n">
        <v>36</v>
      </c>
      <c r="B40" s="3" t="inlineStr">
        <is>
          <t>DC_036</t>
        </is>
      </c>
      <c r="C40" s="3" t="inlineStr">
        <is>
          <t>Chai NO2</t>
        </is>
      </c>
      <c r="D40" s="3" t="inlineStr">
        <is>
          <t>cái</t>
        </is>
      </c>
      <c r="E40" s="3" t="n">
        <v>6</v>
      </c>
      <c r="F40" s="3" t="n">
        <v>132</v>
      </c>
      <c r="G40" s="3" t="n">
        <v>1.1</v>
      </c>
      <c r="H40" s="3" t="n">
        <v>0.1667</v>
      </c>
    </row>
    <row r="41">
      <c r="A41" s="2" t="n">
        <v>37</v>
      </c>
      <c r="B41" s="2" t="inlineStr">
        <is>
          <t>DC_037</t>
        </is>
      </c>
      <c r="C41" s="2" t="inlineStr">
        <is>
          <t>Chai SO2</t>
        </is>
      </c>
      <c r="D41" s="2" t="inlineStr">
        <is>
          <t>cái</t>
        </is>
      </c>
      <c r="E41" s="2" t="n">
        <v>3</v>
      </c>
      <c r="F41" s="2" t="n">
        <v>66</v>
      </c>
      <c r="G41" s="2" t="n">
        <v>1.1</v>
      </c>
      <c r="H41" s="2" t="n">
        <v>0.3333</v>
      </c>
    </row>
    <row r="42">
      <c r="A42" s="3" t="n">
        <v>38</v>
      </c>
      <c r="B42" s="3" t="inlineStr">
        <is>
          <t>DC_038</t>
        </is>
      </c>
      <c r="C42" s="3" t="inlineStr">
        <is>
          <t>Chai bảo quản dung dịch</t>
        </is>
      </c>
      <c r="D42" s="3" t="inlineStr">
        <is>
          <t>cái</t>
        </is>
      </c>
      <c r="E42" s="3" t="n">
        <v>6</v>
      </c>
      <c r="F42" s="3" t="n">
        <v>132</v>
      </c>
      <c r="G42" s="3" t="n">
        <v>1.1</v>
      </c>
      <c r="H42" s="3" t="n">
        <v>0.2333</v>
      </c>
    </row>
    <row r="43">
      <c r="A43" s="2" t="n">
        <v>39</v>
      </c>
      <c r="B43" s="2" t="inlineStr">
        <is>
          <t>DC_039</t>
        </is>
      </c>
      <c r="C43" s="2" t="inlineStr">
        <is>
          <t>Chai chứa mẫu 100ml</t>
        </is>
      </c>
      <c r="D43" s="2" t="inlineStr">
        <is>
          <t>cái</t>
        </is>
      </c>
      <c r="E43" s="2" t="n">
        <v>6</v>
      </c>
      <c r="F43" s="2" t="n">
        <v>132</v>
      </c>
      <c r="G43" s="2" t="n">
        <v>1.1</v>
      </c>
      <c r="H43" s="2" t="n">
        <v>0.2333</v>
      </c>
    </row>
    <row r="44">
      <c r="A44" s="3" t="n">
        <v>40</v>
      </c>
      <c r="B44" s="3" t="inlineStr">
        <is>
          <t>DC_040</t>
        </is>
      </c>
      <c r="C44" s="3" t="inlineStr">
        <is>
          <t>Chai nhựa 0,5 lít</t>
        </is>
      </c>
      <c r="D44" s="3" t="inlineStr">
        <is>
          <t>cái</t>
        </is>
      </c>
      <c r="E44" s="3" t="n">
        <v>6</v>
      </c>
      <c r="F44" s="3" t="n">
        <v>132</v>
      </c>
      <c r="G44" s="3" t="n">
        <v>1.1</v>
      </c>
      <c r="H44" s="3" t="n">
        <v>1.4333</v>
      </c>
    </row>
    <row r="45">
      <c r="A45" s="2" t="n">
        <v>41</v>
      </c>
      <c r="B45" s="2" t="inlineStr">
        <is>
          <t>DC_041</t>
        </is>
      </c>
      <c r="C45" s="2" t="inlineStr">
        <is>
          <t>Chai nhựa 0,5 lít</t>
        </is>
      </c>
      <c r="D45" s="2" t="inlineStr">
        <is>
          <t>Cái</t>
        </is>
      </c>
      <c r="E45" s="2" t="n">
        <v>6</v>
      </c>
      <c r="F45" s="2" t="n">
        <v>132</v>
      </c>
      <c r="G45" s="2" t="n">
        <v>1.1</v>
      </c>
      <c r="H45" s="2" t="n">
        <v>0.3</v>
      </c>
    </row>
    <row r="46">
      <c r="A46" s="3" t="n">
        <v>42</v>
      </c>
      <c r="B46" s="3" t="inlineStr">
        <is>
          <t>DC_042</t>
        </is>
      </c>
      <c r="C46" s="3" t="inlineStr">
        <is>
          <t>Chai đựng hóa chất</t>
        </is>
      </c>
      <c r="D46" s="3" t="inlineStr">
        <is>
          <t>cái</t>
        </is>
      </c>
      <c r="E46" s="3" t="n">
        <v>6</v>
      </c>
      <c r="F46" s="3" t="n">
        <v>132</v>
      </c>
      <c r="G46" s="3" t="n">
        <v>1.1</v>
      </c>
      <c r="H46" s="3" t="n">
        <v>11.1667</v>
      </c>
    </row>
    <row r="47">
      <c r="A47" s="2" t="n">
        <v>43</v>
      </c>
      <c r="B47" s="2" t="inlineStr">
        <is>
          <t>DC_043</t>
        </is>
      </c>
      <c r="C47" s="2" t="inlineStr">
        <is>
          <t>Chai đựng hóa chất</t>
        </is>
      </c>
      <c r="D47" s="2" t="inlineStr">
        <is>
          <t>Cái</t>
        </is>
      </c>
      <c r="E47" s="2" t="n">
        <v>6</v>
      </c>
      <c r="F47" s="2" t="n">
        <v>132</v>
      </c>
      <c r="G47" s="2" t="n">
        <v>1.1</v>
      </c>
      <c r="H47" s="2" t="n">
        <v>0.3333</v>
      </c>
    </row>
    <row r="48">
      <c r="A48" s="3" t="n">
        <v>44</v>
      </c>
      <c r="B48" s="3" t="inlineStr">
        <is>
          <t>DC_044</t>
        </is>
      </c>
      <c r="C48" s="3" t="inlineStr">
        <is>
          <t>Chai đựng mẫu</t>
        </is>
      </c>
      <c r="D48" s="3" t="inlineStr">
        <is>
          <t>cái</t>
        </is>
      </c>
      <c r="E48" s="3" t="n">
        <v>6</v>
      </c>
      <c r="F48" s="3" t="n">
        <v>132</v>
      </c>
      <c r="G48" s="3" t="n">
        <v>1.1</v>
      </c>
      <c r="H48" s="3" t="n">
        <v>7.8417</v>
      </c>
    </row>
    <row r="49">
      <c r="A49" s="2" t="n">
        <v>45</v>
      </c>
      <c r="B49" s="2" t="inlineStr">
        <is>
          <t>DC_045</t>
        </is>
      </c>
      <c r="C49" s="2" t="inlineStr">
        <is>
          <t>Chai đựng mẫu</t>
        </is>
      </c>
      <c r="D49" s="2" t="inlineStr">
        <is>
          <t>cái</t>
        </is>
      </c>
      <c r="E49" s="2" t="n">
        <v>6</v>
      </c>
      <c r="F49" s="2" t="n">
        <v>132</v>
      </c>
      <c r="G49" s="2" t="n">
        <v>1.1</v>
      </c>
      <c r="H49" s="2" t="n">
        <v>0.2</v>
      </c>
    </row>
    <row r="50">
      <c r="A50" s="3" t="n">
        <v>46</v>
      </c>
      <c r="B50" s="3" t="inlineStr">
        <is>
          <t>DC_046</t>
        </is>
      </c>
      <c r="C50" s="3" t="inlineStr">
        <is>
          <t>Chai đựng mẫu</t>
        </is>
      </c>
      <c r="D50" s="3" t="inlineStr">
        <is>
          <t>cai</t>
        </is>
      </c>
      <c r="E50" s="3" t="n">
        <v>6</v>
      </c>
      <c r="F50" s="3" t="n">
        <v>132</v>
      </c>
      <c r="G50" s="3" t="n">
        <v>1.1</v>
      </c>
      <c r="H50" s="3" t="n">
        <v>0.2</v>
      </c>
    </row>
    <row r="51">
      <c r="A51" s="2" t="n">
        <v>47</v>
      </c>
      <c r="B51" s="2" t="inlineStr">
        <is>
          <t>DC_047</t>
        </is>
      </c>
      <c r="C51" s="2" t="inlineStr">
        <is>
          <t>Chai đựng mẫu vi sinh</t>
        </is>
      </c>
      <c r="D51" s="2" t="inlineStr">
        <is>
          <t>cái</t>
        </is>
      </c>
      <c r="E51" s="2" t="n">
        <v>6</v>
      </c>
      <c r="F51" s="2" t="n">
        <v>132</v>
      </c>
      <c r="G51" s="2" t="n">
        <v>1.1</v>
      </c>
      <c r="H51" s="2" t="n">
        <v>0.2333</v>
      </c>
    </row>
    <row r="52">
      <c r="A52" s="3" t="n">
        <v>48</v>
      </c>
      <c r="B52" s="3" t="inlineStr">
        <is>
          <t>DC_048</t>
        </is>
      </c>
      <c r="C52" s="3" t="inlineStr">
        <is>
          <t>Chụp đầu đo</t>
        </is>
      </c>
      <c r="D52" s="3" t="inlineStr">
        <is>
          <t>cái</t>
        </is>
      </c>
      <c r="E52" s="3" t="n">
        <v>3</v>
      </c>
      <c r="F52" s="3" t="n">
        <v>66</v>
      </c>
      <c r="G52" s="3" t="n">
        <v>1.1</v>
      </c>
      <c r="H52" s="3" t="n">
        <v>0.3333</v>
      </c>
    </row>
    <row r="53">
      <c r="A53" s="2" t="n">
        <v>49</v>
      </c>
      <c r="B53" s="2" t="inlineStr">
        <is>
          <t>DC_049</t>
        </is>
      </c>
      <c r="C53" s="2" t="inlineStr">
        <is>
          <t>Cuvet 1cm</t>
        </is>
      </c>
      <c r="D53" s="2" t="inlineStr">
        <is>
          <t>cái</t>
        </is>
      </c>
      <c r="E53" s="2" t="n">
        <v>12</v>
      </c>
      <c r="F53" s="2" t="n">
        <v>264</v>
      </c>
      <c r="G53" s="2" t="n">
        <v>1.1</v>
      </c>
      <c r="H53" s="2" t="n">
        <v>0.85</v>
      </c>
    </row>
    <row r="54">
      <c r="A54" s="3" t="n">
        <v>50</v>
      </c>
      <c r="B54" s="3" t="inlineStr">
        <is>
          <t>DC_050</t>
        </is>
      </c>
      <c r="C54" s="3" t="inlineStr">
        <is>
          <t>Cuvet Graphit</t>
        </is>
      </c>
      <c r="D54" s="3" t="inlineStr">
        <is>
          <t>cái</t>
        </is>
      </c>
      <c r="E54" s="3" t="n">
        <v>1</v>
      </c>
      <c r="F54" s="3" t="n">
        <v>22</v>
      </c>
      <c r="G54" s="3" t="n">
        <v>1.1</v>
      </c>
      <c r="H54" s="3" t="n">
        <v>3.6</v>
      </c>
    </row>
    <row r="55">
      <c r="A55" s="2" t="n">
        <v>51</v>
      </c>
      <c r="B55" s="2" t="inlineStr">
        <is>
          <t>DC_051</t>
        </is>
      </c>
      <c r="C55" s="2" t="inlineStr">
        <is>
          <t>Cuvet thạch anh cho FIAS</t>
        </is>
      </c>
      <c r="D55" s="2" t="inlineStr">
        <is>
          <t>cái</t>
        </is>
      </c>
      <c r="E55" s="2" t="n">
        <v>12</v>
      </c>
      <c r="F55" s="2" t="n">
        <v>264</v>
      </c>
      <c r="G55" s="2" t="n">
        <v>1.1</v>
      </c>
      <c r="H55" s="2" t="n">
        <v>0.3</v>
      </c>
    </row>
    <row r="56">
      <c r="A56" s="3" t="n">
        <v>52</v>
      </c>
      <c r="B56" s="3" t="inlineStr">
        <is>
          <t>DC_052</t>
        </is>
      </c>
      <c r="C56" s="3" t="inlineStr">
        <is>
          <t>Cái lọc</t>
        </is>
      </c>
      <c r="D56" s="3" t="inlineStr">
        <is>
          <t>cái</t>
        </is>
      </c>
      <c r="E56" s="3" t="n">
        <v>1</v>
      </c>
      <c r="F56" s="3" t="n">
        <v>22</v>
      </c>
      <c r="G56" s="3" t="n">
        <v>1.1</v>
      </c>
      <c r="H56" s="3" t="n">
        <v>2</v>
      </c>
    </row>
    <row r="57">
      <c r="A57" s="2" t="n">
        <v>53</v>
      </c>
      <c r="B57" s="2" t="inlineStr">
        <is>
          <t>DC_053</t>
        </is>
      </c>
      <c r="C57" s="2" t="inlineStr">
        <is>
          <t>Công tác phân tích độ rung trong phòng thí nghiệm (2ĐR)</t>
        </is>
      </c>
      <c r="D57" s="2" t="inlineStr"/>
      <c r="E57" s="2" t="n">
        <v>12</v>
      </c>
      <c r="F57" s="2" t="n">
        <v>264</v>
      </c>
      <c r="G57" s="2" t="n">
        <v>1.1</v>
      </c>
      <c r="H57" s="2" t="n">
        <v>0.0833</v>
      </c>
    </row>
    <row r="58">
      <c r="A58" s="3" t="n">
        <v>54</v>
      </c>
      <c r="B58" s="3" t="inlineStr">
        <is>
          <t>DC_054</t>
        </is>
      </c>
      <c r="C58" s="3" t="inlineStr">
        <is>
          <t>Cốc cân</t>
        </is>
      </c>
      <c r="D58" s="3" t="inlineStr">
        <is>
          <t>cái</t>
        </is>
      </c>
      <c r="E58" s="3" t="n">
        <v>6</v>
      </c>
      <c r="F58" s="3" t="n">
        <v>132</v>
      </c>
      <c r="G58" s="3" t="n">
        <v>1.1</v>
      </c>
      <c r="H58" s="3" t="n">
        <v>0.2333</v>
      </c>
    </row>
    <row r="59">
      <c r="A59" s="2" t="n">
        <v>55</v>
      </c>
      <c r="B59" s="2" t="inlineStr">
        <is>
          <t>DC_055</t>
        </is>
      </c>
      <c r="C59" s="2" t="inlineStr">
        <is>
          <t>Cốc thủy tinh</t>
        </is>
      </c>
      <c r="D59" s="2" t="inlineStr">
        <is>
          <t>cái</t>
        </is>
      </c>
      <c r="E59" s="2" t="n">
        <v>6</v>
      </c>
      <c r="F59" s="2" t="n">
        <v>132</v>
      </c>
      <c r="G59" s="2" t="n">
        <v>1.1</v>
      </c>
      <c r="H59" s="2" t="n">
        <v>1.3</v>
      </c>
    </row>
    <row r="60">
      <c r="A60" s="3" t="n">
        <v>56</v>
      </c>
      <c r="B60" s="3" t="inlineStr">
        <is>
          <t>DC_056</t>
        </is>
      </c>
      <c r="C60" s="3" t="inlineStr">
        <is>
          <t>Cốc thủy tinh 250ml</t>
        </is>
      </c>
      <c r="D60" s="3" t="inlineStr">
        <is>
          <t>cái</t>
        </is>
      </c>
      <c r="E60" s="3" t="n">
        <v>6</v>
      </c>
      <c r="F60" s="3" t="n">
        <v>132</v>
      </c>
      <c r="G60" s="3" t="n">
        <v>1.1</v>
      </c>
      <c r="H60" s="3" t="n">
        <v>4.4667</v>
      </c>
    </row>
    <row r="61">
      <c r="A61" s="2" t="n">
        <v>57</v>
      </c>
      <c r="B61" s="2" t="inlineStr">
        <is>
          <t>DC_057</t>
        </is>
      </c>
      <c r="C61" s="2" t="inlineStr">
        <is>
          <t>Cốc đo</t>
        </is>
      </c>
      <c r="D61" s="2" t="inlineStr">
        <is>
          <t>cái</t>
        </is>
      </c>
      <c r="E61" s="2" t="n">
        <v>3</v>
      </c>
      <c r="F61" s="2" t="n">
        <v>66</v>
      </c>
      <c r="G61" s="2" t="n">
        <v>1.1</v>
      </c>
      <c r="H61" s="2" t="n">
        <v>1.9667</v>
      </c>
    </row>
    <row r="62">
      <c r="A62" s="3" t="n">
        <v>58</v>
      </c>
      <c r="B62" s="3" t="inlineStr">
        <is>
          <t>DC_058</t>
        </is>
      </c>
      <c r="C62" s="3" t="inlineStr">
        <is>
          <t>Cột sắc ký</t>
        </is>
      </c>
      <c r="D62" s="3" t="inlineStr">
        <is>
          <t>cái</t>
        </is>
      </c>
      <c r="E62" s="3" t="n">
        <v>12</v>
      </c>
      <c r="F62" s="3" t="n">
        <v>264</v>
      </c>
      <c r="G62" s="3" t="n">
        <v>1.1</v>
      </c>
      <c r="H62" s="3" t="n">
        <v>0.0833</v>
      </c>
    </row>
    <row r="63">
      <c r="A63" s="2" t="n">
        <v>59</v>
      </c>
      <c r="B63" s="2" t="inlineStr">
        <is>
          <t>DC_059</t>
        </is>
      </c>
      <c r="C63" s="2" t="inlineStr">
        <is>
          <t>Cột tách mao quản</t>
        </is>
      </c>
      <c r="D63" s="2" t="inlineStr">
        <is>
          <t>cái</t>
        </is>
      </c>
      <c r="E63" s="2" t="n">
        <v>12</v>
      </c>
      <c r="F63" s="2" t="n">
        <v>264</v>
      </c>
      <c r="G63" s="2" t="n">
        <v>1.1</v>
      </c>
      <c r="H63" s="2" t="n">
        <v>0.0833</v>
      </c>
    </row>
    <row r="64">
      <c r="A64" s="3" t="n">
        <v>60</v>
      </c>
      <c r="B64" s="3" t="inlineStr">
        <is>
          <t>DC_060</t>
        </is>
      </c>
      <c r="C64" s="3" t="inlineStr">
        <is>
          <t>Dây nối</t>
        </is>
      </c>
      <c r="D64" s="3" t="inlineStr">
        <is>
          <t>cái</t>
        </is>
      </c>
      <c r="E64" s="3" t="n">
        <v>12</v>
      </c>
      <c r="F64" s="3" t="n">
        <v>264</v>
      </c>
      <c r="G64" s="3" t="n">
        <v>1.1</v>
      </c>
      <c r="H64" s="3" t="n">
        <v>0.05</v>
      </c>
    </row>
    <row r="65">
      <c r="A65" s="2" t="n">
        <v>61</v>
      </c>
      <c r="B65" s="2" t="inlineStr">
        <is>
          <t>DC_061</t>
        </is>
      </c>
      <c r="C65" s="2" t="inlineStr">
        <is>
          <t>Dây điện đôi dài 50m</t>
        </is>
      </c>
      <c r="D65" s="2" t="inlineStr">
        <is>
          <t>dây</t>
        </is>
      </c>
      <c r="E65" s="2" t="n">
        <v>36</v>
      </c>
      <c r="F65" s="2" t="n">
        <v>792</v>
      </c>
      <c r="G65" s="2" t="n">
        <v>1.1</v>
      </c>
      <c r="H65" s="2" t="n">
        <v>0.1389</v>
      </c>
    </row>
    <row r="66">
      <c r="A66" s="3" t="n">
        <v>62</v>
      </c>
      <c r="B66" s="3" t="inlineStr">
        <is>
          <t>DC_062</t>
        </is>
      </c>
      <c r="C66" s="3" t="inlineStr">
        <is>
          <t>Ghế tựa</t>
        </is>
      </c>
      <c r="D66" s="3" t="inlineStr">
        <is>
          <t>cái</t>
        </is>
      </c>
      <c r="E66" s="3" t="n">
        <v>72</v>
      </c>
      <c r="F66" s="3" t="n">
        <v>1584</v>
      </c>
      <c r="G66" s="3" t="n">
        <v>1.1</v>
      </c>
      <c r="H66" s="3" t="n">
        <v>0.5722</v>
      </c>
    </row>
    <row r="67">
      <c r="A67" s="2" t="n">
        <v>63</v>
      </c>
      <c r="B67" s="2" t="inlineStr">
        <is>
          <t>DC_063</t>
        </is>
      </c>
      <c r="C67" s="2" t="inlineStr">
        <is>
          <t>Ghế tựa</t>
        </is>
      </c>
      <c r="D67" s="2" t="inlineStr">
        <is>
          <t>Cái</t>
        </is>
      </c>
      <c r="E67" s="2" t="n">
        <v>72</v>
      </c>
      <c r="F67" s="2" t="n">
        <v>1584</v>
      </c>
      <c r="G67" s="2" t="n">
        <v>1.1</v>
      </c>
      <c r="H67" s="2" t="n">
        <v>0.025</v>
      </c>
    </row>
    <row r="68">
      <c r="A68" s="3" t="n">
        <v>64</v>
      </c>
      <c r="B68" s="3" t="inlineStr">
        <is>
          <t>DC_064</t>
        </is>
      </c>
      <c r="C68" s="3" t="inlineStr">
        <is>
          <t>Ghế tựa</t>
        </is>
      </c>
      <c r="D68" s="3" t="inlineStr">
        <is>
          <t>bộ</t>
        </is>
      </c>
      <c r="E68" s="3" t="n">
        <v>72</v>
      </c>
      <c r="F68" s="3" t="n">
        <v>1584</v>
      </c>
      <c r="G68" s="3" t="n">
        <v>1.1</v>
      </c>
      <c r="H68" s="3" t="n">
        <v>0.0083</v>
      </c>
    </row>
    <row r="69">
      <c r="A69" s="2" t="n">
        <v>65</v>
      </c>
      <c r="B69" s="2" t="inlineStr">
        <is>
          <t>DC_065</t>
        </is>
      </c>
      <c r="C69" s="2" t="inlineStr">
        <is>
          <t>Gim bấm</t>
        </is>
      </c>
      <c r="D69" s="2" t="inlineStr">
        <is>
          <t>hộp</t>
        </is>
      </c>
      <c r="E69" s="2" t="n">
        <v>1</v>
      </c>
      <c r="F69" s="2" t="n">
        <v>22</v>
      </c>
      <c r="G69" s="2" t="n">
        <v>1.1</v>
      </c>
      <c r="H69" s="2" t="n">
        <v>2</v>
      </c>
    </row>
    <row r="70">
      <c r="A70" s="3" t="n">
        <v>66</v>
      </c>
      <c r="B70" s="3" t="inlineStr">
        <is>
          <t>DC_066</t>
        </is>
      </c>
      <c r="C70" s="3" t="inlineStr">
        <is>
          <t>Gim bấm</t>
        </is>
      </c>
      <c r="D70" s="3" t="inlineStr">
        <is>
          <t>bộ</t>
        </is>
      </c>
      <c r="E70" s="3" t="n">
        <v>1</v>
      </c>
      <c r="F70" s="3" t="n">
        <v>22</v>
      </c>
      <c r="G70" s="3" t="n">
        <v>1.1</v>
      </c>
      <c r="H70" s="3" t="n">
        <v>0.6</v>
      </c>
    </row>
    <row r="71">
      <c r="A71" s="2" t="n">
        <v>67</v>
      </c>
      <c r="B71" s="2" t="inlineStr">
        <is>
          <t>DC_067</t>
        </is>
      </c>
      <c r="C71" s="2" t="inlineStr">
        <is>
          <t>Gim kẹp giấy</t>
        </is>
      </c>
      <c r="D71" s="2" t="inlineStr">
        <is>
          <t>hộp</t>
        </is>
      </c>
      <c r="E71" s="2" t="n">
        <v>1</v>
      </c>
      <c r="F71" s="2" t="n">
        <v>22</v>
      </c>
      <c r="G71" s="2" t="n">
        <v>1.1</v>
      </c>
      <c r="H71" s="2" t="n">
        <v>2</v>
      </c>
    </row>
    <row r="72">
      <c r="A72" s="3" t="n">
        <v>68</v>
      </c>
      <c r="B72" s="3" t="inlineStr">
        <is>
          <t>DC_068</t>
        </is>
      </c>
      <c r="C72" s="3" t="inlineStr">
        <is>
          <t>Gim kẹp giấy</t>
        </is>
      </c>
      <c r="D72" s="3" t="inlineStr">
        <is>
          <t>Hộp</t>
        </is>
      </c>
      <c r="E72" s="3" t="n">
        <v>1</v>
      </c>
      <c r="F72" s="3" t="n">
        <v>22</v>
      </c>
      <c r="G72" s="3" t="n">
        <v>1.1</v>
      </c>
      <c r="H72" s="3" t="n">
        <v>0.6</v>
      </c>
    </row>
    <row r="73">
      <c r="A73" s="2" t="n">
        <v>69</v>
      </c>
      <c r="B73" s="2" t="inlineStr">
        <is>
          <t>DC_069</t>
        </is>
      </c>
      <c r="C73" s="2" t="inlineStr">
        <is>
          <t>Giầy BHLĐ</t>
        </is>
      </c>
      <c r="D73" s="2" t="inlineStr">
        <is>
          <t>đôi</t>
        </is>
      </c>
      <c r="E73" s="2" t="n">
        <v>12</v>
      </c>
      <c r="F73" s="2" t="n">
        <v>264</v>
      </c>
      <c r="G73" s="2" t="n">
        <v>1.1</v>
      </c>
      <c r="H73" s="2" t="n">
        <v>7.8167</v>
      </c>
    </row>
    <row r="74">
      <c r="A74" s="3" t="n">
        <v>70</v>
      </c>
      <c r="B74" s="3" t="inlineStr">
        <is>
          <t>DC_070</t>
        </is>
      </c>
      <c r="C74" s="3" t="inlineStr">
        <is>
          <t>Giầy BHLĐ</t>
        </is>
      </c>
      <c r="D74" s="3" t="inlineStr">
        <is>
          <t>Đôi</t>
        </is>
      </c>
      <c r="E74" s="3" t="n">
        <v>12</v>
      </c>
      <c r="F74" s="3" t="n">
        <v>264</v>
      </c>
      <c r="G74" s="3" t="n">
        <v>1.1</v>
      </c>
      <c r="H74" s="3" t="n">
        <v>0.4</v>
      </c>
    </row>
    <row r="75">
      <c r="A75" s="2" t="n">
        <v>71</v>
      </c>
      <c r="B75" s="2" t="inlineStr">
        <is>
          <t>DC_071</t>
        </is>
      </c>
      <c r="C75" s="2" t="inlineStr">
        <is>
          <t>Găng tay chống nóng</t>
        </is>
      </c>
      <c r="D75" s="2" t="inlineStr">
        <is>
          <t>đôi</t>
        </is>
      </c>
      <c r="E75" s="2" t="n">
        <v>3</v>
      </c>
      <c r="F75" s="2" t="n">
        <v>66</v>
      </c>
      <c r="G75" s="2" t="n">
        <v>1.1</v>
      </c>
      <c r="H75" s="2" t="n">
        <v>1.5333</v>
      </c>
    </row>
    <row r="76">
      <c r="A76" s="3" t="n">
        <v>72</v>
      </c>
      <c r="B76" s="3" t="inlineStr">
        <is>
          <t>DC_072</t>
        </is>
      </c>
      <c r="C76" s="3" t="inlineStr">
        <is>
          <t>Găng tay y tế</t>
        </is>
      </c>
      <c r="D76" s="3" t="inlineStr">
        <is>
          <t>hộp</t>
        </is>
      </c>
      <c r="E76" s="3" t="n">
        <v>0.3</v>
      </c>
      <c r="F76" s="3" t="n">
        <v>6.6</v>
      </c>
      <c r="G76" s="3" t="n">
        <v>1.1</v>
      </c>
      <c r="H76" s="3" t="n">
        <v>282</v>
      </c>
    </row>
    <row r="77">
      <c r="A77" s="2" t="n">
        <v>73</v>
      </c>
      <c r="B77" s="2" t="inlineStr">
        <is>
          <t>DC_073</t>
        </is>
      </c>
      <c r="C77" s="2" t="inlineStr">
        <is>
          <t>Hệ thống làm mát</t>
        </is>
      </c>
      <c r="D77" s="2" t="inlineStr">
        <is>
          <t>bộ</t>
        </is>
      </c>
      <c r="E77" s="2" t="n">
        <v>18</v>
      </c>
      <c r="F77" s="2" t="n">
        <v>396</v>
      </c>
      <c r="G77" s="2" t="n">
        <v>1.1</v>
      </c>
      <c r="H77" s="2" t="n">
        <v>0.0333</v>
      </c>
    </row>
    <row r="78">
      <c r="A78" s="3" t="n">
        <v>74</v>
      </c>
      <c r="B78" s="3" t="inlineStr">
        <is>
          <t>DC_074</t>
        </is>
      </c>
      <c r="C78" s="3" t="inlineStr">
        <is>
          <t>Hộp gia nhiệt</t>
        </is>
      </c>
      <c r="D78" s="3" t="inlineStr">
        <is>
          <t>hộp</t>
        </is>
      </c>
      <c r="E78" s="3" t="n">
        <v>18</v>
      </c>
      <c r="F78" s="3" t="n">
        <v>396</v>
      </c>
      <c r="G78" s="3" t="n">
        <v>1.1</v>
      </c>
      <c r="H78" s="3" t="n">
        <v>0.0333</v>
      </c>
    </row>
    <row r="79">
      <c r="A79" s="2" t="n">
        <v>75</v>
      </c>
      <c r="B79" s="2" t="inlineStr">
        <is>
          <t>DC_075</t>
        </is>
      </c>
      <c r="C79" s="2" t="inlineStr">
        <is>
          <t>Hộp đựng mẫu</t>
        </is>
      </c>
      <c r="D79" s="2" t="inlineStr">
        <is>
          <t>chiếc</t>
        </is>
      </c>
      <c r="E79" s="2" t="n">
        <v>1</v>
      </c>
      <c r="F79" s="2" t="n">
        <v>22</v>
      </c>
      <c r="G79" s="2" t="n">
        <v>1.1</v>
      </c>
      <c r="H79" s="2" t="n">
        <v>4.8</v>
      </c>
    </row>
    <row r="80">
      <c r="A80" s="3" t="n">
        <v>76</v>
      </c>
      <c r="B80" s="3" t="inlineStr">
        <is>
          <t>DC_076</t>
        </is>
      </c>
      <c r="C80" s="3" t="inlineStr">
        <is>
          <t>Hộp đựng mẫu</t>
        </is>
      </c>
      <c r="D80" s="3" t="inlineStr">
        <is>
          <t>cái</t>
        </is>
      </c>
      <c r="E80" s="3" t="n">
        <v>1</v>
      </c>
      <c r="F80" s="3" t="n">
        <v>22</v>
      </c>
      <c r="G80" s="3" t="n">
        <v>1.1</v>
      </c>
      <c r="H80" s="3" t="n">
        <v>2</v>
      </c>
    </row>
    <row r="81">
      <c r="A81" s="2" t="n">
        <v>77</v>
      </c>
      <c r="B81" s="2" t="inlineStr">
        <is>
          <t>DC_077</t>
        </is>
      </c>
      <c r="C81" s="2" t="inlineStr">
        <is>
          <t>Khẩu trang phòng độc</t>
        </is>
      </c>
      <c r="D81" s="2" t="inlineStr">
        <is>
          <t>đôi</t>
        </is>
      </c>
      <c r="E81" s="2" t="n">
        <v>3</v>
      </c>
      <c r="F81" s="2" t="n">
        <v>66</v>
      </c>
      <c r="G81" s="2" t="n">
        <v>1.1</v>
      </c>
      <c r="H81" s="2" t="n">
        <v>1.5333</v>
      </c>
    </row>
    <row r="82">
      <c r="A82" s="3" t="n">
        <v>78</v>
      </c>
      <c r="B82" s="3" t="inlineStr">
        <is>
          <t>DC_078</t>
        </is>
      </c>
      <c r="C82" s="3" t="inlineStr">
        <is>
          <t>Khẩu trang y tế</t>
        </is>
      </c>
      <c r="D82" s="3" t="inlineStr">
        <is>
          <t>hộp</t>
        </is>
      </c>
      <c r="E82" s="3" t="n">
        <v>0.3</v>
      </c>
      <c r="F82" s="3" t="n">
        <v>6.6</v>
      </c>
      <c r="G82" s="3" t="n">
        <v>1.1</v>
      </c>
      <c r="H82" s="3" t="n">
        <v>272.6667</v>
      </c>
    </row>
    <row r="83">
      <c r="A83" s="2" t="n">
        <v>79</v>
      </c>
      <c r="B83" s="2" t="inlineStr">
        <is>
          <t>DC_079</t>
        </is>
      </c>
      <c r="C83" s="2" t="inlineStr">
        <is>
          <t>Kết nối đầu đo</t>
        </is>
      </c>
      <c r="D83" s="2" t="inlineStr">
        <is>
          <t>cái</t>
        </is>
      </c>
      <c r="E83" s="2" t="n">
        <v>3</v>
      </c>
      <c r="F83" s="2" t="n">
        <v>66</v>
      </c>
      <c r="G83" s="2" t="n">
        <v>1.1</v>
      </c>
      <c r="H83" s="2" t="n">
        <v>0.3333</v>
      </c>
    </row>
    <row r="84">
      <c r="A84" s="3" t="n">
        <v>80</v>
      </c>
      <c r="B84" s="3" t="inlineStr">
        <is>
          <t>DC_080</t>
        </is>
      </c>
      <c r="C84" s="3" t="inlineStr">
        <is>
          <t>Micropipet 10ml</t>
        </is>
      </c>
      <c r="D84" s="3" t="inlineStr">
        <is>
          <t>cái</t>
        </is>
      </c>
      <c r="E84" s="3" t="n">
        <v>6</v>
      </c>
      <c r="F84" s="3" t="n">
        <v>132</v>
      </c>
      <c r="G84" s="3" t="n">
        <v>1.1</v>
      </c>
      <c r="H84" s="3" t="n">
        <v>0.5667</v>
      </c>
    </row>
    <row r="85">
      <c r="A85" s="2" t="n">
        <v>81</v>
      </c>
      <c r="B85" s="2" t="inlineStr">
        <is>
          <t>DC_081</t>
        </is>
      </c>
      <c r="C85" s="2" t="inlineStr">
        <is>
          <t>Micropipet 1ml</t>
        </is>
      </c>
      <c r="D85" s="2" t="inlineStr">
        <is>
          <t>cái</t>
        </is>
      </c>
      <c r="E85" s="2" t="n">
        <v>6</v>
      </c>
      <c r="F85" s="2" t="n">
        <v>132</v>
      </c>
      <c r="G85" s="2" t="n">
        <v>1.1</v>
      </c>
      <c r="H85" s="2" t="n">
        <v>3.2333</v>
      </c>
    </row>
    <row r="86">
      <c r="A86" s="3" t="n">
        <v>82</v>
      </c>
      <c r="B86" s="3" t="inlineStr">
        <is>
          <t>DC_082</t>
        </is>
      </c>
      <c r="C86" s="3" t="inlineStr">
        <is>
          <t>Micropipet 5ml</t>
        </is>
      </c>
      <c r="D86" s="3" t="inlineStr">
        <is>
          <t>cái</t>
        </is>
      </c>
      <c r="E86" s="3" t="n">
        <v>6</v>
      </c>
      <c r="F86" s="3" t="n">
        <v>132</v>
      </c>
      <c r="G86" s="3" t="n">
        <v>1.1</v>
      </c>
      <c r="H86" s="3" t="n">
        <v>1.6667</v>
      </c>
    </row>
    <row r="87">
      <c r="A87" s="2" t="n">
        <v>83</v>
      </c>
      <c r="B87" s="2" t="inlineStr">
        <is>
          <t>DC_083</t>
        </is>
      </c>
      <c r="C87" s="2" t="inlineStr">
        <is>
          <t>Micropipet 5ml</t>
        </is>
      </c>
      <c r="D87" s="2" t="inlineStr">
        <is>
          <t>Cái</t>
        </is>
      </c>
      <c r="E87" s="2" t="n">
        <v>6</v>
      </c>
      <c r="F87" s="2" t="n">
        <v>132</v>
      </c>
      <c r="G87" s="2" t="n">
        <v>1.1</v>
      </c>
      <c r="H87" s="2" t="n">
        <v>0.2333</v>
      </c>
    </row>
    <row r="88">
      <c r="A88" s="3" t="n">
        <v>84</v>
      </c>
      <c r="B88" s="3" t="inlineStr">
        <is>
          <t>DC_084</t>
        </is>
      </c>
      <c r="C88" s="3" t="inlineStr">
        <is>
          <t>Màng lọc cho FIAS</t>
        </is>
      </c>
      <c r="D88" s="3" t="inlineStr">
        <is>
          <t>cái</t>
        </is>
      </c>
      <c r="E88" s="3" t="n">
        <v>2</v>
      </c>
      <c r="F88" s="3" t="n">
        <v>44</v>
      </c>
      <c r="G88" s="3" t="n">
        <v>1.1</v>
      </c>
      <c r="H88" s="3" t="n">
        <v>1.8</v>
      </c>
    </row>
    <row r="89">
      <c r="A89" s="2" t="n">
        <v>85</v>
      </c>
      <c r="B89" s="2" t="inlineStr">
        <is>
          <t>DC_085</t>
        </is>
      </c>
      <c r="C89" s="2" t="inlineStr">
        <is>
          <t>Máy hút bụi 2kw</t>
        </is>
      </c>
      <c r="D89" s="2" t="inlineStr">
        <is>
          <t>cái</t>
        </is>
      </c>
      <c r="E89" s="2" t="n">
        <v>60</v>
      </c>
      <c r="F89" s="2" t="n">
        <v>1320</v>
      </c>
      <c r="G89" s="2" t="n">
        <v>1.1</v>
      </c>
      <c r="H89" s="2" t="n">
        <v>0.6967</v>
      </c>
    </row>
    <row r="90">
      <c r="A90" s="3" t="n">
        <v>86</v>
      </c>
      <c r="B90" s="3" t="inlineStr">
        <is>
          <t>DC_086</t>
        </is>
      </c>
      <c r="C90" s="3" t="inlineStr">
        <is>
          <t>Máy hút bụi 2kw</t>
        </is>
      </c>
      <c r="D90" s="3" t="inlineStr">
        <is>
          <t>Cái</t>
        </is>
      </c>
      <c r="E90" s="3" t="n">
        <v>60</v>
      </c>
      <c r="F90" s="3" t="n">
        <v>1320</v>
      </c>
      <c r="G90" s="3" t="n">
        <v>1.1</v>
      </c>
      <c r="H90" s="3" t="n">
        <v>0.03</v>
      </c>
    </row>
    <row r="91">
      <c r="A91" s="2" t="n">
        <v>87</v>
      </c>
      <c r="B91" s="2" t="inlineStr">
        <is>
          <t>DC_087</t>
        </is>
      </c>
      <c r="C91" s="2" t="inlineStr">
        <is>
          <t>Máy hút ẩm 1,5kw</t>
        </is>
      </c>
      <c r="D91" s="2" t="inlineStr">
        <is>
          <t>cái</t>
        </is>
      </c>
      <c r="E91" s="2" t="n">
        <v>36</v>
      </c>
      <c r="F91" s="2" t="n">
        <v>792</v>
      </c>
      <c r="G91" s="2" t="n">
        <v>1.1</v>
      </c>
      <c r="H91" s="2" t="n">
        <v>1.1611</v>
      </c>
    </row>
    <row r="92">
      <c r="A92" s="3" t="n">
        <v>88</v>
      </c>
      <c r="B92" s="3" t="inlineStr">
        <is>
          <t>DC_088</t>
        </is>
      </c>
      <c r="C92" s="3" t="inlineStr">
        <is>
          <t>Máy hút ẩm 1,5kw</t>
        </is>
      </c>
      <c r="D92" s="3" t="inlineStr">
        <is>
          <t>Cái</t>
        </is>
      </c>
      <c r="E92" s="3" t="n">
        <v>36</v>
      </c>
      <c r="F92" s="3" t="n">
        <v>792</v>
      </c>
      <c r="G92" s="3" t="n">
        <v>1.1</v>
      </c>
      <c r="H92" s="3" t="n">
        <v>0.05</v>
      </c>
    </row>
    <row r="93">
      <c r="A93" s="2" t="n">
        <v>89</v>
      </c>
      <c r="B93" s="2" t="inlineStr">
        <is>
          <t>DC_089</t>
        </is>
      </c>
      <c r="C93" s="2" t="inlineStr">
        <is>
          <t>Mũ cứng</t>
        </is>
      </c>
      <c r="D93" s="2" t="inlineStr">
        <is>
          <t>cái</t>
        </is>
      </c>
      <c r="E93" s="2" t="n">
        <v>3</v>
      </c>
      <c r="F93" s="2" t="n">
        <v>66</v>
      </c>
      <c r="G93" s="2" t="n">
        <v>1.1</v>
      </c>
      <c r="H93" s="2" t="n">
        <v>31.2667</v>
      </c>
    </row>
    <row r="94">
      <c r="A94" s="3" t="n">
        <v>90</v>
      </c>
      <c r="B94" s="3" t="inlineStr">
        <is>
          <t>DC_090</t>
        </is>
      </c>
      <c r="C94" s="3" t="inlineStr">
        <is>
          <t>Mũ cứng</t>
        </is>
      </c>
      <c r="D94" s="3" t="inlineStr">
        <is>
          <t>Cái</t>
        </is>
      </c>
      <c r="E94" s="3" t="n">
        <v>3</v>
      </c>
      <c r="F94" s="3" t="n">
        <v>66</v>
      </c>
      <c r="G94" s="3" t="n">
        <v>1.1</v>
      </c>
      <c r="H94" s="3" t="n">
        <v>1.6</v>
      </c>
    </row>
    <row r="95">
      <c r="A95" s="2" t="n">
        <v>91</v>
      </c>
      <c r="B95" s="2" t="inlineStr">
        <is>
          <t>DC_091</t>
        </is>
      </c>
      <c r="C95" s="2" t="inlineStr">
        <is>
          <t>Nhíp</t>
        </is>
      </c>
      <c r="D95" s="2" t="inlineStr">
        <is>
          <t>cái</t>
        </is>
      </c>
      <c r="E95" s="2" t="n">
        <v>36</v>
      </c>
      <c r="F95" s="2" t="n">
        <v>792</v>
      </c>
      <c r="G95" s="2" t="n">
        <v>1.1</v>
      </c>
      <c r="H95" s="2" t="n">
        <v>0.1444</v>
      </c>
    </row>
    <row r="96">
      <c r="A96" s="3" t="n">
        <v>92</v>
      </c>
      <c r="B96" s="3" t="inlineStr">
        <is>
          <t>DC_092</t>
        </is>
      </c>
      <c r="C96" s="3" t="inlineStr">
        <is>
          <t>Phễu chiết 1000ml</t>
        </is>
      </c>
      <c r="D96" s="3" t="inlineStr">
        <is>
          <t>cái</t>
        </is>
      </c>
      <c r="E96" s="3" t="n">
        <v>6</v>
      </c>
      <c r="F96" s="3" t="n">
        <v>132</v>
      </c>
      <c r="G96" s="3" t="n">
        <v>1.1</v>
      </c>
      <c r="H96" s="3" t="n">
        <v>0.9</v>
      </c>
    </row>
    <row r="97">
      <c r="A97" s="2" t="n">
        <v>93</v>
      </c>
      <c r="B97" s="2" t="inlineStr">
        <is>
          <t>DC_093</t>
        </is>
      </c>
      <c r="C97" s="2" t="inlineStr">
        <is>
          <t>Phễu chiết 1000ml</t>
        </is>
      </c>
      <c r="D97" s="2" t="inlineStr">
        <is>
          <t>Cái</t>
        </is>
      </c>
      <c r="E97" s="2" t="n">
        <v>6</v>
      </c>
      <c r="F97" s="2" t="n">
        <v>132</v>
      </c>
      <c r="G97" s="2" t="n">
        <v>1.1</v>
      </c>
      <c r="H97" s="2" t="n">
        <v>0.0667</v>
      </c>
    </row>
    <row r="98">
      <c r="A98" s="3" t="n">
        <v>94</v>
      </c>
      <c r="B98" s="3" t="inlineStr">
        <is>
          <t>DC_094</t>
        </is>
      </c>
      <c r="C98" s="3" t="inlineStr">
        <is>
          <t>Phễu lọc thủy tinh</t>
        </is>
      </c>
      <c r="D98" s="3" t="inlineStr">
        <is>
          <t>cái</t>
        </is>
      </c>
      <c r="E98" s="3" t="n">
        <v>6</v>
      </c>
      <c r="F98" s="3" t="n">
        <v>132</v>
      </c>
      <c r="G98" s="3" t="n">
        <v>1.1</v>
      </c>
      <c r="H98" s="3" t="n">
        <v>0.4333</v>
      </c>
    </row>
    <row r="99">
      <c r="A99" s="2" t="n">
        <v>95</v>
      </c>
      <c r="B99" s="2" t="inlineStr">
        <is>
          <t>DC_095</t>
        </is>
      </c>
      <c r="C99" s="2" t="inlineStr">
        <is>
          <t>Pipet 10ml</t>
        </is>
      </c>
      <c r="D99" s="2" t="inlineStr">
        <is>
          <t>cái</t>
        </is>
      </c>
      <c r="E99" s="2" t="n">
        <v>6</v>
      </c>
      <c r="F99" s="2" t="n">
        <v>132</v>
      </c>
      <c r="G99" s="2" t="n">
        <v>1.1</v>
      </c>
      <c r="H99" s="2" t="n">
        <v>4.4333</v>
      </c>
    </row>
    <row r="100">
      <c r="A100" s="3" t="n">
        <v>96</v>
      </c>
      <c r="B100" s="3" t="inlineStr">
        <is>
          <t>DC_096</t>
        </is>
      </c>
      <c r="C100" s="3" t="inlineStr">
        <is>
          <t>Pipet 10ml</t>
        </is>
      </c>
      <c r="D100" s="3" t="inlineStr">
        <is>
          <t>Cái</t>
        </is>
      </c>
      <c r="E100" s="3" t="n">
        <v>6</v>
      </c>
      <c r="F100" s="3" t="n">
        <v>132</v>
      </c>
      <c r="G100" s="3" t="n">
        <v>1.1</v>
      </c>
      <c r="H100" s="3" t="n">
        <v>0.3</v>
      </c>
    </row>
    <row r="101">
      <c r="A101" s="2" t="n">
        <v>97</v>
      </c>
      <c r="B101" s="2" t="inlineStr">
        <is>
          <t>DC_097</t>
        </is>
      </c>
      <c r="C101" s="2" t="inlineStr">
        <is>
          <t>Pipet 5ml</t>
        </is>
      </c>
      <c r="D101" s="2" t="inlineStr">
        <is>
          <t>cái</t>
        </is>
      </c>
      <c r="E101" s="2" t="n">
        <v>6</v>
      </c>
      <c r="F101" s="2" t="n">
        <v>132</v>
      </c>
      <c r="G101" s="2" t="n">
        <v>1.1</v>
      </c>
      <c r="H101" s="2" t="n">
        <v>0.8667</v>
      </c>
    </row>
    <row r="102">
      <c r="A102" s="3" t="n">
        <v>98</v>
      </c>
      <c r="B102" s="3" t="inlineStr">
        <is>
          <t>DC_098</t>
        </is>
      </c>
      <c r="C102" s="3" t="inlineStr">
        <is>
          <t>Quạt thông gió 40w</t>
        </is>
      </c>
      <c r="D102" s="3" t="inlineStr">
        <is>
          <t>cái</t>
        </is>
      </c>
      <c r="E102" s="3" t="n">
        <v>36</v>
      </c>
      <c r="F102" s="3" t="n">
        <v>792</v>
      </c>
      <c r="G102" s="3" t="n">
        <v>1.1</v>
      </c>
      <c r="H102" s="3" t="n">
        <v>1.1611</v>
      </c>
    </row>
    <row r="103">
      <c r="A103" s="2" t="n">
        <v>99</v>
      </c>
      <c r="B103" s="2" t="inlineStr">
        <is>
          <t>DC_099</t>
        </is>
      </c>
      <c r="C103" s="2" t="inlineStr">
        <is>
          <t>Quạt thông gió 40w</t>
        </is>
      </c>
      <c r="D103" s="2" t="inlineStr">
        <is>
          <t>Cái</t>
        </is>
      </c>
      <c r="E103" s="2" t="n">
        <v>36</v>
      </c>
      <c r="F103" s="2" t="n">
        <v>792</v>
      </c>
      <c r="G103" s="2" t="n">
        <v>1.1</v>
      </c>
      <c r="H103" s="2" t="n">
        <v>0.05</v>
      </c>
    </row>
    <row r="104">
      <c r="A104" s="3" t="n">
        <v>100</v>
      </c>
      <c r="B104" s="3" t="inlineStr">
        <is>
          <t>DC_100</t>
        </is>
      </c>
      <c r="C104" s="3" t="inlineStr">
        <is>
          <t>Quạt trần 100w</t>
        </is>
      </c>
      <c r="D104" s="3" t="inlineStr">
        <is>
          <t>cái</t>
        </is>
      </c>
      <c r="E104" s="3" t="n">
        <v>36</v>
      </c>
      <c r="F104" s="3" t="n">
        <v>792</v>
      </c>
      <c r="G104" s="3" t="n">
        <v>1.1</v>
      </c>
      <c r="H104" s="3" t="n">
        <v>1.1444</v>
      </c>
    </row>
    <row r="105">
      <c r="A105" s="2" t="n">
        <v>101</v>
      </c>
      <c r="B105" s="2" t="inlineStr">
        <is>
          <t>DC_101</t>
        </is>
      </c>
      <c r="C105" s="2" t="inlineStr">
        <is>
          <t>Quạt trần 100w</t>
        </is>
      </c>
      <c r="D105" s="2" t="inlineStr">
        <is>
          <t>Cái</t>
        </is>
      </c>
      <c r="E105" s="2" t="n">
        <v>36</v>
      </c>
      <c r="F105" s="2" t="n">
        <v>792</v>
      </c>
      <c r="G105" s="2" t="n">
        <v>1.1</v>
      </c>
      <c r="H105" s="2" t="n">
        <v>0.05</v>
      </c>
    </row>
    <row r="106">
      <c r="A106" s="3" t="n">
        <v>102</v>
      </c>
      <c r="B106" s="3" t="inlineStr">
        <is>
          <t>DC_102</t>
        </is>
      </c>
      <c r="C106" s="3" t="inlineStr">
        <is>
          <t>Quạt trần 100w</t>
        </is>
      </c>
      <c r="D106" s="3" t="inlineStr">
        <is>
          <t>đôi</t>
        </is>
      </c>
      <c r="E106" s="3" t="n">
        <v>36</v>
      </c>
      <c r="F106" s="3" t="n">
        <v>792</v>
      </c>
      <c r="G106" s="3" t="n">
        <v>1.1</v>
      </c>
      <c r="H106" s="3" t="n">
        <v>0.0167</v>
      </c>
    </row>
    <row r="107">
      <c r="A107" s="2" t="n">
        <v>103</v>
      </c>
      <c r="B107" s="2" t="inlineStr">
        <is>
          <t>DC_103</t>
        </is>
      </c>
      <c r="C107" s="2" t="inlineStr">
        <is>
          <t>Quần áo BHLĐ</t>
        </is>
      </c>
      <c r="D107" s="2" t="inlineStr">
        <is>
          <t>bộ</t>
        </is>
      </c>
      <c r="E107" s="2" t="n">
        <v>6</v>
      </c>
      <c r="F107" s="2" t="n">
        <v>132</v>
      </c>
      <c r="G107" s="2" t="n">
        <v>1.1</v>
      </c>
      <c r="H107" s="2" t="n">
        <v>16.4333</v>
      </c>
    </row>
    <row r="108">
      <c r="A108" s="3" t="n">
        <v>104</v>
      </c>
      <c r="B108" s="3" t="inlineStr">
        <is>
          <t>DC_104</t>
        </is>
      </c>
      <c r="C108" s="3" t="inlineStr">
        <is>
          <t>Sensor CO</t>
        </is>
      </c>
      <c r="D108" s="3" t="inlineStr">
        <is>
          <t>cái</t>
        </is>
      </c>
      <c r="E108" s="3" t="n">
        <v>12</v>
      </c>
      <c r="F108" s="3" t="n">
        <v>264</v>
      </c>
      <c r="G108" s="3" t="n">
        <v>1.1</v>
      </c>
      <c r="H108" s="3" t="n">
        <v>0.05</v>
      </c>
    </row>
    <row r="109">
      <c r="A109" s="2" t="n">
        <v>105</v>
      </c>
      <c r="B109" s="2" t="inlineStr">
        <is>
          <t>DC_105</t>
        </is>
      </c>
      <c r="C109" s="2" t="inlineStr">
        <is>
          <t>Sensor NO</t>
        </is>
      </c>
      <c r="D109" s="2" t="inlineStr">
        <is>
          <t>cái</t>
        </is>
      </c>
      <c r="E109" s="2" t="n">
        <v>12</v>
      </c>
      <c r="F109" s="2" t="n">
        <v>264</v>
      </c>
      <c r="G109" s="2" t="n">
        <v>1.1</v>
      </c>
      <c r="H109" s="2" t="n">
        <v>0.0333</v>
      </c>
    </row>
    <row r="110">
      <c r="A110" s="3" t="n">
        <v>106</v>
      </c>
      <c r="B110" s="3" t="inlineStr">
        <is>
          <t>DC_106</t>
        </is>
      </c>
      <c r="C110" s="3" t="inlineStr">
        <is>
          <t>Sensor NOx</t>
        </is>
      </c>
      <c r="D110" s="3" t="inlineStr">
        <is>
          <t>cái</t>
        </is>
      </c>
      <c r="E110" s="3" t="n">
        <v>12</v>
      </c>
      <c r="F110" s="3" t="n">
        <v>264</v>
      </c>
      <c r="G110" s="3" t="n">
        <v>1.1</v>
      </c>
      <c r="H110" s="3" t="n">
        <v>0.05</v>
      </c>
    </row>
    <row r="111">
      <c r="A111" s="2" t="n">
        <v>107</v>
      </c>
      <c r="B111" s="2" t="inlineStr">
        <is>
          <t>DC_107</t>
        </is>
      </c>
      <c r="C111" s="2" t="inlineStr">
        <is>
          <t>Sensor O2</t>
        </is>
      </c>
      <c r="D111" s="2" t="inlineStr">
        <is>
          <t>cái</t>
        </is>
      </c>
      <c r="E111" s="2" t="n">
        <v>12</v>
      </c>
      <c r="F111" s="2" t="n">
        <v>264</v>
      </c>
      <c r="G111" s="2" t="n">
        <v>1.1</v>
      </c>
      <c r="H111" s="2" t="n">
        <v>0.05</v>
      </c>
    </row>
    <row r="112">
      <c r="A112" s="3" t="n">
        <v>108</v>
      </c>
      <c r="B112" s="3" t="inlineStr">
        <is>
          <t>DC_108</t>
        </is>
      </c>
      <c r="C112" s="3" t="inlineStr">
        <is>
          <t>Sensor SO2</t>
        </is>
      </c>
      <c r="D112" s="3" t="inlineStr">
        <is>
          <t>cái</t>
        </is>
      </c>
      <c r="E112" s="3" t="n">
        <v>12</v>
      </c>
      <c r="F112" s="3" t="n">
        <v>264</v>
      </c>
      <c r="G112" s="3" t="n">
        <v>1.1</v>
      </c>
      <c r="H112" s="3" t="n">
        <v>0.05</v>
      </c>
    </row>
    <row r="113">
      <c r="A113" s="2" t="n">
        <v>109</v>
      </c>
      <c r="B113" s="2" t="inlineStr">
        <is>
          <t>DC_109</t>
        </is>
      </c>
      <c r="C113" s="2" t="inlineStr">
        <is>
          <t>Thiết bị lấy mẫu thể tích 2 lít</t>
        </is>
      </c>
      <c r="D113" s="2" t="inlineStr">
        <is>
          <t>cái</t>
        </is>
      </c>
      <c r="E113" s="2" t="n">
        <v>24</v>
      </c>
      <c r="F113" s="2" t="n">
        <v>528</v>
      </c>
      <c r="G113" s="2" t="n">
        <v>1.1</v>
      </c>
      <c r="H113" s="2" t="n">
        <v>0.8104</v>
      </c>
    </row>
    <row r="114">
      <c r="A114" s="3" t="n">
        <v>110</v>
      </c>
      <c r="B114" s="3" t="inlineStr">
        <is>
          <t>DC_110</t>
        </is>
      </c>
      <c r="C114" s="3" t="inlineStr">
        <is>
          <t>Thiết bị lấy mẫu thể tích 5 lít</t>
        </is>
      </c>
      <c r="D114" s="3" t="inlineStr">
        <is>
          <t>cái</t>
        </is>
      </c>
      <c r="E114" s="3" t="n">
        <v>24</v>
      </c>
      <c r="F114" s="3" t="n">
        <v>528</v>
      </c>
      <c r="G114" s="3" t="n">
        <v>1.1</v>
      </c>
      <c r="H114" s="3" t="n">
        <v>0.8104</v>
      </c>
    </row>
    <row r="115">
      <c r="A115" s="2" t="n">
        <v>111</v>
      </c>
      <c r="B115" s="2" t="inlineStr">
        <is>
          <t>DC_111</t>
        </is>
      </c>
      <c r="C115" s="2" t="inlineStr">
        <is>
          <t>Thùng đựng và bảo quản mẫu</t>
        </is>
      </c>
      <c r="D115" s="2" t="inlineStr">
        <is>
          <t>cái</t>
        </is>
      </c>
      <c r="E115" s="2" t="n">
        <v>5</v>
      </c>
      <c r="F115" s="2" t="n">
        <v>110</v>
      </c>
      <c r="G115" s="2" t="n">
        <v>1.1</v>
      </c>
      <c r="H115" s="2" t="n">
        <v>16.2</v>
      </c>
    </row>
    <row r="116">
      <c r="A116" s="3" t="n">
        <v>112</v>
      </c>
      <c r="B116" s="3" t="inlineStr">
        <is>
          <t>DC_112</t>
        </is>
      </c>
      <c r="C116" s="3" t="inlineStr">
        <is>
          <t>Thùng đựng và bảo quản mẫu</t>
        </is>
      </c>
      <c r="D116" s="3" t="inlineStr">
        <is>
          <t>Cái</t>
        </is>
      </c>
      <c r="E116" s="3" t="n">
        <v>5</v>
      </c>
      <c r="F116" s="3" t="n">
        <v>110</v>
      </c>
      <c r="G116" s="3" t="n">
        <v>1.1</v>
      </c>
      <c r="H116" s="3" t="n">
        <v>0.96</v>
      </c>
    </row>
    <row r="117">
      <c r="A117" s="2" t="n">
        <v>113</v>
      </c>
      <c r="B117" s="2" t="inlineStr">
        <is>
          <t>DC_113</t>
        </is>
      </c>
      <c r="C117" s="2" t="inlineStr">
        <is>
          <t>Tất sợi</t>
        </is>
      </c>
      <c r="D117" s="2" t="inlineStr">
        <is>
          <t>đôi</t>
        </is>
      </c>
      <c r="E117" s="2" t="n">
        <v>6</v>
      </c>
      <c r="F117" s="2" t="n">
        <v>132</v>
      </c>
      <c r="G117" s="2" t="n">
        <v>1.1</v>
      </c>
      <c r="H117" s="2" t="n">
        <v>6.3667</v>
      </c>
    </row>
    <row r="118">
      <c r="A118" s="3" t="n">
        <v>114</v>
      </c>
      <c r="B118" s="3" t="inlineStr">
        <is>
          <t>DC_114</t>
        </is>
      </c>
      <c r="C118" s="3" t="inlineStr">
        <is>
          <t>Tất sợi</t>
        </is>
      </c>
      <c r="D118" s="3" t="inlineStr">
        <is>
          <t>Đôi</t>
        </is>
      </c>
      <c r="E118" s="3" t="n">
        <v>6</v>
      </c>
      <c r="F118" s="3" t="n">
        <v>132</v>
      </c>
      <c r="G118" s="3" t="n">
        <v>1.1</v>
      </c>
      <c r="H118" s="3" t="n">
        <v>0.8</v>
      </c>
    </row>
    <row r="119">
      <c r="A119" s="2" t="n">
        <v>115</v>
      </c>
      <c r="B119" s="2" t="inlineStr">
        <is>
          <t>DC_115</t>
        </is>
      </c>
      <c r="C119" s="2" t="inlineStr">
        <is>
          <t>Tủ đựng tài liệu</t>
        </is>
      </c>
      <c r="D119" s="2" t="inlineStr">
        <is>
          <t>cái</t>
        </is>
      </c>
      <c r="E119" s="2" t="n">
        <v>72</v>
      </c>
      <c r="F119" s="2" t="n">
        <v>1584</v>
      </c>
      <c r="G119" s="2" t="n">
        <v>1.1</v>
      </c>
      <c r="H119" s="2" t="n">
        <v>0.5722</v>
      </c>
    </row>
    <row r="120">
      <c r="A120" s="3" t="n">
        <v>116</v>
      </c>
      <c r="B120" s="3" t="inlineStr">
        <is>
          <t>DC_116</t>
        </is>
      </c>
      <c r="C120" s="3" t="inlineStr">
        <is>
          <t>Tủ đựng tài liệu</t>
        </is>
      </c>
      <c r="D120" s="3" t="inlineStr">
        <is>
          <t>Cái</t>
        </is>
      </c>
      <c r="E120" s="3" t="n">
        <v>72</v>
      </c>
      <c r="F120" s="3" t="n">
        <v>1584</v>
      </c>
      <c r="G120" s="3" t="n">
        <v>1.1</v>
      </c>
      <c r="H120" s="3" t="n">
        <v>0.025</v>
      </c>
    </row>
    <row r="121">
      <c r="A121" s="2" t="n">
        <v>117</v>
      </c>
      <c r="B121" s="2" t="inlineStr">
        <is>
          <t>DC_117</t>
        </is>
      </c>
      <c r="C121" s="2" t="inlineStr">
        <is>
          <t>Tủ đựng tài liệu</t>
        </is>
      </c>
      <c r="D121" s="2" t="inlineStr">
        <is>
          <t>đôi</t>
        </is>
      </c>
      <c r="E121" s="2" t="n">
        <v>72</v>
      </c>
      <c r="F121" s="2" t="n">
        <v>1584</v>
      </c>
      <c r="G121" s="2" t="n">
        <v>1.1</v>
      </c>
      <c r="H121" s="2" t="n">
        <v>0.0083</v>
      </c>
    </row>
    <row r="122">
      <c r="A122" s="3" t="n">
        <v>118</v>
      </c>
      <c r="B122" s="3" t="inlineStr">
        <is>
          <t>DC_118</t>
        </is>
      </c>
      <c r="C122" s="3" t="inlineStr">
        <is>
          <t>Van Dorn Sampler thể tích 2 lít</t>
        </is>
      </c>
      <c r="D122" s="3" t="inlineStr">
        <is>
          <t>cái</t>
        </is>
      </c>
      <c r="E122" s="3" t="n">
        <v>24</v>
      </c>
      <c r="F122" s="3" t="n">
        <v>528</v>
      </c>
      <c r="G122" s="3" t="n">
        <v>1.1</v>
      </c>
      <c r="H122" s="3" t="n">
        <v>0.6938</v>
      </c>
    </row>
    <row r="123">
      <c r="A123" s="2" t="n">
        <v>119</v>
      </c>
      <c r="B123" s="2" t="inlineStr">
        <is>
          <t>DC_119</t>
        </is>
      </c>
      <c r="C123" s="2" t="inlineStr">
        <is>
          <t>Van Dorn Sampler thể tích 5 lít</t>
        </is>
      </c>
      <c r="D123" s="2" t="inlineStr">
        <is>
          <t>cái</t>
        </is>
      </c>
      <c r="E123" s="2" t="n">
        <v>24</v>
      </c>
      <c r="F123" s="2" t="n">
        <v>528</v>
      </c>
      <c r="G123" s="2" t="n">
        <v>1.1</v>
      </c>
      <c r="H123" s="2" t="n">
        <v>0.6938</v>
      </c>
    </row>
    <row r="124">
      <c r="A124" s="3" t="n">
        <v>120</v>
      </c>
      <c r="B124" s="3" t="inlineStr">
        <is>
          <t>DC_120</t>
        </is>
      </c>
      <c r="C124" s="3" t="inlineStr">
        <is>
          <t>Xô chứa dung dịch sục khí</t>
        </is>
      </c>
      <c r="D124" s="3" t="inlineStr">
        <is>
          <t>cái</t>
        </is>
      </c>
      <c r="E124" s="3" t="n">
        <v>24</v>
      </c>
      <c r="F124" s="3" t="n">
        <v>528</v>
      </c>
      <c r="G124" s="3" t="n">
        <v>1.1</v>
      </c>
      <c r="H124" s="3" t="n">
        <v>0.0583</v>
      </c>
    </row>
    <row r="125">
      <c r="A125" s="2" t="n">
        <v>121</v>
      </c>
      <c r="B125" s="2" t="inlineStr">
        <is>
          <t>DC_121</t>
        </is>
      </c>
      <c r="C125" s="2" t="inlineStr">
        <is>
          <t>Áo blue</t>
        </is>
      </c>
      <c r="D125" s="2" t="inlineStr">
        <is>
          <t>cái</t>
        </is>
      </c>
      <c r="E125" s="2" t="n">
        <v>12</v>
      </c>
      <c r="F125" s="2" t="n">
        <v>264</v>
      </c>
      <c r="G125" s="2" t="n">
        <v>1.1</v>
      </c>
      <c r="H125" s="2" t="n">
        <v>3.4667</v>
      </c>
    </row>
    <row r="126">
      <c r="A126" s="3" t="n">
        <v>122</v>
      </c>
      <c r="B126" s="3" t="inlineStr">
        <is>
          <t>DC_122</t>
        </is>
      </c>
      <c r="C126" s="3" t="inlineStr">
        <is>
          <t>Áo blue</t>
        </is>
      </c>
      <c r="D126" s="3" t="inlineStr">
        <is>
          <t>Cái</t>
        </is>
      </c>
      <c r="E126" s="3" t="n">
        <v>12</v>
      </c>
      <c r="F126" s="3" t="n">
        <v>264</v>
      </c>
      <c r="G126" s="3" t="n">
        <v>1.1</v>
      </c>
      <c r="H126" s="3" t="n">
        <v>0.1167</v>
      </c>
    </row>
    <row r="127">
      <c r="A127" s="2" t="n">
        <v>123</v>
      </c>
      <c r="B127" s="2" t="inlineStr">
        <is>
          <t>DC_123</t>
        </is>
      </c>
      <c r="C127" s="2" t="inlineStr">
        <is>
          <t>Áo blue</t>
        </is>
      </c>
      <c r="D127" s="2" t="inlineStr">
        <is>
          <t>Bộ</t>
        </is>
      </c>
      <c r="E127" s="2" t="n">
        <v>12</v>
      </c>
      <c r="F127" s="2" t="n">
        <v>264</v>
      </c>
      <c r="G127" s="2" t="n">
        <v>1.1</v>
      </c>
      <c r="H127" s="2" t="n">
        <v>0.05</v>
      </c>
    </row>
    <row r="128">
      <c r="A128" s="3" t="n">
        <v>124</v>
      </c>
      <c r="B128" s="3" t="inlineStr">
        <is>
          <t>DC_124</t>
        </is>
      </c>
      <c r="C128" s="3" t="inlineStr">
        <is>
          <t>Áo phao</t>
        </is>
      </c>
      <c r="D128" s="3" t="inlineStr">
        <is>
          <t>cái</t>
        </is>
      </c>
      <c r="E128" s="3" t="n">
        <v>12</v>
      </c>
      <c r="F128" s="3" t="n">
        <v>264</v>
      </c>
      <c r="G128" s="3" t="n">
        <v>1.1</v>
      </c>
      <c r="H128" s="3" t="n">
        <v>3.6667</v>
      </c>
    </row>
    <row r="129">
      <c r="A129" s="2" t="n">
        <v>125</v>
      </c>
      <c r="B129" s="2" t="inlineStr">
        <is>
          <t>DC_125</t>
        </is>
      </c>
      <c r="C129" s="2" t="inlineStr">
        <is>
          <t>Ô che mưa, che nắng</t>
        </is>
      </c>
      <c r="D129" s="2" t="inlineStr">
        <is>
          <t>cái</t>
        </is>
      </c>
      <c r="E129" s="2" t="n">
        <v>24</v>
      </c>
      <c r="F129" s="2" t="n">
        <v>528</v>
      </c>
      <c r="G129" s="2" t="n">
        <v>1.1</v>
      </c>
      <c r="H129" s="2" t="n">
        <v>3.0729</v>
      </c>
    </row>
    <row r="130">
      <c r="A130" s="3" t="n">
        <v>126</v>
      </c>
      <c r="B130" s="3" t="inlineStr">
        <is>
          <t>DC_126</t>
        </is>
      </c>
      <c r="C130" s="3" t="inlineStr">
        <is>
          <t>Ô che mưa, che nắng</t>
        </is>
      </c>
      <c r="D130" s="3" t="inlineStr">
        <is>
          <t>Cái</t>
        </is>
      </c>
      <c r="E130" s="3" t="n">
        <v>24</v>
      </c>
      <c r="F130" s="3" t="n">
        <v>528</v>
      </c>
      <c r="G130" s="3" t="n">
        <v>1.1</v>
      </c>
      <c r="H130" s="3" t="n">
        <v>0.2</v>
      </c>
    </row>
    <row r="131">
      <c r="A131" s="2" t="n">
        <v>127</v>
      </c>
      <c r="B131" s="2" t="inlineStr">
        <is>
          <t>DC_127</t>
        </is>
      </c>
      <c r="C131" s="2" t="inlineStr">
        <is>
          <t>Đai bảo hiểm</t>
        </is>
      </c>
      <c r="D131" s="2" t="inlineStr">
        <is>
          <t>cái</t>
        </is>
      </c>
      <c r="E131" s="2" t="n">
        <v>3</v>
      </c>
      <c r="F131" s="2" t="n">
        <v>66</v>
      </c>
      <c r="G131" s="2" t="n">
        <v>1.1</v>
      </c>
      <c r="H131" s="2" t="n">
        <v>11.8</v>
      </c>
    </row>
    <row r="132">
      <c r="A132" s="3" t="n">
        <v>128</v>
      </c>
      <c r="B132" s="3" t="inlineStr">
        <is>
          <t>DC_128</t>
        </is>
      </c>
      <c r="C132" s="3" t="inlineStr">
        <is>
          <t>Điện cực</t>
        </is>
      </c>
      <c r="D132" s="3" t="inlineStr">
        <is>
          <t>cái</t>
        </is>
      </c>
      <c r="E132" s="3" t="n">
        <v>6</v>
      </c>
      <c r="F132" s="3" t="n">
        <v>132</v>
      </c>
      <c r="G132" s="3" t="n">
        <v>1.1</v>
      </c>
      <c r="H132" s="3" t="n">
        <v>0.1667</v>
      </c>
    </row>
    <row r="133">
      <c r="A133" s="2" t="n">
        <v>129</v>
      </c>
      <c r="B133" s="2" t="inlineStr">
        <is>
          <t>DC_129</t>
        </is>
      </c>
      <c r="C133" s="2" t="inlineStr">
        <is>
          <t>Điện cực pH</t>
        </is>
      </c>
      <c r="D133" s="2" t="inlineStr">
        <is>
          <t>cái</t>
        </is>
      </c>
      <c r="E133" s="2" t="n">
        <v>6</v>
      </c>
      <c r="F133" s="2" t="n">
        <v>132</v>
      </c>
      <c r="G133" s="2" t="n">
        <v>1.1</v>
      </c>
      <c r="H133" s="2" t="n">
        <v>0.8167</v>
      </c>
    </row>
    <row r="134">
      <c r="A134" s="3" t="n">
        <v>130</v>
      </c>
      <c r="B134" s="3" t="inlineStr">
        <is>
          <t>DC_130</t>
        </is>
      </c>
      <c r="C134" s="3" t="inlineStr">
        <is>
          <t>Điện cực pH</t>
        </is>
      </c>
      <c r="D134" s="3" t="inlineStr">
        <is>
          <t>Cái</t>
        </is>
      </c>
      <c r="E134" s="3" t="n">
        <v>6</v>
      </c>
      <c r="F134" s="3" t="n">
        <v>132</v>
      </c>
      <c r="G134" s="3" t="n">
        <v>1.1</v>
      </c>
      <c r="H134" s="3" t="n">
        <v>0.1333</v>
      </c>
    </row>
    <row r="135">
      <c r="A135" s="2" t="n">
        <v>131</v>
      </c>
      <c r="B135" s="2" t="inlineStr">
        <is>
          <t>DC_131</t>
        </is>
      </c>
      <c r="C135" s="2" t="inlineStr">
        <is>
          <t>Điện năng</t>
        </is>
      </c>
      <c r="D135" s="2" t="inlineStr">
        <is>
          <t>kw</t>
        </is>
      </c>
      <c r="E135" s="2" t="n">
        <v>12</v>
      </c>
      <c r="F135" s="2" t="n">
        <v>264</v>
      </c>
      <c r="G135" s="2" t="n">
        <v>1.1</v>
      </c>
      <c r="H135" s="2" t="n">
        <v>3.4333</v>
      </c>
    </row>
    <row r="136">
      <c r="A136" s="3" t="n">
        <v>132</v>
      </c>
      <c r="B136" s="3" t="inlineStr">
        <is>
          <t>DC_132</t>
        </is>
      </c>
      <c r="C136" s="3" t="inlineStr">
        <is>
          <t>Điện năng</t>
        </is>
      </c>
      <c r="D136" s="3" t="inlineStr">
        <is>
          <t>Kw</t>
        </is>
      </c>
      <c r="E136" s="3" t="n">
        <v>12</v>
      </c>
      <c r="F136" s="3" t="n">
        <v>264</v>
      </c>
      <c r="G136" s="3" t="n">
        <v>1.1</v>
      </c>
      <c r="H136" s="3" t="n">
        <v>0.15</v>
      </c>
    </row>
    <row r="137">
      <c r="A137" s="2" t="n">
        <v>133</v>
      </c>
      <c r="B137" s="2" t="inlineStr">
        <is>
          <t>DC_133</t>
        </is>
      </c>
      <c r="C137" s="2" t="inlineStr">
        <is>
          <t>Điện năng</t>
        </is>
      </c>
      <c r="D137" s="2" t="inlineStr">
        <is>
          <t>cái</t>
        </is>
      </c>
      <c r="E137" s="2" t="n">
        <v>12</v>
      </c>
      <c r="F137" s="2" t="n">
        <v>264</v>
      </c>
      <c r="G137" s="2" t="n">
        <v>1.1</v>
      </c>
      <c r="H137" s="2" t="n">
        <v>0.05</v>
      </c>
    </row>
    <row r="138">
      <c r="A138" s="3" t="n">
        <v>134</v>
      </c>
      <c r="B138" s="3" t="inlineStr">
        <is>
          <t>DC_134</t>
        </is>
      </c>
      <c r="C138" s="3" t="inlineStr">
        <is>
          <t>Đèn D2</t>
        </is>
      </c>
      <c r="D138" s="3" t="inlineStr">
        <is>
          <t>cái</t>
        </is>
      </c>
      <c r="E138" s="3" t="n">
        <v>24</v>
      </c>
      <c r="F138" s="3" t="n">
        <v>528</v>
      </c>
      <c r="G138" s="3" t="n">
        <v>1.1</v>
      </c>
      <c r="H138" s="3" t="n">
        <v>1.1167</v>
      </c>
    </row>
    <row r="139">
      <c r="A139" s="2" t="n">
        <v>135</v>
      </c>
      <c r="B139" s="2" t="inlineStr">
        <is>
          <t>DC_135</t>
        </is>
      </c>
      <c r="C139" s="2" t="inlineStr">
        <is>
          <t>Đèn EDL</t>
        </is>
      </c>
      <c r="D139" s="2" t="inlineStr">
        <is>
          <t>cái</t>
        </is>
      </c>
      <c r="E139" s="2" t="n">
        <v>24</v>
      </c>
      <c r="F139" s="2" t="n">
        <v>528</v>
      </c>
      <c r="G139" s="2" t="n">
        <v>1.1</v>
      </c>
      <c r="H139" s="2" t="n">
        <v>0.2667</v>
      </c>
    </row>
    <row r="140">
      <c r="A140" s="3" t="n">
        <v>136</v>
      </c>
      <c r="B140" s="3" t="inlineStr">
        <is>
          <t>DC_136</t>
        </is>
      </c>
      <c r="C140" s="3" t="inlineStr">
        <is>
          <t>Đèn HCL</t>
        </is>
      </c>
      <c r="D140" s="3" t="inlineStr">
        <is>
          <t>cái</t>
        </is>
      </c>
      <c r="E140" s="3" t="n">
        <v>24</v>
      </c>
      <c r="F140" s="3" t="n">
        <v>528</v>
      </c>
      <c r="G140" s="3" t="n">
        <v>1.1</v>
      </c>
      <c r="H140" s="3" t="n">
        <v>0.425</v>
      </c>
    </row>
    <row r="141">
      <c r="A141" s="2" t="n">
        <v>137</v>
      </c>
      <c r="B141" s="2" t="inlineStr">
        <is>
          <t>DC_137</t>
        </is>
      </c>
      <c r="C141" s="2" t="inlineStr">
        <is>
          <t>Đèn Tungsten</t>
        </is>
      </c>
      <c r="D141" s="2" t="inlineStr">
        <is>
          <t>cái</t>
        </is>
      </c>
      <c r="E141" s="2" t="n">
        <v>24</v>
      </c>
      <c r="F141" s="2" t="n">
        <v>528</v>
      </c>
      <c r="G141" s="2" t="n">
        <v>1.1</v>
      </c>
      <c r="H141" s="2" t="n">
        <v>1.1167</v>
      </c>
    </row>
    <row r="142">
      <c r="A142" s="3" t="n">
        <v>138</v>
      </c>
      <c r="B142" s="3" t="inlineStr">
        <is>
          <t>DC_138</t>
        </is>
      </c>
      <c r="C142" s="3" t="inlineStr">
        <is>
          <t>Đèn neon 40w</t>
        </is>
      </c>
      <c r="D142" s="3" t="inlineStr">
        <is>
          <t>bộ</t>
        </is>
      </c>
      <c r="E142" s="3" t="n">
        <v>24</v>
      </c>
      <c r="F142" s="3" t="n">
        <v>528</v>
      </c>
      <c r="G142" s="3" t="n">
        <v>1.1</v>
      </c>
      <c r="H142" s="3" t="n">
        <v>1.8167</v>
      </c>
    </row>
    <row r="143">
      <c r="A143" s="2" t="n">
        <v>139</v>
      </c>
      <c r="B143" s="2" t="inlineStr">
        <is>
          <t>DC_139</t>
        </is>
      </c>
      <c r="C143" s="2" t="inlineStr">
        <is>
          <t>Đĩa cân</t>
        </is>
      </c>
      <c r="D143" s="2" t="inlineStr">
        <is>
          <t>cái</t>
        </is>
      </c>
      <c r="E143" s="2" t="n">
        <v>60</v>
      </c>
      <c r="F143" s="2" t="n">
        <v>1320</v>
      </c>
      <c r="G143" s="2" t="n">
        <v>1.1</v>
      </c>
      <c r="H143" s="2" t="n">
        <v>0.0867</v>
      </c>
    </row>
    <row r="144">
      <c r="A144" s="3" t="n">
        <v>140</v>
      </c>
      <c r="B144" s="3" t="inlineStr">
        <is>
          <t>DC_140</t>
        </is>
      </c>
      <c r="C144" s="3" t="inlineStr">
        <is>
          <t>Đĩa thủy tinh</t>
        </is>
      </c>
      <c r="D144" s="3" t="inlineStr">
        <is>
          <t>cái</t>
        </is>
      </c>
      <c r="E144" s="3" t="n">
        <v>6</v>
      </c>
      <c r="F144" s="3" t="n">
        <v>132</v>
      </c>
      <c r="G144" s="3" t="n">
        <v>1.1</v>
      </c>
      <c r="H144" s="3" t="n">
        <v>0.3333</v>
      </c>
    </row>
    <row r="145">
      <c r="A145" s="2" t="n">
        <v>141</v>
      </c>
      <c r="B145" s="2" t="inlineStr">
        <is>
          <t>DC_141</t>
        </is>
      </c>
      <c r="C145" s="2" t="inlineStr">
        <is>
          <t>Đũa thủy tinh</t>
        </is>
      </c>
      <c r="D145" s="2" t="inlineStr">
        <is>
          <t>cái</t>
        </is>
      </c>
      <c r="E145" s="2" t="n">
        <v>6</v>
      </c>
      <c r="F145" s="2" t="n">
        <v>132</v>
      </c>
      <c r="G145" s="2" t="n">
        <v>1.1</v>
      </c>
      <c r="H145" s="2" t="n">
        <v>5.2667</v>
      </c>
    </row>
    <row r="146">
      <c r="A146" s="3" t="n">
        <v>142</v>
      </c>
      <c r="B146" s="3" t="inlineStr">
        <is>
          <t>DC_142</t>
        </is>
      </c>
      <c r="C146" s="3" t="inlineStr">
        <is>
          <t>Đũa thủy tinh</t>
        </is>
      </c>
      <c r="D146" s="3" t="inlineStr">
        <is>
          <t>cây</t>
        </is>
      </c>
      <c r="E146" s="3" t="n">
        <v>6</v>
      </c>
      <c r="F146" s="3" t="n">
        <v>132</v>
      </c>
      <c r="G146" s="3" t="n">
        <v>1.1</v>
      </c>
      <c r="H146" s="3" t="n">
        <v>0.2333</v>
      </c>
    </row>
    <row r="147">
      <c r="A147" s="2" t="n">
        <v>143</v>
      </c>
      <c r="B147" s="2" t="inlineStr">
        <is>
          <t>DC_143</t>
        </is>
      </c>
      <c r="C147" s="2" t="inlineStr">
        <is>
          <t>Đầu cone 1ml</t>
        </is>
      </c>
      <c r="D147" s="2" t="inlineStr">
        <is>
          <t>cái</t>
        </is>
      </c>
      <c r="E147" s="2" t="n">
        <v>1</v>
      </c>
      <c r="F147" s="2" t="n">
        <v>22</v>
      </c>
      <c r="G147" s="2" t="n">
        <v>1.1</v>
      </c>
      <c r="H147" s="2" t="n">
        <v>21.6</v>
      </c>
    </row>
    <row r="148">
      <c r="A148" s="3" t="n">
        <v>144</v>
      </c>
      <c r="B148" s="3" t="inlineStr">
        <is>
          <t>DC_144</t>
        </is>
      </c>
      <c r="C148" s="3" t="inlineStr">
        <is>
          <t>Đầu cone 5ml</t>
        </is>
      </c>
      <c r="D148" s="3" t="inlineStr">
        <is>
          <t>cái</t>
        </is>
      </c>
      <c r="E148" s="3" t="n">
        <v>1</v>
      </c>
      <c r="F148" s="3" t="n">
        <v>22</v>
      </c>
      <c r="G148" s="3" t="n">
        <v>1.1</v>
      </c>
      <c r="H148" s="3" t="n">
        <v>9</v>
      </c>
    </row>
    <row r="149">
      <c r="A149" s="2" t="n">
        <v>145</v>
      </c>
      <c r="B149" s="2" t="inlineStr">
        <is>
          <t>DC_145</t>
        </is>
      </c>
      <c r="C149" s="2" t="inlineStr">
        <is>
          <t>Đầu cone 5ml</t>
        </is>
      </c>
      <c r="D149" s="2" t="inlineStr">
        <is>
          <t>Cái</t>
        </is>
      </c>
      <c r="E149" s="2" t="n">
        <v>1</v>
      </c>
      <c r="F149" s="2" t="n">
        <v>22</v>
      </c>
      <c r="G149" s="2" t="n">
        <v>1.1</v>
      </c>
      <c r="H149" s="2" t="n">
        <v>1.8</v>
      </c>
    </row>
    <row r="150">
      <c r="A150" s="3" t="n">
        <v>146</v>
      </c>
      <c r="B150" s="3" t="inlineStr">
        <is>
          <t>DC_146</t>
        </is>
      </c>
      <c r="C150" s="3" t="inlineStr">
        <is>
          <t>Đầu lấy mẫu</t>
        </is>
      </c>
      <c r="D150" s="3" t="inlineStr">
        <is>
          <t>cái</t>
        </is>
      </c>
      <c r="E150" s="3" t="n">
        <v>5</v>
      </c>
      <c r="F150" s="3" t="n">
        <v>110</v>
      </c>
      <c r="G150" s="3" t="n">
        <v>1.1</v>
      </c>
      <c r="H150" s="3" t="n">
        <v>0.52</v>
      </c>
    </row>
    <row r="151">
      <c r="A151" s="2" t="n">
        <v>147</v>
      </c>
      <c r="B151" s="2" t="inlineStr">
        <is>
          <t>DC_147</t>
        </is>
      </c>
      <c r="C151" s="2" t="inlineStr">
        <is>
          <t>Đầu điện cực</t>
        </is>
      </c>
      <c r="D151" s="2" t="inlineStr">
        <is>
          <t>cái</t>
        </is>
      </c>
      <c r="E151" s="2" t="n">
        <v>6</v>
      </c>
      <c r="F151" s="2" t="n">
        <v>132</v>
      </c>
      <c r="G151" s="2" t="n">
        <v>1.1</v>
      </c>
      <c r="H151" s="2" t="n">
        <v>0.2333</v>
      </c>
    </row>
    <row r="152">
      <c r="A152" s="3" t="n">
        <v>148</v>
      </c>
      <c r="B152" s="3" t="inlineStr">
        <is>
          <t>DC_148</t>
        </is>
      </c>
      <c r="C152" s="3" t="inlineStr">
        <is>
          <t>Đầu đo</t>
        </is>
      </c>
      <c r="D152" s="3" t="inlineStr">
        <is>
          <t>cái</t>
        </is>
      </c>
      <c r="E152" s="3" t="n">
        <v>6</v>
      </c>
      <c r="F152" s="3" t="n">
        <v>132</v>
      </c>
      <c r="G152" s="3" t="n">
        <v>1.1</v>
      </c>
      <c r="H152" s="3" t="n">
        <v>1.2</v>
      </c>
    </row>
    <row r="153">
      <c r="A153" s="2" t="n">
        <v>149</v>
      </c>
      <c r="B153" s="2" t="inlineStr">
        <is>
          <t>DC_149</t>
        </is>
      </c>
      <c r="C153" s="2" t="inlineStr">
        <is>
          <t>Ống chứa mẫu 15ml (có nắp)</t>
        </is>
      </c>
      <c r="D153" s="2" t="inlineStr">
        <is>
          <t>cái</t>
        </is>
      </c>
      <c r="E153" s="2" t="n">
        <v>6</v>
      </c>
      <c r="F153" s="2" t="n">
        <v>132</v>
      </c>
      <c r="G153" s="2" t="n">
        <v>1.1</v>
      </c>
      <c r="H153" s="2" t="n">
        <v>1.1667</v>
      </c>
    </row>
    <row r="154">
      <c r="A154" s="3" t="n">
        <v>150</v>
      </c>
      <c r="B154" s="3" t="inlineStr">
        <is>
          <t>DC_150</t>
        </is>
      </c>
      <c r="C154" s="3" t="inlineStr">
        <is>
          <t>Ống hút</t>
        </is>
      </c>
      <c r="D154" s="3" t="inlineStr">
        <is>
          <t>cái</t>
        </is>
      </c>
      <c r="E154" s="3" t="n">
        <v>3</v>
      </c>
      <c r="F154" s="3" t="n">
        <v>66</v>
      </c>
      <c r="G154" s="3" t="n">
        <v>1.1</v>
      </c>
      <c r="H154" s="3" t="n">
        <v>2.3333</v>
      </c>
    </row>
    <row r="155">
      <c r="A155" s="2" t="n">
        <v>151</v>
      </c>
      <c r="B155" s="2" t="inlineStr">
        <is>
          <t>DC_151</t>
        </is>
      </c>
      <c r="C155" s="2" t="inlineStr">
        <is>
          <t>Ống hấp thụ</t>
        </is>
      </c>
      <c r="D155" s="2" t="inlineStr">
        <is>
          <t>cái</t>
        </is>
      </c>
      <c r="E155" s="2" t="n">
        <v>6</v>
      </c>
      <c r="F155" s="2" t="n">
        <v>132</v>
      </c>
      <c r="G155" s="2" t="n">
        <v>1.1</v>
      </c>
      <c r="H155" s="2" t="n">
        <v>0.3333</v>
      </c>
    </row>
    <row r="156">
      <c r="A156" s="3" t="n">
        <v>152</v>
      </c>
      <c r="B156" s="3" t="inlineStr">
        <is>
          <t>DC_152</t>
        </is>
      </c>
      <c r="C156" s="3" t="inlineStr">
        <is>
          <t>Ống lấy mẫu</t>
        </is>
      </c>
      <c r="D156" s="3" t="inlineStr">
        <is>
          <t>cái</t>
        </is>
      </c>
      <c r="E156" s="3" t="n">
        <v>18</v>
      </c>
      <c r="F156" s="3" t="n">
        <v>396</v>
      </c>
      <c r="G156" s="3" t="n">
        <v>1.1</v>
      </c>
      <c r="H156" s="3" t="n">
        <v>0.0333</v>
      </c>
    </row>
    <row r="157">
      <c r="A157" s="2" t="n">
        <v>153</v>
      </c>
      <c r="B157" s="2" t="inlineStr">
        <is>
          <t>DC_153</t>
        </is>
      </c>
      <c r="C157" s="2" t="inlineStr">
        <is>
          <t>Ống nghiệm</t>
        </is>
      </c>
      <c r="D157" s="2" t="inlineStr">
        <is>
          <t>cái</t>
        </is>
      </c>
      <c r="E157" s="2" t="n">
        <v>6</v>
      </c>
      <c r="F157" s="2" t="n">
        <v>132</v>
      </c>
      <c r="G157" s="2" t="n">
        <v>1.1</v>
      </c>
      <c r="H157" s="2" t="n">
        <v>0.3333</v>
      </c>
    </row>
    <row r="158">
      <c r="A158" s="3" t="n">
        <v>154</v>
      </c>
      <c r="B158" s="3" t="inlineStr">
        <is>
          <t>DC_154</t>
        </is>
      </c>
      <c r="C158" s="3" t="inlineStr">
        <is>
          <t>Ống phá mẫu có nắp kín</t>
        </is>
      </c>
      <c r="D158" s="3" t="inlineStr">
        <is>
          <t>cái</t>
        </is>
      </c>
      <c r="E158" s="3" t="n">
        <v>6</v>
      </c>
      <c r="F158" s="3" t="n">
        <v>132</v>
      </c>
      <c r="G158" s="3" t="n">
        <v>1.1</v>
      </c>
      <c r="H158" s="3" t="n">
        <v>0.3</v>
      </c>
    </row>
    <row r="159">
      <c r="A159" s="2" t="n">
        <v>155</v>
      </c>
      <c r="B159" s="2" t="inlineStr">
        <is>
          <t>DC_155</t>
        </is>
      </c>
      <c r="C159" s="2" t="inlineStr">
        <is>
          <t>Ống thép không rỉ</t>
        </is>
      </c>
      <c r="D159" s="2" t="inlineStr">
        <is>
          <t>cái</t>
        </is>
      </c>
      <c r="E159" s="2" t="n">
        <v>12</v>
      </c>
      <c r="F159" s="2" t="n">
        <v>264</v>
      </c>
      <c r="G159" s="2" t="n">
        <v>1.1</v>
      </c>
      <c r="H159" s="2" t="n">
        <v>0.0833</v>
      </c>
    </row>
    <row r="160">
      <c r="A160" s="3" t="n">
        <v>156</v>
      </c>
      <c r="B160" s="3" t="inlineStr">
        <is>
          <t>DC_156</t>
        </is>
      </c>
      <c r="C160" s="3" t="inlineStr">
        <is>
          <t>Ống đong 100ml</t>
        </is>
      </c>
      <c r="D160" s="3" t="inlineStr">
        <is>
          <t>cái</t>
        </is>
      </c>
      <c r="E160" s="3" t="n">
        <v>6</v>
      </c>
      <c r="F160" s="3" t="n">
        <v>132</v>
      </c>
      <c r="G160" s="3" t="n">
        <v>1.1</v>
      </c>
      <c r="H160" s="3" t="n">
        <v>0.2333</v>
      </c>
    </row>
    <row r="161">
      <c r="A161" s="2" t="n">
        <v>157</v>
      </c>
      <c r="B161" s="2" t="inlineStr">
        <is>
          <t>DC_157</t>
        </is>
      </c>
      <c r="C161" s="2" t="inlineStr">
        <is>
          <t>Ống đong 250ml</t>
        </is>
      </c>
      <c r="D161" s="2" t="inlineStr">
        <is>
          <t>cái</t>
        </is>
      </c>
      <c r="E161" s="2" t="n">
        <v>6</v>
      </c>
      <c r="F161" s="2" t="n">
        <v>132</v>
      </c>
      <c r="G161" s="2" t="n">
        <v>1.1</v>
      </c>
      <c r="H161" s="2" t="n">
        <v>0.5667</v>
      </c>
    </row>
    <row r="162">
      <c r="A162" s="3" t="n">
        <v>158</v>
      </c>
      <c r="B162" s="3" t="inlineStr">
        <is>
          <t>DC_158</t>
        </is>
      </c>
      <c r="C162" s="3" t="inlineStr">
        <is>
          <t>Ổ cắm điện có cầu chì</t>
        </is>
      </c>
      <c r="D162" s="3" t="inlineStr">
        <is>
          <t>cái</t>
        </is>
      </c>
      <c r="E162" s="3" t="n">
        <v>36</v>
      </c>
      <c r="F162" s="3" t="n">
        <v>792</v>
      </c>
      <c r="G162" s="3" t="n">
        <v>1.1</v>
      </c>
      <c r="H162" s="3" t="n">
        <v>0.1389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16" customWidth="1" min="4" max="4"/>
    <col width="17" customWidth="1" min="5" max="5"/>
    <col width="15" customWidth="1" min="6" max="6"/>
    <col width="15" customWidth="1" min="7" max="7"/>
    <col width="19" customWidth="1" min="8" max="8"/>
    <col width="18" customWidth="1" min="9" max="9"/>
  </cols>
  <sheetData>
    <row r="1">
      <c r="A1" t="inlineStr">
        <is>
          <t>BẢNG BÓC TÁCH CA MÁY THIẾT BỊ ĐO &amp; ĐIỆN NĂNG PHÒNG THÍ NGHIỆM</t>
        </is>
      </c>
    </row>
    <row r="2">
      <c r="A2" t="inlineStr">
        <is>
          <t>(Căn cứ: Khoản 4.3 TT 20/2017/TT-BTNMT chia 250/200/500 ca; Điện EVN 2.100 đ/kWh)</t>
        </is>
      </c>
    </row>
    <row r="3"/>
    <row r="4">
      <c r="A4" s="5" t="inlineStr">
        <is>
          <t>STT</t>
        </is>
      </c>
      <c r="B4" s="5" t="inlineStr">
        <is>
          <t>Mã TB</t>
        </is>
      </c>
      <c r="C4" s="5" t="inlineStr">
        <is>
          <t>Tên Máy Móc / Thiết Bị</t>
        </is>
      </c>
      <c r="D4" s="5" t="inlineStr">
        <is>
          <t>ĐVT</t>
        </is>
      </c>
      <c r="E4" s="5" t="inlineStr">
        <is>
          <t>Công Suất (kW)</t>
        </is>
      </c>
      <c r="F4" s="5" t="inlineStr">
        <is>
          <t>Công Đoạn</t>
        </is>
      </c>
      <c r="G4" s="5" t="inlineStr">
        <is>
          <t>Ca Chuẩn/Năm</t>
        </is>
      </c>
      <c r="H4" s="5" t="inlineStr">
        <is>
          <t>Tổng Ca Định Mức</t>
        </is>
      </c>
      <c r="I4" s="5" t="inlineStr">
        <is>
          <t>Tổng Điện (kWh)</t>
        </is>
      </c>
    </row>
    <row r="5">
      <c r="A5" s="2" t="n">
        <v>1</v>
      </c>
      <c r="B5" s="2" t="inlineStr">
        <is>
          <t>TB_001</t>
        </is>
      </c>
      <c r="C5" s="2" t="inlineStr">
        <is>
          <t>Bơm chân không</t>
        </is>
      </c>
      <c r="D5" s="2" t="inlineStr">
        <is>
          <t>cái</t>
        </is>
      </c>
      <c r="E5" s="2" t="n">
        <v>1</v>
      </c>
      <c r="F5" s="2" t="inlineStr">
        <is>
          <t>Nội nghiệp</t>
        </is>
      </c>
      <c r="G5" s="2" t="n">
        <v>500</v>
      </c>
      <c r="H5" s="2" t="n">
        <v>4.8</v>
      </c>
      <c r="I5" s="2" t="n">
        <v>38.4</v>
      </c>
    </row>
    <row r="6">
      <c r="A6" s="3" t="n">
        <v>2</v>
      </c>
      <c r="B6" s="3" t="inlineStr">
        <is>
          <t>TB_002</t>
        </is>
      </c>
      <c r="C6" s="3" t="inlineStr">
        <is>
          <t>Bộ chuẩn lưu lượng</t>
        </is>
      </c>
      <c r="D6" s="3" t="inlineStr">
        <is>
          <t>bộ</t>
        </is>
      </c>
      <c r="E6" s="3" t="n">
        <v>0.5</v>
      </c>
      <c r="F6" s="3" t="inlineStr">
        <is>
          <t>Ngoại nghiệp</t>
        </is>
      </c>
      <c r="G6" s="3" t="n">
        <v>250</v>
      </c>
      <c r="H6" s="3" t="n">
        <v>2.4</v>
      </c>
      <c r="I6" s="3" t="n">
        <v>9.6</v>
      </c>
    </row>
    <row r="7">
      <c r="A7" s="2" t="n">
        <v>3</v>
      </c>
      <c r="B7" s="2" t="inlineStr">
        <is>
          <t>TB_003</t>
        </is>
      </c>
      <c r="C7" s="2" t="inlineStr">
        <is>
          <t>Bộ lưu giữ số liệu (Data logger)</t>
        </is>
      </c>
      <c r="D7" s="2" t="inlineStr">
        <is>
          <t>bộ</t>
        </is>
      </c>
      <c r="E7" s="2" t="n">
        <v>1</v>
      </c>
      <c r="F7" s="2" t="inlineStr">
        <is>
          <t>Ngoại nghiệp</t>
        </is>
      </c>
      <c r="G7" s="2" t="n">
        <v>250</v>
      </c>
      <c r="H7" s="2" t="n">
        <v>5</v>
      </c>
      <c r="I7" s="2" t="n">
        <v>40</v>
      </c>
    </row>
    <row r="8">
      <c r="A8" s="3" t="n">
        <v>4</v>
      </c>
      <c r="B8" s="3" t="inlineStr">
        <is>
          <t>TB_004</t>
        </is>
      </c>
      <c r="C8" s="3" t="inlineStr">
        <is>
          <t>Bộ lấy mẫu khí</t>
        </is>
      </c>
      <c r="D8" s="3" t="inlineStr">
        <is>
          <t>bộ</t>
        </is>
      </c>
      <c r="E8" s="3" t="n">
        <v>1</v>
      </c>
      <c r="F8" s="3" t="inlineStr">
        <is>
          <t>Ngoại nghiệp</t>
        </is>
      </c>
      <c r="G8" s="3" t="n">
        <v>250</v>
      </c>
      <c r="H8" s="3" t="n">
        <v>4</v>
      </c>
      <c r="I8" s="3" t="n">
        <v>32</v>
      </c>
    </row>
    <row r="9">
      <c r="A9" s="2" t="n">
        <v>5</v>
      </c>
      <c r="B9" s="2" t="inlineStr">
        <is>
          <t>TB_005</t>
        </is>
      </c>
      <c r="C9" s="2" t="inlineStr">
        <is>
          <t>Bộ lọc hút chân không</t>
        </is>
      </c>
      <c r="D9" s="2" t="inlineStr">
        <is>
          <t>bộ</t>
        </is>
      </c>
      <c r="E9" s="2" t="n">
        <v>0.45</v>
      </c>
      <c r="F9" s="2" t="inlineStr">
        <is>
          <t>Nội nghiệp</t>
        </is>
      </c>
      <c r="G9" s="2" t="n">
        <v>500</v>
      </c>
      <c r="H9" s="2" t="n">
        <v>1.6</v>
      </c>
      <c r="I9" s="2" t="n">
        <v>5.76</v>
      </c>
    </row>
    <row r="10">
      <c r="A10" s="3" t="n">
        <v>6</v>
      </c>
      <c r="B10" s="3" t="inlineStr">
        <is>
          <t>TB_006</t>
        </is>
      </c>
      <c r="C10" s="3" t="inlineStr">
        <is>
          <t>Bộ phân tích thủy ngân và asen MHS hoặc FIAS</t>
        </is>
      </c>
      <c r="D10" s="3" t="inlineStr">
        <is>
          <t>bộ</t>
        </is>
      </c>
      <c r="E10" s="3" t="n">
        <v>0.6</v>
      </c>
      <c r="F10" s="3" t="inlineStr">
        <is>
          <t>Nội nghiệp</t>
        </is>
      </c>
      <c r="G10" s="3" t="n">
        <v>500</v>
      </c>
      <c r="H10" s="3" t="n">
        <v>36.8</v>
      </c>
      <c r="I10" s="3" t="n">
        <v>176.64</v>
      </c>
    </row>
    <row r="11">
      <c r="A11" s="2" t="n">
        <v>7</v>
      </c>
      <c r="B11" s="2" t="inlineStr">
        <is>
          <t>TB_007</t>
        </is>
      </c>
      <c r="C11" s="2" t="inlineStr">
        <is>
          <t>Bộ tạo khí 0 (zezo)</t>
        </is>
      </c>
      <c r="D11" s="2" t="inlineStr">
        <is>
          <t>bộ</t>
        </is>
      </c>
      <c r="E11" s="2" t="n">
        <v>0</v>
      </c>
      <c r="F11" s="2" t="inlineStr">
        <is>
          <t>Ngoại nghiệp</t>
        </is>
      </c>
      <c r="G11" s="2" t="n">
        <v>250</v>
      </c>
      <c r="H11" s="2" t="n">
        <v>5</v>
      </c>
      <c r="I11" s="2" t="n">
        <v>0</v>
      </c>
    </row>
    <row r="12">
      <c r="A12" s="3" t="n">
        <v>8</v>
      </c>
      <c r="B12" s="3" t="inlineStr">
        <is>
          <t>TB_008</t>
        </is>
      </c>
      <c r="C12" s="3" t="inlineStr">
        <is>
          <t>Cân phân tích</t>
        </is>
      </c>
      <c r="D12" s="3" t="inlineStr">
        <is>
          <t>cái</t>
        </is>
      </c>
      <c r="E12" s="3" t="n">
        <v>0.06</v>
      </c>
      <c r="F12" s="3" t="inlineStr">
        <is>
          <t>Nội nghiệp</t>
        </is>
      </c>
      <c r="G12" s="3" t="n">
        <v>500</v>
      </c>
      <c r="H12" s="3" t="n">
        <v>152</v>
      </c>
      <c r="I12" s="3" t="n">
        <v>100.61</v>
      </c>
    </row>
    <row r="13">
      <c r="A13" s="2" t="n">
        <v>9</v>
      </c>
      <c r="B13" s="2" t="inlineStr">
        <is>
          <t>TB_009</t>
        </is>
      </c>
      <c r="C13" s="2" t="inlineStr">
        <is>
          <t>Hệ thống nạp mẫu khí</t>
        </is>
      </c>
      <c r="D13" s="2" t="inlineStr">
        <is>
          <t>bộ</t>
        </is>
      </c>
      <c r="E13" s="2" t="n">
        <v>0.15</v>
      </c>
      <c r="F13" s="2" t="inlineStr">
        <is>
          <t>Nội nghiệp</t>
        </is>
      </c>
      <c r="G13" s="2" t="n">
        <v>500</v>
      </c>
      <c r="H13" s="2" t="n">
        <v>7.2</v>
      </c>
      <c r="I13" s="2" t="n">
        <v>8.640000000000001</v>
      </c>
    </row>
    <row r="14">
      <c r="A14" s="3" t="n">
        <v>10</v>
      </c>
      <c r="B14" s="3" t="inlineStr">
        <is>
          <t>TB_010</t>
        </is>
      </c>
      <c r="C14" s="3" t="inlineStr">
        <is>
          <t>LAmax</t>
        </is>
      </c>
      <c r="D14" s="3" t="inlineStr">
        <is>
          <t>Như mục 2TO2a</t>
        </is>
      </c>
      <c r="E14" s="3" t="n">
        <v>0</v>
      </c>
      <c r="F14" s="3" t="inlineStr">
        <is>
          <t>Nội nghiệp</t>
        </is>
      </c>
      <c r="G14" s="3" t="n">
        <v>500</v>
      </c>
      <c r="H14" s="3" t="n">
        <v>0</v>
      </c>
      <c r="I14" s="3" t="n">
        <v>0</v>
      </c>
    </row>
    <row r="15">
      <c r="A15" s="2" t="n">
        <v>11</v>
      </c>
      <c r="B15" s="2" t="inlineStr">
        <is>
          <t>TB_011</t>
        </is>
      </c>
      <c r="C15" s="2" t="inlineStr">
        <is>
          <t>Lò chuyển hóa</t>
        </is>
      </c>
      <c r="D15" s="2" t="inlineStr">
        <is>
          <t>bộ</t>
        </is>
      </c>
      <c r="E15" s="2" t="n">
        <v>0.3</v>
      </c>
      <c r="F15" s="2" t="inlineStr">
        <is>
          <t>Nội nghiệp</t>
        </is>
      </c>
      <c r="G15" s="2" t="n">
        <v>500</v>
      </c>
      <c r="H15" s="2" t="n">
        <v>7.2</v>
      </c>
      <c r="I15" s="2" t="n">
        <v>17.28</v>
      </c>
    </row>
    <row r="16">
      <c r="A16" s="3" t="n">
        <v>12</v>
      </c>
      <c r="B16" s="3" t="inlineStr">
        <is>
          <t>TB_012</t>
        </is>
      </c>
      <c r="C16" s="3" t="inlineStr">
        <is>
          <t>Lò vi sóng</t>
        </is>
      </c>
      <c r="D16" s="3" t="inlineStr">
        <is>
          <t>cái</t>
        </is>
      </c>
      <c r="E16" s="3" t="n">
        <v>0.1</v>
      </c>
      <c r="F16" s="3" t="inlineStr">
        <is>
          <t>Nội nghiệp</t>
        </is>
      </c>
      <c r="G16" s="3" t="n">
        <v>500</v>
      </c>
      <c r="H16" s="3" t="n">
        <v>7.44</v>
      </c>
      <c r="I16" s="3" t="n">
        <v>5.95</v>
      </c>
    </row>
    <row r="17">
      <c r="A17" s="2" t="n">
        <v>13</v>
      </c>
      <c r="B17" s="2" t="inlineStr">
        <is>
          <t>TB_013</t>
        </is>
      </c>
      <c r="C17" s="2" t="inlineStr">
        <is>
          <t>Modul phân tích khí CO</t>
        </is>
      </c>
      <c r="D17" s="2" t="inlineStr">
        <is>
          <t>cái</t>
        </is>
      </c>
      <c r="E17" s="2" t="n">
        <v>0</v>
      </c>
      <c r="F17" s="2" t="inlineStr">
        <is>
          <t>Ngoại nghiệp</t>
        </is>
      </c>
      <c r="G17" s="2" t="n">
        <v>250</v>
      </c>
      <c r="H17" s="2" t="n">
        <v>5</v>
      </c>
      <c r="I17" s="2" t="n">
        <v>0</v>
      </c>
    </row>
    <row r="18">
      <c r="A18" s="3" t="n">
        <v>14</v>
      </c>
      <c r="B18" s="3" t="inlineStr">
        <is>
          <t>TB_014</t>
        </is>
      </c>
      <c r="C18" s="3" t="inlineStr">
        <is>
          <t>Máy chưng cất đạm tự động</t>
        </is>
      </c>
      <c r="D18" s="3" t="inlineStr">
        <is>
          <t>bộ</t>
        </is>
      </c>
      <c r="E18" s="3" t="n">
        <v>0.55</v>
      </c>
      <c r="F18" s="3" t="inlineStr">
        <is>
          <t>Nội nghiệp</t>
        </is>
      </c>
      <c r="G18" s="3" t="n">
        <v>500</v>
      </c>
      <c r="H18" s="3" t="n">
        <v>2.4</v>
      </c>
      <c r="I18" s="3" t="n">
        <v>10.56</v>
      </c>
    </row>
    <row r="19">
      <c r="A19" s="2" t="n">
        <v>15</v>
      </c>
      <c r="B19" s="2" t="inlineStr">
        <is>
          <t>TB_015</t>
        </is>
      </c>
      <c r="C19" s="2" t="inlineStr">
        <is>
          <t>Máy cất quay chân không</t>
        </is>
      </c>
      <c r="D19" s="2" t="inlineStr">
        <is>
          <t>bộ</t>
        </is>
      </c>
      <c r="E19" s="2" t="n">
        <v>0.65</v>
      </c>
      <c r="F19" s="2" t="inlineStr">
        <is>
          <t>Nội nghiệp</t>
        </is>
      </c>
      <c r="G19" s="2" t="n">
        <v>500</v>
      </c>
      <c r="H19" s="2" t="n">
        <v>2.8</v>
      </c>
      <c r="I19" s="2" t="n">
        <v>14.56</v>
      </c>
    </row>
    <row r="20">
      <c r="A20" s="3" t="n">
        <v>16</v>
      </c>
      <c r="B20" s="3" t="inlineStr">
        <is>
          <t>TB_016</t>
        </is>
      </c>
      <c r="C20" s="3" t="inlineStr">
        <is>
          <t>Máy khuấy từ</t>
        </is>
      </c>
      <c r="D20" s="3" t="inlineStr">
        <is>
          <t>cái</t>
        </is>
      </c>
      <c r="E20" s="3" t="n">
        <v>0</v>
      </c>
      <c r="F20" s="3" t="inlineStr">
        <is>
          <t>Ngoại nghiệp</t>
        </is>
      </c>
      <c r="G20" s="3" t="n">
        <v>250</v>
      </c>
      <c r="H20" s="3" t="n">
        <v>4.72</v>
      </c>
      <c r="I20" s="3" t="n">
        <v>0</v>
      </c>
    </row>
    <row r="21">
      <c r="A21" s="2" t="n">
        <v>17</v>
      </c>
      <c r="B21" s="2" t="inlineStr">
        <is>
          <t>TB_017</t>
        </is>
      </c>
      <c r="C21" s="2" t="inlineStr">
        <is>
          <t>Máy lắc xoay tròn</t>
        </is>
      </c>
      <c r="D21" s="2" t="inlineStr">
        <is>
          <t>bộ</t>
        </is>
      </c>
      <c r="E21" s="2" t="n">
        <v>0.3</v>
      </c>
      <c r="F21" s="2" t="inlineStr">
        <is>
          <t>Nội nghiệp</t>
        </is>
      </c>
      <c r="G21" s="2" t="n">
        <v>500</v>
      </c>
      <c r="H21" s="2" t="n">
        <v>20</v>
      </c>
      <c r="I21" s="2" t="n">
        <v>48</v>
      </c>
    </row>
    <row r="22">
      <c r="A22" s="3" t="n">
        <v>18</v>
      </c>
      <c r="B22" s="3" t="inlineStr">
        <is>
          <t>TB_018</t>
        </is>
      </c>
      <c r="C22" s="3" t="inlineStr">
        <is>
          <t>Máy lọc chân không</t>
        </is>
      </c>
      <c r="D22" s="3" t="inlineStr">
        <is>
          <t>bộ</t>
        </is>
      </c>
      <c r="E22" s="3" t="n">
        <v>0.45</v>
      </c>
      <c r="F22" s="3" t="inlineStr">
        <is>
          <t>Nội nghiệp</t>
        </is>
      </c>
      <c r="G22" s="3" t="n">
        <v>500</v>
      </c>
      <c r="H22" s="3" t="n">
        <v>1.8</v>
      </c>
      <c r="I22" s="3" t="n">
        <v>6.48</v>
      </c>
    </row>
    <row r="23">
      <c r="A23" s="2" t="n">
        <v>19</v>
      </c>
      <c r="B23" s="2" t="inlineStr">
        <is>
          <t>TB_019</t>
        </is>
      </c>
      <c r="C23" s="2" t="inlineStr">
        <is>
          <t>Máy phát điện 15 KVA 220V</t>
        </is>
      </c>
      <c r="D23" s="2" t="inlineStr">
        <is>
          <t>cái</t>
        </is>
      </c>
      <c r="E23" s="2" t="n">
        <v>0</v>
      </c>
      <c r="F23" s="2" t="inlineStr">
        <is>
          <t>Ngoại nghiệp</t>
        </is>
      </c>
      <c r="G23" s="2" t="n">
        <v>250</v>
      </c>
      <c r="H23" s="2" t="n">
        <v>6.2</v>
      </c>
      <c r="I23" s="2" t="n">
        <v>0</v>
      </c>
    </row>
    <row r="24">
      <c r="A24" s="3" t="n">
        <v>20</v>
      </c>
      <c r="B24" s="3" t="inlineStr">
        <is>
          <t>TB_020</t>
        </is>
      </c>
      <c r="C24" s="3" t="inlineStr">
        <is>
          <t>Máy phân tích quang phổ AAS</t>
        </is>
      </c>
      <c r="D24" s="3" t="inlineStr">
        <is>
          <t>cái</t>
        </is>
      </c>
      <c r="E24" s="3" t="n">
        <v>3</v>
      </c>
      <c r="F24" s="3" t="inlineStr">
        <is>
          <t>Nội nghiệp</t>
        </is>
      </c>
      <c r="G24" s="3" t="n">
        <v>500</v>
      </c>
      <c r="H24" s="3" t="n">
        <v>7.2</v>
      </c>
      <c r="I24" s="3" t="n">
        <v>172.8</v>
      </c>
    </row>
    <row r="25">
      <c r="A25" s="2" t="n">
        <v>21</v>
      </c>
      <c r="B25" s="2" t="inlineStr">
        <is>
          <t>TB_021</t>
        </is>
      </c>
      <c r="C25" s="2" t="inlineStr">
        <is>
          <t>Máy phân tích quang phổ AAS</t>
        </is>
      </c>
      <c r="D25" s="2" t="inlineStr">
        <is>
          <t>bộ</t>
        </is>
      </c>
      <c r="E25" s="2" t="n">
        <v>3</v>
      </c>
      <c r="F25" s="2" t="inlineStr">
        <is>
          <t>Nội nghiệp</t>
        </is>
      </c>
      <c r="G25" s="2" t="n">
        <v>500</v>
      </c>
      <c r="H25" s="2" t="n">
        <v>22</v>
      </c>
      <c r="I25" s="2" t="n">
        <v>528</v>
      </c>
    </row>
    <row r="26">
      <c r="A26" s="3" t="n">
        <v>22</v>
      </c>
      <c r="B26" s="3" t="inlineStr">
        <is>
          <t>TB_022</t>
        </is>
      </c>
      <c r="C26" s="3" t="inlineStr">
        <is>
          <t>Máy phân tích quang phổ AAS hoặc cực phổ</t>
        </is>
      </c>
      <c r="D26" s="3" t="inlineStr">
        <is>
          <t>bộ</t>
        </is>
      </c>
      <c r="E26" s="3" t="n">
        <v>3</v>
      </c>
      <c r="F26" s="3" t="inlineStr">
        <is>
          <t>Nội nghiệp</t>
        </is>
      </c>
      <c r="G26" s="3" t="n">
        <v>500</v>
      </c>
      <c r="H26" s="3" t="n">
        <v>22</v>
      </c>
      <c r="I26" s="3" t="n">
        <v>528</v>
      </c>
    </row>
    <row r="27">
      <c r="A27" s="2" t="n">
        <v>23</v>
      </c>
      <c r="B27" s="2" t="inlineStr">
        <is>
          <t>TB_023</t>
        </is>
      </c>
      <c r="C27" s="2" t="inlineStr">
        <is>
          <t>Máy phân tích sắc ký GC</t>
        </is>
      </c>
      <c r="D27" s="2" t="inlineStr">
        <is>
          <t>bộ</t>
        </is>
      </c>
      <c r="E27" s="2" t="n">
        <v>0.15</v>
      </c>
      <c r="F27" s="2" t="inlineStr">
        <is>
          <t>Nội nghiệp</t>
        </is>
      </c>
      <c r="G27" s="2" t="n">
        <v>500</v>
      </c>
      <c r="H27" s="2" t="n">
        <v>5</v>
      </c>
      <c r="I27" s="2" t="n">
        <v>6</v>
      </c>
    </row>
    <row r="28">
      <c r="A28" s="3" t="n">
        <v>24</v>
      </c>
      <c r="B28" s="3" t="inlineStr">
        <is>
          <t>TB_024</t>
        </is>
      </c>
      <c r="C28" s="3" t="inlineStr">
        <is>
          <t>Máy quang phổ UV-VIS</t>
        </is>
      </c>
      <c r="D28" s="3" t="inlineStr">
        <is>
          <t>cái</t>
        </is>
      </c>
      <c r="E28" s="3" t="n">
        <v>0.55</v>
      </c>
      <c r="F28" s="3" t="inlineStr">
        <is>
          <t>Nội nghiệp</t>
        </is>
      </c>
      <c r="G28" s="3" t="n">
        <v>500</v>
      </c>
      <c r="H28" s="3" t="n">
        <v>12.8</v>
      </c>
      <c r="I28" s="3" t="n">
        <v>56.32</v>
      </c>
    </row>
    <row r="29">
      <c r="A29" s="2" t="n">
        <v>25</v>
      </c>
      <c r="B29" s="2" t="inlineStr">
        <is>
          <t>TB_025</t>
        </is>
      </c>
      <c r="C29" s="2" t="inlineStr">
        <is>
          <t>Máy quang phổ UV-VIS</t>
        </is>
      </c>
      <c r="D29" s="2" t="inlineStr">
        <is>
          <t>bộ</t>
        </is>
      </c>
      <c r="E29" s="2" t="n">
        <v>0.55</v>
      </c>
      <c r="F29" s="2" t="inlineStr">
        <is>
          <t>Nội nghiệp</t>
        </is>
      </c>
      <c r="G29" s="2" t="n">
        <v>500</v>
      </c>
      <c r="H29" s="2" t="n">
        <v>20</v>
      </c>
      <c r="I29" s="2" t="n">
        <v>142.88</v>
      </c>
    </row>
    <row r="30">
      <c r="A30" s="3" t="n">
        <v>26</v>
      </c>
      <c r="B30" s="3" t="inlineStr">
        <is>
          <t>TB_026</t>
        </is>
      </c>
      <c r="C30" s="3" t="inlineStr">
        <is>
          <t>Máy tính xử lý số liệu</t>
        </is>
      </c>
      <c r="D30" s="3" t="inlineStr">
        <is>
          <t>bộ</t>
        </is>
      </c>
      <c r="E30" s="3" t="n">
        <v>0.4</v>
      </c>
      <c r="F30" s="3" t="inlineStr">
        <is>
          <t>Nội nghiệp</t>
        </is>
      </c>
      <c r="G30" s="3" t="n">
        <v>500</v>
      </c>
      <c r="H30" s="3" t="n">
        <v>1.696</v>
      </c>
      <c r="I30" s="3" t="n">
        <v>6.46</v>
      </c>
    </row>
    <row r="31">
      <c r="A31" s="2" t="n">
        <v>27</v>
      </c>
      <c r="B31" s="2" t="inlineStr">
        <is>
          <t>TB_027</t>
        </is>
      </c>
      <c r="C31" s="2" t="inlineStr">
        <is>
          <t>Máy tạo đa khí chuẩn</t>
        </is>
      </c>
      <c r="D31" s="2" t="inlineStr">
        <is>
          <t>cái</t>
        </is>
      </c>
      <c r="E31" s="2" t="n">
        <v>0</v>
      </c>
      <c r="F31" s="2" t="inlineStr">
        <is>
          <t>Ngoại nghiệp</t>
        </is>
      </c>
      <c r="G31" s="2" t="n">
        <v>250</v>
      </c>
      <c r="H31" s="2" t="n">
        <v>5</v>
      </c>
      <c r="I31" s="2" t="n">
        <v>0</v>
      </c>
    </row>
    <row r="32">
      <c r="A32" s="3" t="n">
        <v>28</v>
      </c>
      <c r="B32" s="3" t="inlineStr">
        <is>
          <t>TB_028</t>
        </is>
      </c>
      <c r="C32" s="3" t="inlineStr">
        <is>
          <t>Máy điều hòa nhiệt độ</t>
        </is>
      </c>
      <c r="D32" s="3" t="inlineStr">
        <is>
          <t>cái</t>
        </is>
      </c>
      <c r="E32" s="3" t="n">
        <v>2.2</v>
      </c>
      <c r="F32" s="3" t="inlineStr">
        <is>
          <t>Nội nghiệp</t>
        </is>
      </c>
      <c r="G32" s="3" t="n">
        <v>500</v>
      </c>
      <c r="H32" s="3" t="n">
        <v>58.16</v>
      </c>
      <c r="I32" s="3" t="n">
        <v>982.1799999999999</v>
      </c>
    </row>
    <row r="33">
      <c r="A33" s="2" t="n">
        <v>29</v>
      </c>
      <c r="B33" s="2" t="inlineStr">
        <is>
          <t>TB_029</t>
        </is>
      </c>
      <c r="C33" s="2" t="inlineStr">
        <is>
          <t>Máy điều hòa nhiệt độ</t>
        </is>
      </c>
      <c r="D33" s="2" t="inlineStr">
        <is>
          <t>Cái</t>
        </is>
      </c>
      <c r="E33" s="2" t="n">
        <v>2.2</v>
      </c>
      <c r="F33" s="2" t="inlineStr">
        <is>
          <t>Nội nghiệp</t>
        </is>
      </c>
      <c r="G33" s="2" t="n">
        <v>500</v>
      </c>
      <c r="H33" s="2" t="n">
        <v>2.412</v>
      </c>
      <c r="I33" s="2" t="n">
        <v>42.45</v>
      </c>
    </row>
    <row r="34">
      <c r="A34" s="3" t="n">
        <v>30</v>
      </c>
      <c r="B34" s="3" t="inlineStr">
        <is>
          <t>TB_030</t>
        </is>
      </c>
      <c r="C34" s="3" t="inlineStr">
        <is>
          <t>Máy định vị GPS cầm tay</t>
        </is>
      </c>
      <c r="D34" s="3" t="inlineStr">
        <is>
          <t>bộ</t>
        </is>
      </c>
      <c r="E34" s="3" t="n">
        <v>0</v>
      </c>
      <c r="F34" s="3" t="inlineStr">
        <is>
          <t>Ngoại nghiệp</t>
        </is>
      </c>
      <c r="G34" s="3" t="n">
        <v>250</v>
      </c>
      <c r="H34" s="3" t="n">
        <v>41.792</v>
      </c>
      <c r="I34" s="3" t="n">
        <v>0</v>
      </c>
    </row>
    <row r="35">
      <c r="A35" s="2" t="n">
        <v>31</v>
      </c>
      <c r="B35" s="2" t="inlineStr">
        <is>
          <t>TB_031</t>
        </is>
      </c>
      <c r="C35" s="2" t="inlineStr">
        <is>
          <t>Máy định vị GPS cầm tay</t>
        </is>
      </c>
      <c r="D35" s="2" t="inlineStr">
        <is>
          <t>cái</t>
        </is>
      </c>
      <c r="E35" s="2" t="n">
        <v>0</v>
      </c>
      <c r="F35" s="2" t="inlineStr">
        <is>
          <t>Ngoại nghiệp</t>
        </is>
      </c>
      <c r="G35" s="2" t="n">
        <v>200</v>
      </c>
      <c r="H35" s="2" t="n">
        <v>74.92</v>
      </c>
      <c r="I35" s="2" t="n">
        <v>0</v>
      </c>
    </row>
    <row r="36">
      <c r="A36" s="3" t="n">
        <v>32</v>
      </c>
      <c r="B36" s="3" t="inlineStr">
        <is>
          <t>TB_032</t>
        </is>
      </c>
      <c r="C36" s="3" t="inlineStr">
        <is>
          <t>Máy ảnh kỹ thuật số</t>
        </is>
      </c>
      <c r="D36" s="3" t="inlineStr">
        <is>
          <t>cái</t>
        </is>
      </c>
      <c r="E36" s="3" t="n">
        <v>1</v>
      </c>
      <c r="F36" s="3" t="inlineStr">
        <is>
          <t>Ngoại nghiệp</t>
        </is>
      </c>
      <c r="G36" s="3" t="n">
        <v>250</v>
      </c>
      <c r="H36" s="3" t="n">
        <v>17.76</v>
      </c>
      <c r="I36" s="3" t="n">
        <v>16</v>
      </c>
    </row>
    <row r="37">
      <c r="A37" s="2" t="n">
        <v>33</v>
      </c>
      <c r="B37" s="2" t="inlineStr">
        <is>
          <t>TB_033</t>
        </is>
      </c>
      <c r="C37" s="2" t="inlineStr">
        <is>
          <t>Nhiệt ẩm kế Asman</t>
        </is>
      </c>
      <c r="D37" s="2" t="inlineStr">
        <is>
          <t>cái</t>
        </is>
      </c>
      <c r="E37" s="2" t="n">
        <v>0</v>
      </c>
      <c r="F37" s="2" t="inlineStr">
        <is>
          <t>Ngoại nghiệp</t>
        </is>
      </c>
      <c r="G37" s="2" t="n">
        <v>250</v>
      </c>
      <c r="H37" s="2" t="n">
        <v>3.2</v>
      </c>
      <c r="I37" s="2" t="n">
        <v>0</v>
      </c>
    </row>
    <row r="38">
      <c r="A38" s="3" t="n">
        <v>34</v>
      </c>
      <c r="B38" s="3" t="inlineStr">
        <is>
          <t>TB_034</t>
        </is>
      </c>
      <c r="C38" s="3" t="inlineStr">
        <is>
          <t>Thiết bị chuyên dụng</t>
        </is>
      </c>
      <c r="D38" s="3" t="inlineStr">
        <is>
          <t>bộ</t>
        </is>
      </c>
      <c r="E38" s="3" t="n">
        <v>0</v>
      </c>
      <c r="F38" s="3" t="inlineStr">
        <is>
          <t>Ngoại nghiệp</t>
        </is>
      </c>
      <c r="G38" s="3" t="n">
        <v>200</v>
      </c>
      <c r="H38" s="3" t="n">
        <v>77.66</v>
      </c>
      <c r="I38" s="3" t="n">
        <v>0</v>
      </c>
    </row>
    <row r="39">
      <c r="A39" s="2" t="n">
        <v>35</v>
      </c>
      <c r="B39" s="2" t="inlineStr">
        <is>
          <t>TB_035</t>
        </is>
      </c>
      <c r="C39" s="2" t="inlineStr">
        <is>
          <t>Thiết bị chuyên dụng</t>
        </is>
      </c>
      <c r="D39" s="2" t="inlineStr">
        <is>
          <t>cái</t>
        </is>
      </c>
      <c r="E39" s="2" t="n">
        <v>0</v>
      </c>
      <c r="F39" s="2" t="inlineStr">
        <is>
          <t>Ngoại nghiệp</t>
        </is>
      </c>
      <c r="G39" s="2" t="n">
        <v>200</v>
      </c>
      <c r="H39" s="2" t="n">
        <v>29.4</v>
      </c>
      <c r="I39" s="2" t="n">
        <v>0</v>
      </c>
    </row>
    <row r="40">
      <c r="A40" s="3" t="n">
        <v>36</v>
      </c>
      <c r="B40" s="3" t="inlineStr">
        <is>
          <t>TB_036</t>
        </is>
      </c>
      <c r="C40" s="3" t="inlineStr">
        <is>
          <t>Thiết bị cất nước 2 lần</t>
        </is>
      </c>
      <c r="D40" s="3" t="inlineStr">
        <is>
          <t>bộ</t>
        </is>
      </c>
      <c r="E40" s="3" t="n">
        <v>0.18</v>
      </c>
      <c r="F40" s="3" t="inlineStr">
        <is>
          <t>Nội nghiệp</t>
        </is>
      </c>
      <c r="G40" s="3" t="n">
        <v>500</v>
      </c>
      <c r="H40" s="3" t="n">
        <v>152.48</v>
      </c>
      <c r="I40" s="3" t="n">
        <v>219.57</v>
      </c>
    </row>
    <row r="41">
      <c r="A41" s="2" t="n">
        <v>37</v>
      </c>
      <c r="B41" s="2" t="inlineStr">
        <is>
          <t>TB_037</t>
        </is>
      </c>
      <c r="C41" s="2" t="inlineStr">
        <is>
          <t>Thiết bị hiệu chuẩn lưu lượng</t>
        </is>
      </c>
      <c r="D41" s="2" t="inlineStr">
        <is>
          <t>bộ</t>
        </is>
      </c>
      <c r="E41" s="2" t="n">
        <v>0</v>
      </c>
      <c r="F41" s="2" t="inlineStr">
        <is>
          <t>Ngoại nghiệp</t>
        </is>
      </c>
      <c r="G41" s="2" t="n">
        <v>250</v>
      </c>
      <c r="H41" s="2" t="n">
        <v>22.4</v>
      </c>
      <c r="I41" s="2" t="n">
        <v>0</v>
      </c>
    </row>
    <row r="42">
      <c r="A42" s="3" t="n">
        <v>38</v>
      </c>
      <c r="B42" s="3" t="inlineStr">
        <is>
          <t>TB_038</t>
        </is>
      </c>
      <c r="C42" s="3" t="inlineStr">
        <is>
          <t>Thiết bị hiệu chuẩn lưu lượng</t>
        </is>
      </c>
      <c r="D42" s="3" t="inlineStr">
        <is>
          <t>Bộ</t>
        </is>
      </c>
      <c r="E42" s="3" t="n">
        <v>0</v>
      </c>
      <c r="F42" s="3" t="inlineStr">
        <is>
          <t>Ngoại nghiệp</t>
        </is>
      </c>
      <c r="G42" s="3" t="n">
        <v>250</v>
      </c>
      <c r="H42" s="3" t="n">
        <v>4.8</v>
      </c>
      <c r="I42" s="3" t="n">
        <v>0</v>
      </c>
    </row>
    <row r="43">
      <c r="A43" s="2" t="n">
        <v>39</v>
      </c>
      <c r="B43" s="2" t="inlineStr">
        <is>
          <t>TB_039</t>
        </is>
      </c>
      <c r="C43" s="2" t="inlineStr">
        <is>
          <t>Thiết bị lấy mẫu</t>
        </is>
      </c>
      <c r="D43" s="2" t="inlineStr">
        <is>
          <t>bộ</t>
        </is>
      </c>
      <c r="E43" s="2" t="n">
        <v>0</v>
      </c>
      <c r="F43" s="2" t="inlineStr">
        <is>
          <t>Ngoại nghiệp</t>
        </is>
      </c>
      <c r="G43" s="2" t="n">
        <v>250</v>
      </c>
      <c r="H43" s="2" t="n">
        <v>10.56</v>
      </c>
      <c r="I43" s="2" t="n">
        <v>0</v>
      </c>
    </row>
    <row r="44">
      <c r="A44" s="3" t="n">
        <v>40</v>
      </c>
      <c r="B44" s="3" t="inlineStr">
        <is>
          <t>TB_040</t>
        </is>
      </c>
      <c r="C44" s="3" t="inlineStr">
        <is>
          <t>Thiết bị lấy mẫu bụi</t>
        </is>
      </c>
      <c r="D44" s="3" t="inlineStr">
        <is>
          <t>bộ</t>
        </is>
      </c>
      <c r="E44" s="3" t="n">
        <v>1</v>
      </c>
      <c r="F44" s="3" t="inlineStr">
        <is>
          <t>Ngoại nghiệp</t>
        </is>
      </c>
      <c r="G44" s="3" t="n">
        <v>250</v>
      </c>
      <c r="H44" s="3" t="n">
        <v>5.6</v>
      </c>
      <c r="I44" s="3" t="n">
        <v>44.8</v>
      </c>
    </row>
    <row r="45">
      <c r="A45" s="2" t="n">
        <v>41</v>
      </c>
      <c r="B45" s="2" t="inlineStr">
        <is>
          <t>TB_041</t>
        </is>
      </c>
      <c r="C45" s="2" t="inlineStr">
        <is>
          <t>Thiết bị lấy mẫu khí</t>
        </is>
      </c>
      <c r="D45" s="2" t="inlineStr">
        <is>
          <t>bộ</t>
        </is>
      </c>
      <c r="E45" s="2" t="n">
        <v>1</v>
      </c>
      <c r="F45" s="2" t="inlineStr">
        <is>
          <t>Ngoại nghiệp</t>
        </is>
      </c>
      <c r="G45" s="2" t="n">
        <v>250</v>
      </c>
      <c r="H45" s="2" t="n">
        <v>4</v>
      </c>
      <c r="I45" s="2" t="n">
        <v>32</v>
      </c>
    </row>
    <row r="46">
      <c r="A46" s="3" t="n">
        <v>42</v>
      </c>
      <c r="B46" s="3" t="inlineStr">
        <is>
          <t>TB_042</t>
        </is>
      </c>
      <c r="C46" s="3" t="inlineStr">
        <is>
          <t>Thiết bị lấy mẫu khí NOx</t>
        </is>
      </c>
      <c r="D46" s="3" t="inlineStr">
        <is>
          <t>bộ</t>
        </is>
      </c>
      <c r="E46" s="3" t="n">
        <v>0</v>
      </c>
      <c r="F46" s="3" t="inlineStr">
        <is>
          <t>Ngoại nghiệp</t>
        </is>
      </c>
      <c r="G46" s="3" t="n">
        <v>250</v>
      </c>
      <c r="H46" s="3" t="n">
        <v>4.8</v>
      </c>
      <c r="I46" s="3" t="n">
        <v>0</v>
      </c>
    </row>
    <row r="47">
      <c r="A47" s="2" t="n">
        <v>43</v>
      </c>
      <c r="B47" s="2" t="inlineStr">
        <is>
          <t>TB_043</t>
        </is>
      </c>
      <c r="C47" s="2" t="inlineStr">
        <is>
          <t>Thiết bị lấy mẫu khí Oxy</t>
        </is>
      </c>
      <c r="D47" s="2" t="inlineStr">
        <is>
          <t>cái</t>
        </is>
      </c>
      <c r="E47" s="2" t="n">
        <v>0</v>
      </c>
      <c r="F47" s="2" t="inlineStr">
        <is>
          <t>Nội nghiệp</t>
        </is>
      </c>
      <c r="G47" s="2" t="n">
        <v>500</v>
      </c>
      <c r="H47" s="2" t="n">
        <v>0.216</v>
      </c>
      <c r="I47" s="2" t="n">
        <v>0</v>
      </c>
    </row>
    <row r="48">
      <c r="A48" s="3" t="n">
        <v>44</v>
      </c>
      <c r="B48" s="3" t="inlineStr">
        <is>
          <t>TB_044</t>
        </is>
      </c>
      <c r="C48" s="3" t="inlineStr">
        <is>
          <t>Thiết bị lấy mẫu khí thải</t>
        </is>
      </c>
      <c r="D48" s="3" t="inlineStr">
        <is>
          <t>Bộ</t>
        </is>
      </c>
      <c r="E48" s="3" t="n">
        <v>9</v>
      </c>
      <c r="F48" s="3" t="inlineStr">
        <is>
          <t>Ngoại nghiệp</t>
        </is>
      </c>
      <c r="G48" s="3" t="n">
        <v>250</v>
      </c>
      <c r="H48" s="3" t="n">
        <v>4.8</v>
      </c>
      <c r="I48" s="3" t="n">
        <v>345.6</v>
      </c>
    </row>
    <row r="49">
      <c r="A49" s="2" t="n">
        <v>45</v>
      </c>
      <c r="B49" s="2" t="inlineStr">
        <is>
          <t>TB_045</t>
        </is>
      </c>
      <c r="C49" s="2" t="inlineStr">
        <is>
          <t>Thiết bị lấy mẫu nước</t>
        </is>
      </c>
      <c r="D49" s="2" t="inlineStr">
        <is>
          <t>bộ</t>
        </is>
      </c>
      <c r="E49" s="2" t="n">
        <v>0</v>
      </c>
      <c r="F49" s="2" t="inlineStr">
        <is>
          <t>Ngoại nghiệp</t>
        </is>
      </c>
      <c r="G49" s="2" t="n">
        <v>250</v>
      </c>
      <c r="H49" s="2" t="n">
        <v>61.584</v>
      </c>
      <c r="I49" s="2" t="n">
        <v>0</v>
      </c>
    </row>
    <row r="50">
      <c r="A50" s="3" t="n">
        <v>46</v>
      </c>
      <c r="B50" s="3" t="inlineStr">
        <is>
          <t>TB_046</t>
        </is>
      </c>
      <c r="C50" s="3" t="inlineStr">
        <is>
          <t>Thiết bị lọc nước siêu sạch</t>
        </is>
      </c>
      <c r="D50" s="3" t="inlineStr">
        <is>
          <t>bộ</t>
        </is>
      </c>
      <c r="E50" s="3" t="n">
        <v>0.18</v>
      </c>
      <c r="F50" s="3" t="inlineStr">
        <is>
          <t>Nội nghiệp</t>
        </is>
      </c>
      <c r="G50" s="3" t="n">
        <v>500</v>
      </c>
      <c r="H50" s="3" t="n">
        <v>20.8</v>
      </c>
      <c r="I50" s="3" t="n">
        <v>29.95</v>
      </c>
    </row>
    <row r="51">
      <c r="A51" s="2" t="n">
        <v>47</v>
      </c>
      <c r="B51" s="2" t="inlineStr">
        <is>
          <t>TB_047</t>
        </is>
      </c>
      <c r="C51" s="2" t="inlineStr">
        <is>
          <t>Thiết bị phá mẫu</t>
        </is>
      </c>
      <c r="D51" s="2" t="inlineStr">
        <is>
          <t>bộ</t>
        </is>
      </c>
      <c r="E51" s="2" t="n">
        <v>2.3</v>
      </c>
      <c r="F51" s="2" t="inlineStr">
        <is>
          <t>Nội nghiệp</t>
        </is>
      </c>
      <c r="G51" s="2" t="n">
        <v>500</v>
      </c>
      <c r="H51" s="2" t="n">
        <v>124.4</v>
      </c>
      <c r="I51" s="2" t="n">
        <v>2288.96</v>
      </c>
    </row>
    <row r="52">
      <c r="A52" s="3" t="n">
        <v>48</v>
      </c>
      <c r="B52" s="3" t="inlineStr">
        <is>
          <t>TB_048</t>
        </is>
      </c>
      <c r="C52" s="3" t="inlineStr">
        <is>
          <t>Thiết bị phản ứng COD</t>
        </is>
      </c>
      <c r="D52" s="3" t="inlineStr">
        <is>
          <t>bộ</t>
        </is>
      </c>
      <c r="E52" s="3" t="n">
        <v>0.45</v>
      </c>
      <c r="F52" s="3" t="inlineStr">
        <is>
          <t>Nội nghiệp</t>
        </is>
      </c>
      <c r="G52" s="3" t="n">
        <v>500</v>
      </c>
      <c r="H52" s="3" t="n">
        <v>12.32</v>
      </c>
      <c r="I52" s="3" t="n">
        <v>44.35</v>
      </c>
    </row>
    <row r="53">
      <c r="A53" s="2" t="n">
        <v>49</v>
      </c>
      <c r="B53" s="2" t="inlineStr">
        <is>
          <t>TB_049</t>
        </is>
      </c>
      <c r="C53" s="2" t="inlineStr">
        <is>
          <t>Thiết bị điều khiển lấy mẫu bụi</t>
        </is>
      </c>
      <c r="D53" s="2" t="inlineStr">
        <is>
          <t>Bộ</t>
        </is>
      </c>
      <c r="E53" s="2" t="n">
        <v>9</v>
      </c>
      <c r="F53" s="2" t="inlineStr">
        <is>
          <t>Ngoại nghiệp</t>
        </is>
      </c>
      <c r="G53" s="2" t="n">
        <v>250</v>
      </c>
      <c r="H53" s="2" t="n">
        <v>4.8</v>
      </c>
      <c r="I53" s="2" t="n">
        <v>345.6</v>
      </c>
    </row>
    <row r="54">
      <c r="A54" s="3" t="n">
        <v>50</v>
      </c>
      <c r="B54" s="3" t="inlineStr">
        <is>
          <t>TB_050</t>
        </is>
      </c>
      <c r="C54" s="3" t="inlineStr">
        <is>
          <t>Thiết bị đo</t>
        </is>
      </c>
      <c r="D54" s="3" t="inlineStr">
        <is>
          <t>bộ</t>
        </is>
      </c>
      <c r="E54" s="3" t="n">
        <v>0</v>
      </c>
      <c r="F54" s="3" t="inlineStr">
        <is>
          <t>Ngoại nghiệp</t>
        </is>
      </c>
      <c r="G54" s="3" t="n">
        <v>250</v>
      </c>
      <c r="H54" s="3" t="n">
        <v>17.6</v>
      </c>
      <c r="I54" s="3" t="n">
        <v>0</v>
      </c>
    </row>
    <row r="55">
      <c r="A55" s="2" t="n">
        <v>51</v>
      </c>
      <c r="B55" s="2" t="inlineStr">
        <is>
          <t>TB_051</t>
        </is>
      </c>
      <c r="C55" s="2" t="inlineStr">
        <is>
          <t>Thiết bị đo chênh áp</t>
        </is>
      </c>
      <c r="D55" s="2" t="inlineStr">
        <is>
          <t>Bộ</t>
        </is>
      </c>
      <c r="E55" s="2" t="n">
        <v>9</v>
      </c>
      <c r="F55" s="2" t="inlineStr">
        <is>
          <t>Ngoại nghiệp</t>
        </is>
      </c>
      <c r="G55" s="2" t="n">
        <v>250</v>
      </c>
      <c r="H55" s="2" t="n">
        <v>4.8</v>
      </c>
      <c r="I55" s="2" t="n">
        <v>345.6</v>
      </c>
    </row>
    <row r="56">
      <c r="A56" s="3" t="n">
        <v>52</v>
      </c>
      <c r="B56" s="3" t="inlineStr">
        <is>
          <t>TB_052</t>
        </is>
      </c>
      <c r="C56" s="3" t="inlineStr">
        <is>
          <t>Thiết bị đo hiện số</t>
        </is>
      </c>
      <c r="D56" s="3" t="inlineStr">
        <is>
          <t>bộ</t>
        </is>
      </c>
      <c r="E56" s="3" t="n">
        <v>0</v>
      </c>
      <c r="F56" s="3" t="inlineStr">
        <is>
          <t>Ngoại nghiệp</t>
        </is>
      </c>
      <c r="G56" s="3" t="n">
        <v>250</v>
      </c>
      <c r="H56" s="3" t="n">
        <v>13.52</v>
      </c>
      <c r="I56" s="3" t="n">
        <v>0</v>
      </c>
    </row>
    <row r="57">
      <c r="A57" s="2" t="n">
        <v>53</v>
      </c>
      <c r="B57" s="2" t="inlineStr">
        <is>
          <t>TB_053</t>
        </is>
      </c>
      <c r="C57" s="2" t="inlineStr">
        <is>
          <t>Thiết bị đo hiện số</t>
        </is>
      </c>
      <c r="D57" s="2" t="inlineStr">
        <is>
          <t>cái</t>
        </is>
      </c>
      <c r="E57" s="2" t="n">
        <v>0</v>
      </c>
      <c r="F57" s="2" t="inlineStr">
        <is>
          <t>Nội nghiệp</t>
        </is>
      </c>
      <c r="G57" s="2" t="n">
        <v>500</v>
      </c>
      <c r="H57" s="2" t="n">
        <v>6.4</v>
      </c>
      <c r="I57" s="2" t="n">
        <v>0</v>
      </c>
    </row>
    <row r="58">
      <c r="A58" s="3" t="n">
        <v>54</v>
      </c>
      <c r="B58" s="3" t="inlineStr">
        <is>
          <t>TB_054</t>
        </is>
      </c>
      <c r="C58" s="3" t="inlineStr">
        <is>
          <t>Thiết bị đo hiện số và lưu kết quả</t>
        </is>
      </c>
      <c r="D58" s="3" t="inlineStr">
        <is>
          <t>bộ</t>
        </is>
      </c>
      <c r="E58" s="3" t="n">
        <v>0</v>
      </c>
      <c r="F58" s="3" t="inlineStr">
        <is>
          <t>Ngoại nghiệp</t>
        </is>
      </c>
      <c r="G58" s="3" t="n">
        <v>200</v>
      </c>
      <c r="H58" s="3" t="n">
        <v>100.76</v>
      </c>
      <c r="I58" s="3" t="n">
        <v>0</v>
      </c>
    </row>
    <row r="59">
      <c r="A59" s="2" t="n">
        <v>55</v>
      </c>
      <c r="B59" s="2" t="inlineStr">
        <is>
          <t>TB_055</t>
        </is>
      </c>
      <c r="C59" s="2" t="inlineStr">
        <is>
          <t>Thiết bị đo hiện số và lưu kết quả</t>
        </is>
      </c>
      <c r="D59" s="2" t="inlineStr">
        <is>
          <t>cái</t>
        </is>
      </c>
      <c r="E59" s="2" t="n">
        <v>0</v>
      </c>
      <c r="F59" s="2" t="inlineStr">
        <is>
          <t>Ngoại nghiệp</t>
        </is>
      </c>
      <c r="G59" s="2" t="n">
        <v>200</v>
      </c>
      <c r="H59" s="2" t="n">
        <v>20.28</v>
      </c>
      <c r="I59" s="2" t="n">
        <v>0</v>
      </c>
    </row>
    <row r="60">
      <c r="A60" s="3" t="n">
        <v>56</v>
      </c>
      <c r="B60" s="3" t="inlineStr">
        <is>
          <t>TB_056</t>
        </is>
      </c>
      <c r="C60" s="3" t="inlineStr">
        <is>
          <t>Thiết bị đo tiếng ồn tích phân</t>
        </is>
      </c>
      <c r="D60" s="3" t="inlineStr">
        <is>
          <t>bộ</t>
        </is>
      </c>
      <c r="E60" s="3" t="n">
        <v>0</v>
      </c>
      <c r="F60" s="3" t="inlineStr">
        <is>
          <t>Ngoại nghiệp</t>
        </is>
      </c>
      <c r="G60" s="3" t="n">
        <v>250</v>
      </c>
      <c r="H60" s="3" t="n">
        <v>5</v>
      </c>
      <c r="I60" s="3" t="n">
        <v>0</v>
      </c>
    </row>
    <row r="61">
      <c r="A61" s="2" t="n">
        <v>57</v>
      </c>
      <c r="B61" s="2" t="inlineStr">
        <is>
          <t>TB_057</t>
        </is>
      </c>
      <c r="C61" s="2" t="inlineStr">
        <is>
          <t>Thiết bị đo đa chỉ tiêu</t>
        </is>
      </c>
      <c r="D61" s="2" t="inlineStr">
        <is>
          <t>bộ</t>
        </is>
      </c>
      <c r="E61" s="2" t="n">
        <v>0</v>
      </c>
      <c r="F61" s="2" t="inlineStr">
        <is>
          <t>Nội nghiệp</t>
        </is>
      </c>
      <c r="G61" s="2" t="n">
        <v>500</v>
      </c>
      <c r="H61" s="2" t="n">
        <v>17.4</v>
      </c>
      <c r="I61" s="2" t="n">
        <v>0</v>
      </c>
    </row>
    <row r="62">
      <c r="A62" s="3" t="n">
        <v>58</v>
      </c>
      <c r="B62" s="3" t="inlineStr">
        <is>
          <t>TB_058</t>
        </is>
      </c>
      <c r="C62" s="3" t="inlineStr">
        <is>
          <t>Thiết bị đo độ rung</t>
        </is>
      </c>
      <c r="D62" s="3" t="inlineStr">
        <is>
          <t>bộ</t>
        </is>
      </c>
      <c r="E62" s="3" t="n">
        <v>0</v>
      </c>
      <c r="F62" s="3" t="inlineStr">
        <is>
          <t>Ngoại nghiệp</t>
        </is>
      </c>
      <c r="G62" s="3" t="n">
        <v>250</v>
      </c>
      <c r="H62" s="3" t="n">
        <v>5</v>
      </c>
      <c r="I62" s="3" t="n">
        <v>0</v>
      </c>
    </row>
    <row r="63">
      <c r="A63" s="2" t="n">
        <v>59</v>
      </c>
      <c r="B63" s="2" t="inlineStr">
        <is>
          <t>TB_059</t>
        </is>
      </c>
      <c r="C63" s="2" t="inlineStr">
        <is>
          <t>Thiết bị định vị GPS</t>
        </is>
      </c>
      <c r="D63" s="2" t="inlineStr">
        <is>
          <t>bộ</t>
        </is>
      </c>
      <c r="E63" s="2" t="n">
        <v>0</v>
      </c>
      <c r="F63" s="2" t="inlineStr">
        <is>
          <t>Ngoại nghiệp</t>
        </is>
      </c>
      <c r="G63" s="2" t="n">
        <v>250</v>
      </c>
      <c r="H63" s="2" t="n">
        <v>1.296</v>
      </c>
      <c r="I63" s="2" t="n">
        <v>0</v>
      </c>
    </row>
    <row r="64">
      <c r="A64" s="3" t="n">
        <v>60</v>
      </c>
      <c r="B64" s="3" t="inlineStr">
        <is>
          <t>TB_060</t>
        </is>
      </c>
      <c r="C64" s="3" t="inlineStr">
        <is>
          <t>Tủ bảo quản mẫu</t>
        </is>
      </c>
      <c r="D64" s="3" t="inlineStr">
        <is>
          <t>cái</t>
        </is>
      </c>
      <c r="E64" s="3" t="n">
        <v>0.16</v>
      </c>
      <c r="F64" s="3" t="inlineStr">
        <is>
          <t>Nội nghiệp</t>
        </is>
      </c>
      <c r="G64" s="3" t="n">
        <v>500</v>
      </c>
      <c r="H64" s="3" t="n">
        <v>81.76000000000001</v>
      </c>
      <c r="I64" s="3" t="n">
        <v>104.65</v>
      </c>
    </row>
    <row r="65">
      <c r="A65" s="2" t="n">
        <v>61</v>
      </c>
      <c r="B65" s="2" t="inlineStr">
        <is>
          <t>TB_061</t>
        </is>
      </c>
      <c r="C65" s="2" t="inlineStr">
        <is>
          <t>Tủ bảo quản mẫu</t>
        </is>
      </c>
      <c r="D65" s="2" t="inlineStr">
        <is>
          <t>Cái</t>
        </is>
      </c>
      <c r="E65" s="2" t="n">
        <v>0.16</v>
      </c>
      <c r="F65" s="2" t="inlineStr">
        <is>
          <t>Nội nghiệp</t>
        </is>
      </c>
      <c r="G65" s="2" t="n">
        <v>500</v>
      </c>
      <c r="H65" s="2" t="n">
        <v>2.72</v>
      </c>
      <c r="I65" s="2" t="n">
        <v>3.48</v>
      </c>
    </row>
    <row r="66">
      <c r="A66" s="3" t="n">
        <v>62</v>
      </c>
      <c r="B66" s="3" t="inlineStr">
        <is>
          <t>TB_062</t>
        </is>
      </c>
      <c r="C66" s="3" t="inlineStr">
        <is>
          <t>Tủ hút</t>
        </is>
      </c>
      <c r="D66" s="3" t="inlineStr">
        <is>
          <t>cái</t>
        </is>
      </c>
      <c r="E66" s="3" t="n">
        <v>0.1</v>
      </c>
      <c r="F66" s="3" t="inlineStr">
        <is>
          <t>Nội nghiệp</t>
        </is>
      </c>
      <c r="G66" s="3" t="n">
        <v>500</v>
      </c>
      <c r="H66" s="3" t="n">
        <v>76</v>
      </c>
      <c r="I66" s="3" t="n">
        <v>60.8</v>
      </c>
    </row>
    <row r="67">
      <c r="A67" s="2" t="n">
        <v>63</v>
      </c>
      <c r="B67" s="2" t="inlineStr">
        <is>
          <t>TB_063</t>
        </is>
      </c>
      <c r="C67" s="2" t="inlineStr">
        <is>
          <t>Tủ lưu hóa chất</t>
        </is>
      </c>
      <c r="D67" s="2" t="inlineStr">
        <is>
          <t>cái</t>
        </is>
      </c>
      <c r="E67" s="2" t="n">
        <v>0.16</v>
      </c>
      <c r="F67" s="2" t="inlineStr">
        <is>
          <t>Nội nghiệp</t>
        </is>
      </c>
      <c r="G67" s="2" t="n">
        <v>500</v>
      </c>
      <c r="H67" s="2" t="n">
        <v>236.16</v>
      </c>
      <c r="I67" s="2" t="n">
        <v>302.28</v>
      </c>
    </row>
    <row r="68">
      <c r="A68" s="3" t="n">
        <v>64</v>
      </c>
      <c r="B68" s="3" t="inlineStr">
        <is>
          <t>TB_064</t>
        </is>
      </c>
      <c r="C68" s="3" t="inlineStr">
        <is>
          <t>Tủ lưu hóa chất</t>
        </is>
      </c>
      <c r="D68" s="3" t="inlineStr">
        <is>
          <t>Cái</t>
        </is>
      </c>
      <c r="E68" s="3" t="n">
        <v>0.16</v>
      </c>
      <c r="F68" s="3" t="inlineStr">
        <is>
          <t>Nội nghiệp</t>
        </is>
      </c>
      <c r="G68" s="3" t="n">
        <v>500</v>
      </c>
      <c r="H68" s="3" t="n">
        <v>12.8</v>
      </c>
      <c r="I68" s="3" t="n">
        <v>16.38</v>
      </c>
    </row>
    <row r="69">
      <c r="A69" s="2" t="n">
        <v>65</v>
      </c>
      <c r="B69" s="2" t="inlineStr">
        <is>
          <t>TB_065</t>
        </is>
      </c>
      <c r="C69" s="2" t="inlineStr">
        <is>
          <t>Tủ sấy</t>
        </is>
      </c>
      <c r="D69" s="2" t="inlineStr">
        <is>
          <t>cái</t>
        </is>
      </c>
      <c r="E69" s="2" t="n">
        <v>0.3</v>
      </c>
      <c r="F69" s="2" t="inlineStr">
        <is>
          <t>Nội nghiệp</t>
        </is>
      </c>
      <c r="G69" s="2" t="n">
        <v>500</v>
      </c>
      <c r="H69" s="2" t="n">
        <v>219.68</v>
      </c>
      <c r="I69" s="2" t="n">
        <v>527.23</v>
      </c>
    </row>
    <row r="70">
      <c r="A70" s="3" t="n">
        <v>66</v>
      </c>
      <c r="B70" s="3" t="inlineStr">
        <is>
          <t>TB_066</t>
        </is>
      </c>
      <c r="C70" s="3" t="inlineStr">
        <is>
          <t>Tủ sấy</t>
        </is>
      </c>
      <c r="D70" s="3" t="inlineStr">
        <is>
          <t>Cái</t>
        </is>
      </c>
      <c r="E70" s="3" t="n">
        <v>0.3</v>
      </c>
      <c r="F70" s="3" t="inlineStr">
        <is>
          <t>Nội nghiệp</t>
        </is>
      </c>
      <c r="G70" s="3" t="n">
        <v>500</v>
      </c>
      <c r="H70" s="3" t="n">
        <v>13</v>
      </c>
      <c r="I70" s="3" t="n">
        <v>31.2</v>
      </c>
    </row>
    <row r="71">
      <c r="A71" s="2" t="n">
        <v>67</v>
      </c>
      <c r="B71" s="2" t="inlineStr">
        <is>
          <t>TB_067</t>
        </is>
      </c>
      <c r="C71" s="2" t="inlineStr">
        <is>
          <t>Tủ sấy mẫu</t>
        </is>
      </c>
      <c r="D71" s="2" t="inlineStr">
        <is>
          <t>cái</t>
        </is>
      </c>
      <c r="E71" s="2" t="n">
        <v>0.3</v>
      </c>
      <c r="F71" s="2" t="inlineStr">
        <is>
          <t>Nội nghiệp</t>
        </is>
      </c>
      <c r="G71" s="2" t="n">
        <v>500</v>
      </c>
      <c r="H71" s="2" t="n">
        <v>16</v>
      </c>
      <c r="I71" s="2" t="n">
        <v>38.4</v>
      </c>
    </row>
    <row r="72">
      <c r="A72" s="3" t="n">
        <v>68</v>
      </c>
      <c r="B72" s="3" t="inlineStr">
        <is>
          <t>TB_068</t>
        </is>
      </c>
      <c r="C72" s="3" t="inlineStr">
        <is>
          <t>Tủ ủ BOD</t>
        </is>
      </c>
      <c r="D72" s="3" t="inlineStr">
        <is>
          <t>cái</t>
        </is>
      </c>
      <c r="E72" s="3" t="n">
        <v>0.8</v>
      </c>
      <c r="F72" s="3" t="inlineStr">
        <is>
          <t>Nội nghiệp</t>
        </is>
      </c>
      <c r="G72" s="3" t="n">
        <v>500</v>
      </c>
      <c r="H72" s="3" t="n">
        <v>4.8</v>
      </c>
      <c r="I72" s="3" t="n">
        <v>30.72</v>
      </c>
    </row>
    <row r="73">
      <c r="A73" s="2" t="n">
        <v>69</v>
      </c>
      <c r="B73" s="2" t="inlineStr">
        <is>
          <t>TB_069</t>
        </is>
      </c>
      <c r="C73" s="2" t="inlineStr">
        <is>
          <t>Điện</t>
        </is>
      </c>
      <c r="D73" s="2" t="inlineStr">
        <is>
          <t>kw</t>
        </is>
      </c>
      <c r="E73" s="2" t="n">
        <v>0</v>
      </c>
      <c r="F73" s="2" t="inlineStr">
        <is>
          <t>Nội nghiệp</t>
        </is>
      </c>
      <c r="G73" s="2" t="n">
        <v>500</v>
      </c>
      <c r="H73" s="2" t="n">
        <v>187.44</v>
      </c>
      <c r="I73" s="2" t="n">
        <v>0</v>
      </c>
    </row>
    <row r="74">
      <c r="A74" s="3" t="n">
        <v>70</v>
      </c>
      <c r="B74" s="3" t="inlineStr">
        <is>
          <t>TB_070</t>
        </is>
      </c>
      <c r="C74" s="3" t="inlineStr">
        <is>
          <t>Điện năng</t>
        </is>
      </c>
      <c r="D74" s="3" t="inlineStr">
        <is>
          <t>kw</t>
        </is>
      </c>
      <c r="E74" s="3" t="n">
        <v>0</v>
      </c>
      <c r="F74" s="3" t="inlineStr">
        <is>
          <t>Nội nghiệp</t>
        </is>
      </c>
      <c r="G74" s="3" t="n">
        <v>500</v>
      </c>
      <c r="H74" s="3" t="n">
        <v>10552.912</v>
      </c>
      <c r="I74" s="3" t="n">
        <v>3381.03</v>
      </c>
    </row>
    <row r="75">
      <c r="A75" s="2" t="n">
        <v>71</v>
      </c>
      <c r="B75" s="2" t="inlineStr">
        <is>
          <t>TB_071</t>
        </is>
      </c>
      <c r="C75" s="2" t="inlineStr">
        <is>
          <t>Điện năng</t>
        </is>
      </c>
      <c r="D75" s="2" t="inlineStr">
        <is>
          <t>Kw</t>
        </is>
      </c>
      <c r="E75" s="2" t="n">
        <v>0</v>
      </c>
      <c r="F75" s="2" t="inlineStr">
        <is>
          <t>Nội nghiệp</t>
        </is>
      </c>
      <c r="G75" s="2" t="n">
        <v>500</v>
      </c>
      <c r="H75" s="2" t="n">
        <v>1454.76</v>
      </c>
      <c r="I75" s="2" t="n">
        <v>0</v>
      </c>
    </row>
    <row r="76">
      <c r="A76" s="3" t="n">
        <v>72</v>
      </c>
      <c r="B76" s="3" t="inlineStr">
        <is>
          <t>TB_072</t>
        </is>
      </c>
      <c r="C76" s="3" t="inlineStr">
        <is>
          <t>Đầu đo nhiệt độ</t>
        </is>
      </c>
      <c r="D76" s="3" t="inlineStr">
        <is>
          <t>Bộ</t>
        </is>
      </c>
      <c r="E76" s="3" t="n">
        <v>0</v>
      </c>
      <c r="F76" s="3" t="inlineStr">
        <is>
          <t>Ngoại nghiệp</t>
        </is>
      </c>
      <c r="G76" s="3" t="n">
        <v>250</v>
      </c>
      <c r="H76" s="3" t="n">
        <v>8.4</v>
      </c>
      <c r="I76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13" customWidth="1" min="3" max="3"/>
    <col width="17" customWidth="1" min="4" max="4"/>
    <col width="24" customWidth="1" min="5" max="5"/>
    <col width="25" customWidth="1" min="6" max="6"/>
    <col width="26" customWidth="1" min="7" max="7"/>
  </cols>
  <sheetData>
    <row r="1">
      <c r="A1" t="inlineStr">
        <is>
          <t>BẢNG XÁC ĐỊNH ĐƠN GIÁ TIỀN LƯƠNG NGÀY CÔNG VIÊN CHỨC QUAN TRẮC MÔI TRƯỜNG</t>
        </is>
      </c>
    </row>
    <row r="2">
      <c r="A2" t="inlineStr">
        <is>
          <t>(Căn cứ: QĐ 80/2026/QĐ-UBND, TTLT 56/2015, QĐ 188/1999/QĐ-TTg &amp; NĐ 161/2026: 8 giờ/ngày, 22 ngày/tháng)</t>
        </is>
      </c>
    </row>
    <row r="3"/>
    <row r="4">
      <c r="A4" s="1" t="inlineStr">
        <is>
          <t>STT</t>
        </is>
      </c>
      <c r="B4" s="1" t="inlineStr">
        <is>
          <t>Ngạch Chức Danh Viên Chức</t>
        </is>
      </c>
      <c r="C4" s="1" t="inlineStr">
        <is>
          <t>Mã Ngạch</t>
        </is>
      </c>
      <c r="D4" s="1" t="inlineStr">
        <is>
          <t>Hệ Số Lương BQ</t>
        </is>
      </c>
      <c r="E4" s="1" t="inlineStr">
        <is>
          <t>Lương Tháng Chuẩn (đ)</t>
        </is>
      </c>
      <c r="F4" s="1" t="inlineStr">
        <is>
          <t>Số Ngày Làm Việc/Tháng</t>
        </is>
      </c>
      <c r="G4" s="1" t="inlineStr">
        <is>
          <t>Đơn Giá 1 Ngày Công (đ)</t>
        </is>
      </c>
    </row>
    <row r="5">
      <c r="A5" s="2" t="n">
        <v>1</v>
      </c>
      <c r="B5" s="2" t="inlineStr">
        <is>
          <t>Quan trắc viên tài nguyên môi trường hạng II</t>
        </is>
      </c>
      <c r="C5" s="2" t="inlineStr">
        <is>
          <t>V.06.05.13</t>
        </is>
      </c>
      <c r="D5" s="2" t="inlineStr">
        <is>
          <t>4.40 - 6.78</t>
        </is>
      </c>
      <c r="E5" s="2" t="n">
        <v>18700000</v>
      </c>
      <c r="F5" s="2" t="n">
        <v>22</v>
      </c>
      <c r="G5" s="2">
        <f>ROUND(E5/F5, 0)</f>
        <v/>
      </c>
    </row>
    <row r="6">
      <c r="A6" s="3" t="n">
        <v>2</v>
      </c>
      <c r="B6" s="3" t="inlineStr">
        <is>
          <t>Quan trắc viên tài nguyên môi trường hạng III.1</t>
        </is>
      </c>
      <c r="C6" s="3" t="inlineStr">
        <is>
          <t>V.06.05.14</t>
        </is>
      </c>
      <c r="D6" s="3" t="inlineStr">
        <is>
          <t>3.00 - 4.89</t>
        </is>
      </c>
      <c r="E6" s="3" t="n">
        <v>14300000</v>
      </c>
      <c r="F6" s="3" t="n">
        <v>22</v>
      </c>
      <c r="G6" s="3">
        <f>ROUND(E6/F6, 0)</f>
        <v/>
      </c>
    </row>
    <row r="7">
      <c r="A7" s="2" t="n">
        <v>3</v>
      </c>
      <c r="B7" s="2" t="inlineStr">
        <is>
          <t>Quan trắc viên tài nguyên môi trường hạng III.2</t>
        </is>
      </c>
      <c r="C7" s="2" t="inlineStr">
        <is>
          <t>V.06.05.14</t>
        </is>
      </c>
      <c r="D7" s="2" t="inlineStr">
        <is>
          <t>2.34 - 3.66</t>
        </is>
      </c>
      <c r="E7" s="2" t="n">
        <v>12100000</v>
      </c>
      <c r="F7" s="2" t="n">
        <v>22</v>
      </c>
      <c r="G7" s="2">
        <f>ROUND(E7/F7, 0)</f>
        <v/>
      </c>
    </row>
    <row r="8">
      <c r="A8" s="3" t="n">
        <v>4</v>
      </c>
      <c r="B8" s="3" t="inlineStr">
        <is>
          <t>Quan trắc viên tài nguyên môi trường hạng III.3</t>
        </is>
      </c>
      <c r="C8" s="3" t="inlineStr">
        <is>
          <t>V.06.05.14</t>
        </is>
      </c>
      <c r="D8" s="3" t="inlineStr">
        <is>
          <t>2.34 - 3.00</t>
        </is>
      </c>
      <c r="E8" s="3" t="n">
        <v>9900000</v>
      </c>
      <c r="F8" s="3" t="n">
        <v>22</v>
      </c>
      <c r="G8" s="3">
        <f>ROUND(E8/F8, 0)</f>
        <v/>
      </c>
    </row>
    <row r="9">
      <c r="A9" s="2" t="n">
        <v>5</v>
      </c>
      <c r="B9" s="2" t="inlineStr">
        <is>
          <t>Quan trắc viên tài nguyên môi trường hạng IV</t>
        </is>
      </c>
      <c r="C9" s="2" t="inlineStr">
        <is>
          <t>V.06.05.15</t>
        </is>
      </c>
      <c r="D9" s="2" t="inlineStr">
        <is>
          <t>1.86 - 3.00</t>
        </is>
      </c>
      <c r="E9" s="2" t="n">
        <v>9900000</v>
      </c>
      <c r="F9" s="2" t="n">
        <v>22</v>
      </c>
      <c r="G9" s="2">
        <f>ROUND(E9/F9, 0)</f>
        <v/>
      </c>
    </row>
    <row r="10">
      <c r="A10" s="3" t="n">
        <v>6</v>
      </c>
      <c r="B10" s="3" t="inlineStr">
        <is>
          <t>Kỹ thuật viên / Lao động phổ thông</t>
        </is>
      </c>
      <c r="C10" s="3" t="inlineStr">
        <is>
          <t>NVKT</t>
        </is>
      </c>
      <c r="D10" s="3" t="inlineStr">
        <is>
          <t>1.65 - 2.50</t>
        </is>
      </c>
      <c r="E10" s="3" t="n">
        <v>7700000</v>
      </c>
      <c r="F10" s="3" t="n">
        <v>22</v>
      </c>
      <c r="G10" s="3">
        <f>ROUND(E10/F10, 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8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11" customWidth="1" min="4" max="4"/>
    <col width="17" customWidth="1" min="5" max="5"/>
    <col width="16" customWidth="1" min="6" max="6"/>
    <col width="16" customWidth="1" min="7" max="7"/>
    <col width="16" customWidth="1" min="8" max="8"/>
    <col width="17" customWidth="1" min="9" max="9"/>
    <col width="19" customWidth="1" min="10" max="10"/>
    <col width="19" customWidth="1" min="11" max="11"/>
    <col width="29" customWidth="1" min="12" max="12"/>
  </cols>
  <sheetData>
    <row r="1">
      <c r="A1" t="inlineStr">
        <is>
          <t>BẢNG ĐƠN GIÁ HÓA CHẤT, CHẤT CHUẨN &amp; MA TRẬN 3 BÁO GIÁ CẠNH TRANH</t>
        </is>
      </c>
    </row>
    <row r="2">
      <c r="A2" t="inlineStr">
        <is>
          <t>(Căn cứ: Điều 16 NĐ 24/2024/NĐ-CP tra cứu KQLCNT Mua sắm công &amp; 3 Báo giá cạnh tranh)</t>
        </is>
      </c>
    </row>
    <row r="3"/>
    <row r="4">
      <c r="A4" s="1" t="inlineStr">
        <is>
          <t>STT</t>
        </is>
      </c>
      <c r="B4" s="1" t="inlineStr">
        <is>
          <t>Mã VT</t>
        </is>
      </c>
      <c r="C4" s="1" t="inlineStr">
        <is>
          <t>Tên Hóa Chất</t>
        </is>
      </c>
      <c r="D4" s="1" t="inlineStr">
        <is>
          <t>ĐVT</t>
        </is>
      </c>
      <c r="E4" s="1" t="inlineStr">
        <is>
          <t>KL Có +8% TT20</t>
        </is>
      </c>
      <c r="F4" s="1" t="inlineStr">
        <is>
          <t>Báo Giá 1 (đ)</t>
        </is>
      </c>
      <c r="G4" s="1" t="inlineStr">
        <is>
          <t>Báo Giá 2 (đ)</t>
        </is>
      </c>
      <c r="H4" s="1" t="inlineStr">
        <is>
          <t>Báo Giá 3 (đ)</t>
        </is>
      </c>
      <c r="I4" s="1" t="inlineStr">
        <is>
          <t>HĐ 71/2025 (đ)</t>
        </is>
      </c>
      <c r="J4" s="1" t="inlineStr">
        <is>
          <t>ĐG Duyệt MSC (đ)</t>
        </is>
      </c>
      <c r="K4" s="1" t="inlineStr">
        <is>
          <t>Mã TBMT / KQLCNT</t>
        </is>
      </c>
      <c r="L4" s="1" t="inlineStr">
        <is>
          <t>Thành Tiền Có +8% TT20 (đ)</t>
        </is>
      </c>
    </row>
    <row r="5">
      <c r="A5" s="2" t="n">
        <v>1</v>
      </c>
      <c r="B5" s="2" t="inlineStr">
        <is>
          <t>VL_001</t>
        </is>
      </c>
      <c r="C5" s="2" t="inlineStr">
        <is>
          <t>(NH4)2Fe(SO4)2.6H2O</t>
        </is>
      </c>
      <c r="D5" s="2" t="inlineStr">
        <is>
          <t>gam</t>
        </is>
      </c>
      <c r="E5" s="2" t="n">
        <v>4.32</v>
      </c>
      <c r="F5" s="2" t="n">
        <v>1220</v>
      </c>
      <c r="G5" s="2" t="n">
        <v>1180</v>
      </c>
      <c r="H5" s="2" t="n">
        <v>1260</v>
      </c>
      <c r="I5" s="2" t="n">
        <v>1140</v>
      </c>
      <c r="J5" s="2" t="n">
        <v>1180</v>
      </c>
      <c r="K5" s="2" t="inlineStr"/>
      <c r="L5" s="2">
        <f>ROUND(E5*J5, 0)</f>
        <v/>
      </c>
    </row>
    <row r="6">
      <c r="A6" s="3" t="n">
        <v>2</v>
      </c>
      <c r="B6" s="3" t="inlineStr">
        <is>
          <t>VL_002</t>
        </is>
      </c>
      <c r="C6" s="3" t="inlineStr">
        <is>
          <t>(NH4)2HPO4</t>
        </is>
      </c>
      <c r="D6" s="3" t="inlineStr">
        <is>
          <t>gam</t>
        </is>
      </c>
      <c r="E6" s="3" t="n">
        <v>12.96</v>
      </c>
      <c r="F6" s="3" t="n">
        <v>1220</v>
      </c>
      <c r="G6" s="3" t="n">
        <v>1180</v>
      </c>
      <c r="H6" s="3" t="n">
        <v>1260</v>
      </c>
      <c r="I6" s="3" t="n">
        <v>1140</v>
      </c>
      <c r="J6" s="3" t="n">
        <v>1180</v>
      </c>
      <c r="K6" s="3" t="inlineStr"/>
      <c r="L6" s="3">
        <f>ROUND(E6*J6, 0)</f>
        <v/>
      </c>
    </row>
    <row r="7">
      <c r="A7" s="2" t="n">
        <v>3</v>
      </c>
      <c r="B7" s="2" t="inlineStr">
        <is>
          <t>VL_003</t>
        </is>
      </c>
      <c r="C7" s="2" t="inlineStr">
        <is>
          <t>(NH4)6Mo7O24.4H2O</t>
        </is>
      </c>
      <c r="D7" s="2" t="inlineStr">
        <is>
          <t>gam</t>
        </is>
      </c>
      <c r="E7" s="2" t="n">
        <v>2.592</v>
      </c>
      <c r="F7" s="2" t="n">
        <v>1220</v>
      </c>
      <c r="G7" s="2" t="n">
        <v>1180</v>
      </c>
      <c r="H7" s="2" t="n">
        <v>1260</v>
      </c>
      <c r="I7" s="2" t="n">
        <v>1140</v>
      </c>
      <c r="J7" s="2" t="n">
        <v>1180</v>
      </c>
      <c r="K7" s="2" t="inlineStr"/>
      <c r="L7" s="2">
        <f>ROUND(E7*J7, 0)</f>
        <v/>
      </c>
    </row>
    <row r="8">
      <c r="A8" s="3" t="n">
        <v>4</v>
      </c>
      <c r="B8" s="3" t="inlineStr">
        <is>
          <t>VL_004</t>
        </is>
      </c>
      <c r="C8" s="3" t="inlineStr">
        <is>
          <t>1,5-Diphenylcacbazid (C13H14N4O)</t>
        </is>
      </c>
      <c r="D8" s="3" t="inlineStr">
        <is>
          <t>gam</t>
        </is>
      </c>
      <c r="E8" s="3" t="n">
        <v>8.640000000000001</v>
      </c>
      <c r="F8" s="3" t="n">
        <v>1220</v>
      </c>
      <c r="G8" s="3" t="n">
        <v>1180</v>
      </c>
      <c r="H8" s="3" t="n">
        <v>1260</v>
      </c>
      <c r="I8" s="3" t="n">
        <v>1140</v>
      </c>
      <c r="J8" s="3" t="n">
        <v>1180</v>
      </c>
      <c r="K8" s="3" t="inlineStr"/>
      <c r="L8" s="3">
        <f>ROUND(E8*J8, 0)</f>
        <v/>
      </c>
    </row>
    <row r="9">
      <c r="A9" s="2" t="n">
        <v>5</v>
      </c>
      <c r="B9" s="2" t="inlineStr">
        <is>
          <t>VL_005</t>
        </is>
      </c>
      <c r="C9" s="2" t="inlineStr">
        <is>
          <t>Aceton</t>
        </is>
      </c>
      <c r="D9" s="2" t="inlineStr">
        <is>
          <t>Lít</t>
        </is>
      </c>
      <c r="E9" s="2" t="n">
        <v>1.1664</v>
      </c>
      <c r="F9" s="2" t="n">
        <v>198900</v>
      </c>
      <c r="G9" s="2" t="n">
        <v>191100</v>
      </c>
      <c r="H9" s="2" t="n">
        <v>204750</v>
      </c>
      <c r="I9" s="2" t="n">
        <v>185250</v>
      </c>
      <c r="J9" s="2" t="n">
        <v>370000</v>
      </c>
      <c r="K9" s="2" t="inlineStr"/>
      <c r="L9" s="2">
        <f>ROUND(E9*J9, 0)</f>
        <v/>
      </c>
    </row>
    <row r="10">
      <c r="A10" s="3" t="n">
        <v>6</v>
      </c>
      <c r="B10" s="3" t="inlineStr">
        <is>
          <t>VL_006</t>
        </is>
      </c>
      <c r="C10" s="3" t="inlineStr">
        <is>
          <t>Aceton</t>
        </is>
      </c>
      <c r="D10" s="3" t="inlineStr">
        <is>
          <t>ml</t>
        </is>
      </c>
      <c r="E10" s="3" t="n">
        <v>432</v>
      </c>
      <c r="F10" s="3" t="n">
        <v>245</v>
      </c>
      <c r="G10" s="3" t="n">
        <v>235</v>
      </c>
      <c r="H10" s="3" t="n">
        <v>252</v>
      </c>
      <c r="I10" s="3" t="n">
        <v>228</v>
      </c>
      <c r="J10" s="3" t="n">
        <v>370</v>
      </c>
      <c r="K10" s="3" t="inlineStr"/>
      <c r="L10" s="3">
        <f>ROUND(E10*J10, 0)</f>
        <v/>
      </c>
    </row>
    <row r="11">
      <c r="A11" s="2" t="n">
        <v>7</v>
      </c>
      <c r="B11" s="2" t="inlineStr">
        <is>
          <t>VL_007</t>
        </is>
      </c>
      <c r="C11" s="2" t="inlineStr">
        <is>
          <t>Ag2SO4</t>
        </is>
      </c>
      <c r="D11" s="2" t="inlineStr">
        <is>
          <t>gam</t>
        </is>
      </c>
      <c r="E11" s="2" t="n">
        <v>6.264</v>
      </c>
      <c r="F11" s="2" t="n">
        <v>32640</v>
      </c>
      <c r="G11" s="2" t="n">
        <v>31360</v>
      </c>
      <c r="H11" s="2" t="n">
        <v>33600</v>
      </c>
      <c r="I11" s="2" t="n">
        <v>30400</v>
      </c>
      <c r="J11" s="2" t="n">
        <v>31360</v>
      </c>
      <c r="K11" s="2" t="inlineStr"/>
      <c r="L11" s="2">
        <f>ROUND(E11*J11, 0)</f>
        <v/>
      </c>
    </row>
    <row r="12">
      <c r="A12" s="3" t="n">
        <v>8</v>
      </c>
      <c r="B12" s="3" t="inlineStr">
        <is>
          <t>VL_008</t>
        </is>
      </c>
      <c r="C12" s="3" t="inlineStr">
        <is>
          <t>AgNO3</t>
        </is>
      </c>
      <c r="D12" s="3" t="inlineStr">
        <is>
          <t>Gram</t>
        </is>
      </c>
      <c r="E12" s="3" t="n">
        <v>19.44</v>
      </c>
      <c r="F12" s="3" t="n">
        <v>32640</v>
      </c>
      <c r="G12" s="3" t="n">
        <v>31360</v>
      </c>
      <c r="H12" s="3" t="n">
        <v>33600</v>
      </c>
      <c r="I12" s="3" t="n">
        <v>30400</v>
      </c>
      <c r="J12" s="3" t="n">
        <v>31360</v>
      </c>
      <c r="K12" s="3" t="inlineStr"/>
      <c r="L12" s="3">
        <f>ROUND(E12*J12, 0)</f>
        <v/>
      </c>
    </row>
    <row r="13">
      <c r="A13" s="2" t="n">
        <v>9</v>
      </c>
      <c r="B13" s="2" t="inlineStr">
        <is>
          <t>VL_009</t>
        </is>
      </c>
      <c r="C13" s="2" t="inlineStr">
        <is>
          <t>Axit Bacbituric</t>
        </is>
      </c>
      <c r="D13" s="2" t="inlineStr">
        <is>
          <t>Gram</t>
        </is>
      </c>
      <c r="E13" s="2" t="n">
        <v>34.992</v>
      </c>
      <c r="F13" s="2" t="n">
        <v>1220</v>
      </c>
      <c r="G13" s="2" t="n">
        <v>1180</v>
      </c>
      <c r="H13" s="2" t="n">
        <v>1260</v>
      </c>
      <c r="I13" s="2" t="n">
        <v>1140</v>
      </c>
      <c r="J13" s="2" t="n">
        <v>1180</v>
      </c>
      <c r="K13" s="2" t="inlineStr"/>
      <c r="L13" s="2">
        <f>ROUND(E13*J13, 0)</f>
        <v/>
      </c>
    </row>
    <row r="14">
      <c r="A14" s="3" t="n">
        <v>10</v>
      </c>
      <c r="B14" s="3" t="inlineStr">
        <is>
          <t>VL_010</t>
        </is>
      </c>
      <c r="C14" s="3" t="inlineStr">
        <is>
          <t>Axit ascorbic</t>
        </is>
      </c>
      <c r="D14" s="3" t="inlineStr">
        <is>
          <t>gam</t>
        </is>
      </c>
      <c r="E14" s="3" t="n">
        <v>1.296</v>
      </c>
      <c r="F14" s="3" t="n">
        <v>1220</v>
      </c>
      <c r="G14" s="3" t="n">
        <v>1180</v>
      </c>
      <c r="H14" s="3" t="n">
        <v>1260</v>
      </c>
      <c r="I14" s="3" t="n">
        <v>1140</v>
      </c>
      <c r="J14" s="3" t="n">
        <v>59100</v>
      </c>
      <c r="K14" s="3" t="inlineStr"/>
      <c r="L14" s="3">
        <f>ROUND(E14*J14, 0)</f>
        <v/>
      </c>
    </row>
    <row r="15">
      <c r="A15" s="2" t="n">
        <v>11</v>
      </c>
      <c r="B15" s="2" t="inlineStr">
        <is>
          <t>VL_011</t>
        </is>
      </c>
      <c r="C15" s="2" t="inlineStr">
        <is>
          <t>Axit sulphamic</t>
        </is>
      </c>
      <c r="D15" s="2" t="inlineStr">
        <is>
          <t>gam</t>
        </is>
      </c>
      <c r="E15" s="2" t="n">
        <v>7.2576</v>
      </c>
      <c r="F15" s="2" t="n">
        <v>1220</v>
      </c>
      <c r="G15" s="2" t="n">
        <v>1180</v>
      </c>
      <c r="H15" s="2" t="n">
        <v>1260</v>
      </c>
      <c r="I15" s="2" t="n">
        <v>1140</v>
      </c>
      <c r="J15" s="2" t="n">
        <v>1180</v>
      </c>
      <c r="K15" s="2" t="inlineStr"/>
      <c r="L15" s="2">
        <f>ROUND(E15*J15, 0)</f>
        <v/>
      </c>
    </row>
    <row r="16">
      <c r="A16" s="3" t="n">
        <v>12</v>
      </c>
      <c r="B16" s="3" t="inlineStr">
        <is>
          <t>VL_012</t>
        </is>
      </c>
      <c r="C16" s="3" t="inlineStr">
        <is>
          <t>Axít acetic</t>
        </is>
      </c>
      <c r="D16" s="3" t="inlineStr">
        <is>
          <t>ml</t>
        </is>
      </c>
      <c r="E16" s="3" t="n">
        <v>2.592</v>
      </c>
      <c r="F16" s="3" t="n">
        <v>326</v>
      </c>
      <c r="G16" s="3" t="n">
        <v>314</v>
      </c>
      <c r="H16" s="3" t="n">
        <v>336</v>
      </c>
      <c r="I16" s="3" t="n">
        <v>304</v>
      </c>
      <c r="J16" s="3" t="n">
        <v>314</v>
      </c>
      <c r="K16" s="3" t="inlineStr"/>
      <c r="L16" s="3">
        <f>ROUND(E16*J16, 0)</f>
        <v/>
      </c>
    </row>
    <row r="17">
      <c r="A17" s="2" t="n">
        <v>13</v>
      </c>
      <c r="B17" s="2" t="inlineStr">
        <is>
          <t>VL_013</t>
        </is>
      </c>
      <c r="C17" s="2" t="inlineStr">
        <is>
          <t>Axít sulphanilic</t>
        </is>
      </c>
      <c r="D17" s="2" t="inlineStr">
        <is>
          <t>gam</t>
        </is>
      </c>
      <c r="E17" s="2" t="n">
        <v>3.24</v>
      </c>
      <c r="F17" s="2" t="n">
        <v>1220</v>
      </c>
      <c r="G17" s="2" t="n">
        <v>1180</v>
      </c>
      <c r="H17" s="2" t="n">
        <v>1260</v>
      </c>
      <c r="I17" s="2" t="n">
        <v>1140</v>
      </c>
      <c r="J17" s="2" t="n">
        <v>1180</v>
      </c>
      <c r="K17" s="2" t="inlineStr"/>
      <c r="L17" s="2">
        <f>ROUND(E17*J17, 0)</f>
        <v/>
      </c>
    </row>
    <row r="18">
      <c r="A18" s="3" t="n">
        <v>14</v>
      </c>
      <c r="B18" s="3" t="inlineStr">
        <is>
          <t>VL_014</t>
        </is>
      </c>
      <c r="C18" s="3" t="inlineStr">
        <is>
          <t>Bút ghi kính</t>
        </is>
      </c>
      <c r="D18" s="3" t="inlineStr">
        <is>
          <t>cái</t>
        </is>
      </c>
      <c r="E18" s="3" t="n">
        <v>43.416</v>
      </c>
      <c r="F18" s="3" t="n">
        <v>6630</v>
      </c>
      <c r="G18" s="3" t="n">
        <v>6370</v>
      </c>
      <c r="H18" s="3" t="n">
        <v>6820</v>
      </c>
      <c r="I18" s="3" t="n">
        <v>6180</v>
      </c>
      <c r="J18" s="3" t="n">
        <v>6370</v>
      </c>
      <c r="K18" s="3" t="inlineStr"/>
      <c r="L18" s="3">
        <f>ROUND(E18*J18, 0)</f>
        <v/>
      </c>
    </row>
    <row r="19">
      <c r="A19" s="2" t="n">
        <v>15</v>
      </c>
      <c r="B19" s="2" t="inlineStr">
        <is>
          <t>VL_015</t>
        </is>
      </c>
      <c r="C19" s="2" t="inlineStr">
        <is>
          <t>Băng giấy in</t>
        </is>
      </c>
      <c r="D19" s="2" t="inlineStr">
        <is>
          <t>gam</t>
        </is>
      </c>
      <c r="E19" s="2" t="n">
        <v>2.268</v>
      </c>
      <c r="F19" s="2" t="n">
        <v>1220</v>
      </c>
      <c r="G19" s="2" t="n">
        <v>1180</v>
      </c>
      <c r="H19" s="2" t="n">
        <v>1260</v>
      </c>
      <c r="I19" s="2" t="n">
        <v>1140</v>
      </c>
      <c r="J19" s="2" t="n">
        <v>1180</v>
      </c>
      <c r="K19" s="2" t="inlineStr"/>
      <c r="L19" s="2">
        <f>ROUND(E19*J19, 0)</f>
        <v/>
      </c>
    </row>
    <row r="20">
      <c r="A20" s="3" t="n">
        <v>16</v>
      </c>
      <c r="B20" s="3" t="inlineStr">
        <is>
          <t>VL_016</t>
        </is>
      </c>
      <c r="C20" s="3" t="inlineStr">
        <is>
          <t>Băng giấy in</t>
        </is>
      </c>
      <c r="D20" s="3" t="inlineStr">
        <is>
          <t>gram</t>
        </is>
      </c>
      <c r="E20" s="3" t="n">
        <v>2.16</v>
      </c>
      <c r="F20" s="3" t="n">
        <v>1220</v>
      </c>
      <c r="G20" s="3" t="n">
        <v>1180</v>
      </c>
      <c r="H20" s="3" t="n">
        <v>1260</v>
      </c>
      <c r="I20" s="3" t="n">
        <v>1140</v>
      </c>
      <c r="J20" s="3" t="n">
        <v>1180</v>
      </c>
      <c r="K20" s="3" t="inlineStr"/>
      <c r="L20" s="3">
        <f>ROUND(E20*J20, 0)</f>
        <v/>
      </c>
    </row>
    <row r="21">
      <c r="A21" s="2" t="n">
        <v>17</v>
      </c>
      <c r="B21" s="2" t="inlineStr">
        <is>
          <t>VL_017</t>
        </is>
      </c>
      <c r="C21" s="2" t="inlineStr">
        <is>
          <t>Bản đồ địa hình</t>
        </is>
      </c>
      <c r="D21" s="2" t="inlineStr">
        <is>
          <t>cái</t>
        </is>
      </c>
      <c r="E21" s="2" t="n">
        <v>21.4704</v>
      </c>
      <c r="F21" s="2" t="n">
        <v>15300</v>
      </c>
      <c r="G21" s="2" t="n">
        <v>14700</v>
      </c>
      <c r="H21" s="2" t="n">
        <v>15750</v>
      </c>
      <c r="I21" s="2" t="n">
        <v>14250</v>
      </c>
      <c r="J21" s="2" t="n">
        <v>14700</v>
      </c>
      <c r="K21" s="2" t="inlineStr"/>
      <c r="L21" s="2">
        <f>ROUND(E21*J21, 0)</f>
        <v/>
      </c>
    </row>
    <row r="22">
      <c r="A22" s="3" t="n">
        <v>18</v>
      </c>
      <c r="B22" s="3" t="inlineStr">
        <is>
          <t>VL_018</t>
        </is>
      </c>
      <c r="C22" s="3" t="inlineStr">
        <is>
          <t>Bản đồ địa hình</t>
        </is>
      </c>
      <c r="D22" s="3" t="inlineStr">
        <is>
          <t>tờ</t>
        </is>
      </c>
      <c r="E22" s="3" t="n">
        <v>16.3296</v>
      </c>
      <c r="F22" s="3" t="n">
        <v>15300</v>
      </c>
      <c r="G22" s="3" t="n">
        <v>14700</v>
      </c>
      <c r="H22" s="3" t="n">
        <v>15750</v>
      </c>
      <c r="I22" s="3" t="n">
        <v>14250</v>
      </c>
      <c r="J22" s="3" t="n">
        <v>14700</v>
      </c>
      <c r="K22" s="3" t="inlineStr"/>
      <c r="L22" s="3">
        <f>ROUND(E22*J22, 0)</f>
        <v/>
      </c>
    </row>
    <row r="23">
      <c r="A23" s="2" t="n">
        <v>19</v>
      </c>
      <c r="B23" s="2" t="inlineStr">
        <is>
          <t>VL_019</t>
        </is>
      </c>
      <c r="C23" s="2" t="inlineStr">
        <is>
          <t>Bộ màng bơm, van, gioăng đệm</t>
        </is>
      </c>
      <c r="D23" s="2" t="inlineStr">
        <is>
          <t>bộ</t>
        </is>
      </c>
      <c r="E23" s="2" t="n">
        <v>0.432</v>
      </c>
      <c r="F23" s="2" t="n">
        <v>5100</v>
      </c>
      <c r="G23" s="2" t="n">
        <v>4900</v>
      </c>
      <c r="H23" s="2" t="n">
        <v>5250</v>
      </c>
      <c r="I23" s="2" t="n">
        <v>4750</v>
      </c>
      <c r="J23" s="2" t="n">
        <v>4900</v>
      </c>
      <c r="K23" s="2" t="inlineStr"/>
      <c r="L23" s="2">
        <f>ROUND(E23*J23, 0)</f>
        <v/>
      </c>
    </row>
    <row r="24">
      <c r="A24" s="3" t="n">
        <v>20</v>
      </c>
      <c r="B24" s="3" t="inlineStr">
        <is>
          <t>VL_020</t>
        </is>
      </c>
      <c r="C24" s="3" t="inlineStr">
        <is>
          <t>Bột Niken</t>
        </is>
      </c>
      <c r="D24" s="3" t="inlineStr">
        <is>
          <t>gam</t>
        </is>
      </c>
      <c r="E24" s="3" t="n">
        <v>0.648</v>
      </c>
      <c r="F24" s="3" t="n">
        <v>1220</v>
      </c>
      <c r="G24" s="3" t="n">
        <v>1180</v>
      </c>
      <c r="H24" s="3" t="n">
        <v>1260</v>
      </c>
      <c r="I24" s="3" t="n">
        <v>1140</v>
      </c>
      <c r="J24" s="3" t="n">
        <v>1180</v>
      </c>
      <c r="K24" s="3" t="inlineStr"/>
      <c r="L24" s="3">
        <f>ROUND(E24*J24, 0)</f>
        <v/>
      </c>
    </row>
    <row r="25">
      <c r="A25" s="2" t="n">
        <v>21</v>
      </c>
      <c r="B25" s="2" t="inlineStr">
        <is>
          <t>VL_021</t>
        </is>
      </c>
      <c r="C25" s="2" t="inlineStr">
        <is>
          <t>Bột Pd</t>
        </is>
      </c>
      <c r="D25" s="2" t="inlineStr">
        <is>
          <t>gam</t>
        </is>
      </c>
      <c r="E25" s="2" t="n">
        <v>0.108</v>
      </c>
      <c r="F25" s="2" t="n">
        <v>1220</v>
      </c>
      <c r="G25" s="2" t="n">
        <v>1180</v>
      </c>
      <c r="H25" s="2" t="n">
        <v>1260</v>
      </c>
      <c r="I25" s="2" t="n">
        <v>1140</v>
      </c>
      <c r="J25" s="2" t="n">
        <v>1180</v>
      </c>
      <c r="K25" s="2" t="inlineStr"/>
      <c r="L25" s="2">
        <f>ROUND(E25*J25, 0)</f>
        <v/>
      </c>
    </row>
    <row r="26">
      <c r="A26" s="3" t="n">
        <v>22</v>
      </c>
      <c r="B26" s="3" t="inlineStr">
        <is>
          <t>VL_022</t>
        </is>
      </c>
      <c r="C26" s="3" t="inlineStr">
        <is>
          <t>C12H8N2.H2O</t>
        </is>
      </c>
      <c r="D26" s="3" t="inlineStr">
        <is>
          <t>gam</t>
        </is>
      </c>
      <c r="E26" s="3" t="n">
        <v>0.432</v>
      </c>
      <c r="F26" s="3" t="n">
        <v>1220</v>
      </c>
      <c r="G26" s="3" t="n">
        <v>1180</v>
      </c>
      <c r="H26" s="3" t="n">
        <v>1260</v>
      </c>
      <c r="I26" s="3" t="n">
        <v>1140</v>
      </c>
      <c r="J26" s="3" t="n">
        <v>1180</v>
      </c>
      <c r="K26" s="3" t="inlineStr"/>
      <c r="L26" s="3">
        <f>ROUND(E26*J26, 0)</f>
        <v/>
      </c>
    </row>
    <row r="27">
      <c r="A27" s="2" t="n">
        <v>23</v>
      </c>
      <c r="B27" s="2" t="inlineStr">
        <is>
          <t>VL_023</t>
        </is>
      </c>
      <c r="C27" s="2" t="inlineStr">
        <is>
          <t>C3N3O3Cl2Na.2H2O</t>
        </is>
      </c>
      <c r="D27" s="2" t="inlineStr">
        <is>
          <t>gam</t>
        </is>
      </c>
      <c r="E27" s="2" t="n">
        <v>3.456</v>
      </c>
      <c r="F27" s="2" t="n">
        <v>1220</v>
      </c>
      <c r="G27" s="2" t="n">
        <v>1180</v>
      </c>
      <c r="H27" s="2" t="n">
        <v>1260</v>
      </c>
      <c r="I27" s="2" t="n">
        <v>1140</v>
      </c>
      <c r="J27" s="2" t="n">
        <v>1180</v>
      </c>
      <c r="K27" s="2" t="inlineStr"/>
      <c r="L27" s="2">
        <f>ROUND(E27*J27, 0)</f>
        <v/>
      </c>
    </row>
    <row r="28">
      <c r="A28" s="3" t="n">
        <v>24</v>
      </c>
      <c r="B28" s="3" t="inlineStr">
        <is>
          <t>VL_024</t>
        </is>
      </c>
      <c r="C28" s="3" t="inlineStr">
        <is>
          <t>CDTA- C14H22N2O8</t>
        </is>
      </c>
      <c r="D28" s="3" t="inlineStr">
        <is>
          <t>gam</t>
        </is>
      </c>
      <c r="E28" s="3" t="n">
        <v>10.8</v>
      </c>
      <c r="F28" s="3" t="n">
        <v>1220</v>
      </c>
      <c r="G28" s="3" t="n">
        <v>1180</v>
      </c>
      <c r="H28" s="3" t="n">
        <v>1260</v>
      </c>
      <c r="I28" s="3" t="n">
        <v>1140</v>
      </c>
      <c r="J28" s="3" t="n">
        <v>1180</v>
      </c>
      <c r="K28" s="3" t="inlineStr"/>
      <c r="L28" s="3">
        <f>ROUND(E28*J28, 0)</f>
        <v/>
      </c>
    </row>
    <row r="29">
      <c r="A29" s="2" t="n">
        <v>25</v>
      </c>
      <c r="B29" s="2" t="inlineStr">
        <is>
          <t>VL_025</t>
        </is>
      </c>
      <c r="C29" s="2" t="inlineStr">
        <is>
          <t>CH3COOH</t>
        </is>
      </c>
      <c r="D29" s="2" t="inlineStr">
        <is>
          <t>ml</t>
        </is>
      </c>
      <c r="E29" s="2" t="n">
        <v>60.48</v>
      </c>
      <c r="F29" s="2" t="n">
        <v>286</v>
      </c>
      <c r="G29" s="2" t="n">
        <v>274</v>
      </c>
      <c r="H29" s="2" t="n">
        <v>294</v>
      </c>
      <c r="I29" s="2" t="n">
        <v>266</v>
      </c>
      <c r="J29" s="2" t="n">
        <v>274</v>
      </c>
      <c r="K29" s="2" t="inlineStr"/>
      <c r="L29" s="2">
        <f>ROUND(E29*J29, 0)</f>
        <v/>
      </c>
    </row>
    <row r="30">
      <c r="A30" s="3" t="n">
        <v>26</v>
      </c>
      <c r="B30" s="3" t="inlineStr">
        <is>
          <t>VL_026</t>
        </is>
      </c>
      <c r="C30" s="3" t="inlineStr">
        <is>
          <t>CH3COONa.3H2O</t>
        </is>
      </c>
      <c r="D30" s="3" t="inlineStr">
        <is>
          <t>Gram</t>
        </is>
      </c>
      <c r="E30" s="3" t="n">
        <v>31.104</v>
      </c>
      <c r="F30" s="3" t="n">
        <v>1220</v>
      </c>
      <c r="G30" s="3" t="n">
        <v>1180</v>
      </c>
      <c r="H30" s="3" t="n">
        <v>1260</v>
      </c>
      <c r="I30" s="3" t="n">
        <v>1140</v>
      </c>
      <c r="J30" s="3" t="n">
        <v>1180</v>
      </c>
      <c r="K30" s="3" t="inlineStr"/>
      <c r="L30" s="3">
        <f>ROUND(E30*J30, 0)</f>
        <v/>
      </c>
    </row>
    <row r="31">
      <c r="A31" s="2" t="n">
        <v>27</v>
      </c>
      <c r="B31" s="2" t="inlineStr">
        <is>
          <t>VL_027</t>
        </is>
      </c>
      <c r="C31" s="2" t="inlineStr">
        <is>
          <t>CHCl3</t>
        </is>
      </c>
      <c r="D31" s="2" t="inlineStr">
        <is>
          <t>ml</t>
        </is>
      </c>
      <c r="E31" s="2" t="n">
        <v>23.76</v>
      </c>
      <c r="F31" s="2" t="n">
        <v>326</v>
      </c>
      <c r="G31" s="2" t="n">
        <v>314</v>
      </c>
      <c r="H31" s="2" t="n">
        <v>336</v>
      </c>
      <c r="I31" s="2" t="n">
        <v>304</v>
      </c>
      <c r="J31" s="2" t="n">
        <v>314</v>
      </c>
      <c r="K31" s="2" t="inlineStr"/>
      <c r="L31" s="2">
        <f>ROUND(E31*J31, 0)</f>
        <v/>
      </c>
    </row>
    <row r="32">
      <c r="A32" s="3" t="n">
        <v>28</v>
      </c>
      <c r="B32" s="3" t="inlineStr">
        <is>
          <t>VL_028</t>
        </is>
      </c>
      <c r="C32" s="3" t="inlineStr">
        <is>
          <t>CaCO3</t>
        </is>
      </c>
      <c r="D32" s="3" t="inlineStr">
        <is>
          <t>gam</t>
        </is>
      </c>
      <c r="E32" s="3" t="n">
        <v>3.456</v>
      </c>
      <c r="F32" s="3" t="n">
        <v>1220</v>
      </c>
      <c r="G32" s="3" t="n">
        <v>1180</v>
      </c>
      <c r="H32" s="3" t="n">
        <v>1260</v>
      </c>
      <c r="I32" s="3" t="n">
        <v>1140</v>
      </c>
      <c r="J32" s="3" t="n">
        <v>1180</v>
      </c>
      <c r="K32" s="3" t="inlineStr"/>
      <c r="L32" s="3">
        <f>ROUND(E32*J32, 0)</f>
        <v/>
      </c>
    </row>
    <row r="33">
      <c r="A33" s="2" t="n">
        <v>29</v>
      </c>
      <c r="B33" s="2" t="inlineStr">
        <is>
          <t>VL_029</t>
        </is>
      </c>
      <c r="C33" s="2" t="inlineStr">
        <is>
          <t>CaCl2</t>
        </is>
      </c>
      <c r="D33" s="2" t="inlineStr">
        <is>
          <t>gam</t>
        </is>
      </c>
      <c r="E33" s="2" t="n">
        <v>1.5552</v>
      </c>
      <c r="F33" s="2" t="n">
        <v>1220</v>
      </c>
      <c r="G33" s="2" t="n">
        <v>1180</v>
      </c>
      <c r="H33" s="2" t="n">
        <v>1260</v>
      </c>
      <c r="I33" s="2" t="n">
        <v>1140</v>
      </c>
      <c r="J33" s="2" t="n">
        <v>1180</v>
      </c>
      <c r="K33" s="2" t="inlineStr"/>
      <c r="L33" s="2">
        <f>ROUND(E33*J33, 0)</f>
        <v/>
      </c>
    </row>
    <row r="34">
      <c r="A34" s="3" t="n">
        <v>30</v>
      </c>
      <c r="B34" s="3" t="inlineStr">
        <is>
          <t>VL_030</t>
        </is>
      </c>
      <c r="C34" s="3" t="inlineStr">
        <is>
          <t>Cloramin T</t>
        </is>
      </c>
      <c r="D34" s="3" t="inlineStr">
        <is>
          <t>Gram</t>
        </is>
      </c>
      <c r="E34" s="3" t="n">
        <v>7.776</v>
      </c>
      <c r="F34" s="3" t="n">
        <v>1220</v>
      </c>
      <c r="G34" s="3" t="n">
        <v>1180</v>
      </c>
      <c r="H34" s="3" t="n">
        <v>1260</v>
      </c>
      <c r="I34" s="3" t="n">
        <v>1140</v>
      </c>
      <c r="J34" s="3" t="n">
        <v>1180</v>
      </c>
      <c r="K34" s="3" t="inlineStr"/>
      <c r="L34" s="3">
        <f>ROUND(E34*J34, 0)</f>
        <v/>
      </c>
    </row>
    <row r="35">
      <c r="A35" s="2" t="n">
        <v>31</v>
      </c>
      <c r="B35" s="2" t="inlineStr">
        <is>
          <t>VL_031</t>
        </is>
      </c>
      <c r="C35" s="2" t="inlineStr">
        <is>
          <t>Cồn lau dụng cụ (lít)</t>
        </is>
      </c>
      <c r="D35" s="2" t="inlineStr">
        <is>
          <t>lít</t>
        </is>
      </c>
      <c r="E35" s="2" t="n">
        <v>11.5344</v>
      </c>
      <c r="F35" s="2" t="n">
        <v>198900</v>
      </c>
      <c r="G35" s="2" t="n">
        <v>191100</v>
      </c>
      <c r="H35" s="2" t="n">
        <v>204750</v>
      </c>
      <c r="I35" s="2" t="n">
        <v>185250</v>
      </c>
      <c r="J35" s="2" t="n">
        <v>40000</v>
      </c>
      <c r="K35" s="2" t="inlineStr"/>
      <c r="L35" s="2">
        <f>ROUND(E35*J35, 0)</f>
        <v/>
      </c>
    </row>
    <row r="36">
      <c r="A36" s="3" t="n">
        <v>32</v>
      </c>
      <c r="B36" s="3" t="inlineStr">
        <is>
          <t>VL_032</t>
        </is>
      </c>
      <c r="C36" s="3" t="inlineStr">
        <is>
          <t>Cồn lau dụng cụ</t>
        </is>
      </c>
      <c r="D36" s="3" t="inlineStr">
        <is>
          <t>lít</t>
        </is>
      </c>
      <c r="E36" s="3" t="n">
        <v>7.5816</v>
      </c>
      <c r="F36" s="3" t="n">
        <v>198900</v>
      </c>
      <c r="G36" s="3" t="n">
        <v>191100</v>
      </c>
      <c r="H36" s="3" t="n">
        <v>204750</v>
      </c>
      <c r="I36" s="3" t="n">
        <v>185250</v>
      </c>
      <c r="J36" s="3" t="n">
        <v>40000</v>
      </c>
      <c r="K36" s="3" t="inlineStr"/>
      <c r="L36" s="3">
        <f>ROUND(E36*J36, 0)</f>
        <v/>
      </c>
    </row>
    <row r="37">
      <c r="A37" s="2" t="n">
        <v>33</v>
      </c>
      <c r="B37" s="2" t="inlineStr">
        <is>
          <t>VL_033</t>
        </is>
      </c>
      <c r="C37" s="2" t="inlineStr">
        <is>
          <t>Cồn lau dụng cụ</t>
        </is>
      </c>
      <c r="D37" s="2" t="inlineStr">
        <is>
          <t>ml</t>
        </is>
      </c>
      <c r="E37" s="2" t="n">
        <v>22906.8216</v>
      </c>
      <c r="F37" s="2" t="n">
        <v>245</v>
      </c>
      <c r="G37" s="2" t="n">
        <v>235</v>
      </c>
      <c r="H37" s="2" t="n">
        <v>252</v>
      </c>
      <c r="I37" s="2" t="n">
        <v>228</v>
      </c>
      <c r="J37" s="2" t="n">
        <v>40</v>
      </c>
      <c r="K37" s="2" t="inlineStr"/>
      <c r="L37" s="2">
        <f>ROUND(E37*J37, 0)</f>
        <v/>
      </c>
    </row>
    <row r="38">
      <c r="A38" s="3" t="n">
        <v>34</v>
      </c>
      <c r="B38" s="3" t="inlineStr">
        <is>
          <t>VL_034</t>
        </is>
      </c>
      <c r="C38" s="3" t="inlineStr">
        <is>
          <t>Cồn lau đầu đo</t>
        </is>
      </c>
      <c r="D38" s="3" t="inlineStr">
        <is>
          <t>ml</t>
        </is>
      </c>
      <c r="E38" s="3" t="n">
        <v>1684.8</v>
      </c>
      <c r="F38" s="3" t="n">
        <v>245</v>
      </c>
      <c r="G38" s="3" t="n">
        <v>235</v>
      </c>
      <c r="H38" s="3" t="n">
        <v>252</v>
      </c>
      <c r="I38" s="3" t="n">
        <v>228</v>
      </c>
      <c r="J38" s="3" t="n">
        <v>40</v>
      </c>
      <c r="K38" s="3" t="inlineStr"/>
      <c r="L38" s="3">
        <f>ROUND(E38*J38, 0)</f>
        <v/>
      </c>
    </row>
    <row r="39">
      <c r="A39" s="2" t="n">
        <v>35</v>
      </c>
      <c r="B39" s="2" t="inlineStr">
        <is>
          <t>VL_035</t>
        </is>
      </c>
      <c r="C39" s="2" t="inlineStr">
        <is>
          <t>Diatomit cỡ hạt 0,125mm - 0,150mm</t>
        </is>
      </c>
      <c r="D39" s="2" t="inlineStr">
        <is>
          <t>gam</t>
        </is>
      </c>
      <c r="E39" s="2" t="n">
        <v>2.16</v>
      </c>
      <c r="F39" s="2" t="n">
        <v>1220</v>
      </c>
      <c r="G39" s="2" t="n">
        <v>1180</v>
      </c>
      <c r="H39" s="2" t="n">
        <v>1260</v>
      </c>
      <c r="I39" s="2" t="n">
        <v>1140</v>
      </c>
      <c r="J39" s="2" t="n">
        <v>1180</v>
      </c>
      <c r="K39" s="2" t="inlineStr"/>
      <c r="L39" s="2">
        <f>ROUND(E39*J39, 0)</f>
        <v/>
      </c>
    </row>
    <row r="40">
      <c r="A40" s="3" t="n">
        <v>36</v>
      </c>
      <c r="B40" s="3" t="inlineStr">
        <is>
          <t>VL_036</t>
        </is>
      </c>
      <c r="C40" s="3" t="inlineStr">
        <is>
          <t>Dung dịch NH4+ chuẩn</t>
        </is>
      </c>
      <c r="D40" s="3" t="inlineStr">
        <is>
          <t>ml</t>
        </is>
      </c>
      <c r="E40" s="3" t="n">
        <v>8.640000000000001</v>
      </c>
      <c r="F40" s="3" t="n">
        <v>8670</v>
      </c>
      <c r="G40" s="3" t="n">
        <v>8330</v>
      </c>
      <c r="H40" s="3" t="n">
        <v>8920</v>
      </c>
      <c r="I40" s="3" t="n">
        <v>8080</v>
      </c>
      <c r="J40" s="3" t="n">
        <v>4780</v>
      </c>
      <c r="K40" s="3" t="inlineStr"/>
      <c r="L40" s="3">
        <f>ROUND(E40*J40, 0)</f>
        <v/>
      </c>
    </row>
    <row r="41">
      <c r="A41" s="2" t="n">
        <v>37</v>
      </c>
      <c r="B41" s="2" t="inlineStr">
        <is>
          <t>VL_037</t>
        </is>
      </c>
      <c r="C41" s="2" t="inlineStr">
        <is>
          <t>Dung dịch chuẩn 1000 Pt-Co</t>
        </is>
      </c>
      <c r="D41" s="2" t="inlineStr">
        <is>
          <t>ml</t>
        </is>
      </c>
      <c r="E41" s="2" t="n">
        <v>129.6</v>
      </c>
      <c r="F41" s="2" t="n">
        <v>8670</v>
      </c>
      <c r="G41" s="2" t="n">
        <v>8330</v>
      </c>
      <c r="H41" s="2" t="n">
        <v>8920</v>
      </c>
      <c r="I41" s="2" t="n">
        <v>8080</v>
      </c>
      <c r="J41" s="2" t="n">
        <v>8330</v>
      </c>
      <c r="K41" s="2" t="inlineStr"/>
      <c r="L41" s="2">
        <f>ROUND(E41*J41, 0)</f>
        <v/>
      </c>
    </row>
    <row r="42">
      <c r="A42" s="3" t="n">
        <v>38</v>
      </c>
      <c r="B42" s="3" t="inlineStr">
        <is>
          <t>VL_038</t>
        </is>
      </c>
      <c r="C42" s="3" t="inlineStr">
        <is>
          <t>Dung dịch chuẩn NaNO2</t>
        </is>
      </c>
      <c r="D42" s="3" t="inlineStr">
        <is>
          <t>ml</t>
        </is>
      </c>
      <c r="E42" s="3" t="n">
        <v>36.72</v>
      </c>
      <c r="F42" s="3" t="n">
        <v>8670</v>
      </c>
      <c r="G42" s="3" t="n">
        <v>8330</v>
      </c>
      <c r="H42" s="3" t="n">
        <v>8920</v>
      </c>
      <c r="I42" s="3" t="n">
        <v>8080</v>
      </c>
      <c r="J42" s="3" t="n">
        <v>8330</v>
      </c>
      <c r="K42" s="3" t="inlineStr"/>
      <c r="L42" s="3">
        <f>ROUND(E42*J42, 0)</f>
        <v/>
      </c>
    </row>
    <row r="43">
      <c r="A43" s="2" t="n">
        <v>39</v>
      </c>
      <c r="B43" s="2" t="inlineStr">
        <is>
          <t>VL_039</t>
        </is>
      </c>
      <c r="C43" s="2" t="inlineStr">
        <is>
          <t>Dung dịch chuẩn P-PO4</t>
        </is>
      </c>
      <c r="D43" s="2" t="inlineStr">
        <is>
          <t>ml</t>
        </is>
      </c>
      <c r="E43" s="2" t="n">
        <v>2.16</v>
      </c>
      <c r="F43" s="2" t="n">
        <v>8670</v>
      </c>
      <c r="G43" s="2" t="n">
        <v>8330</v>
      </c>
      <c r="H43" s="2" t="n">
        <v>8920</v>
      </c>
      <c r="I43" s="2" t="n">
        <v>8080</v>
      </c>
      <c r="J43" s="2" t="n">
        <v>8330</v>
      </c>
      <c r="K43" s="2" t="inlineStr"/>
      <c r="L43" s="2">
        <f>ROUND(E43*J43, 0)</f>
        <v/>
      </c>
    </row>
    <row r="44">
      <c r="A44" s="3" t="n">
        <v>40</v>
      </c>
      <c r="B44" s="3" t="inlineStr">
        <is>
          <t>VL_040</t>
        </is>
      </c>
      <c r="C44" s="3" t="inlineStr">
        <is>
          <t>Dung dịch chuẩn gốc 1.000ppm</t>
        </is>
      </c>
      <c r="D44" s="3" t="inlineStr">
        <is>
          <t>ml</t>
        </is>
      </c>
      <c r="E44" s="3" t="n">
        <v>310.176</v>
      </c>
      <c r="F44" s="3" t="n">
        <v>8670</v>
      </c>
      <c r="G44" s="3" t="n">
        <v>8330</v>
      </c>
      <c r="H44" s="3" t="n">
        <v>8920</v>
      </c>
      <c r="I44" s="3" t="n">
        <v>8080</v>
      </c>
      <c r="J44" s="3" t="n">
        <v>8330</v>
      </c>
      <c r="K44" s="3" t="inlineStr"/>
      <c r="L44" s="3">
        <f>ROUND(E44*J44, 0)</f>
        <v/>
      </c>
    </row>
    <row r="45">
      <c r="A45" s="2" t="n">
        <v>41</v>
      </c>
      <c r="B45" s="2" t="inlineStr">
        <is>
          <t>VL_041</t>
        </is>
      </c>
      <c r="C45" s="2" t="inlineStr">
        <is>
          <t>Dung dịch chuẩn gốc 1000ppm</t>
        </is>
      </c>
      <c r="D45" s="2" t="inlineStr">
        <is>
          <t>ml</t>
        </is>
      </c>
      <c r="E45" s="2" t="n">
        <v>120.96</v>
      </c>
      <c r="F45" s="2" t="n">
        <v>8670</v>
      </c>
      <c r="G45" s="2" t="n">
        <v>8330</v>
      </c>
      <c r="H45" s="2" t="n">
        <v>8920</v>
      </c>
      <c r="I45" s="2" t="n">
        <v>8080</v>
      </c>
      <c r="J45" s="2" t="n">
        <v>8330</v>
      </c>
      <c r="K45" s="2" t="inlineStr"/>
      <c r="L45" s="2">
        <f>ROUND(E45*J45, 0)</f>
        <v/>
      </c>
    </row>
    <row r="46">
      <c r="A46" s="3" t="n">
        <v>42</v>
      </c>
      <c r="B46" s="3" t="inlineStr">
        <is>
          <t>VL_042</t>
        </is>
      </c>
      <c r="C46" s="3" t="inlineStr">
        <is>
          <t>Dung dịch chuẩn pH ở giá trị pH = 4 và pH = 10</t>
        </is>
      </c>
      <c r="D46" s="3" t="inlineStr">
        <is>
          <t>ml</t>
        </is>
      </c>
      <c r="E46" s="3" t="n">
        <v>417.312</v>
      </c>
      <c r="F46" s="3" t="n">
        <v>8670</v>
      </c>
      <c r="G46" s="3" t="n">
        <v>8330</v>
      </c>
      <c r="H46" s="3" t="n">
        <v>8920</v>
      </c>
      <c r="I46" s="3" t="n">
        <v>8080</v>
      </c>
      <c r="J46" s="3" t="n">
        <v>1920</v>
      </c>
      <c r="K46" s="3" t="inlineStr"/>
      <c r="L46" s="3">
        <f>ROUND(E46*J46, 0)</f>
        <v/>
      </c>
    </row>
    <row r="47">
      <c r="A47" s="2" t="n">
        <v>43</v>
      </c>
      <c r="B47" s="2" t="inlineStr">
        <is>
          <t>VL_043</t>
        </is>
      </c>
      <c r="C47" s="2" t="inlineStr">
        <is>
          <t>Dung dịch chuẩn pH ở pH = 4, pH = 7, pH = 10</t>
        </is>
      </c>
      <c r="D47" s="2" t="inlineStr">
        <is>
          <t>ml</t>
        </is>
      </c>
      <c r="E47" s="2" t="n">
        <v>2008.8</v>
      </c>
      <c r="F47" s="2" t="n">
        <v>8670</v>
      </c>
      <c r="G47" s="2" t="n">
        <v>8330</v>
      </c>
      <c r="H47" s="2" t="n">
        <v>8920</v>
      </c>
      <c r="I47" s="2" t="n">
        <v>8080</v>
      </c>
      <c r="J47" s="2" t="n">
        <v>1707</v>
      </c>
      <c r="K47" s="2" t="inlineStr"/>
      <c r="L47" s="2">
        <f>ROUND(E47*J47, 0)</f>
        <v/>
      </c>
    </row>
    <row r="48">
      <c r="A48" s="3" t="n">
        <v>44</v>
      </c>
      <c r="B48" s="3" t="inlineStr">
        <is>
          <t>VL_044</t>
        </is>
      </c>
      <c r="C48" s="3" t="inlineStr">
        <is>
          <t>Dung dịch chuẩn pH</t>
        </is>
      </c>
      <c r="D48" s="3" t="inlineStr">
        <is>
          <t>hộp</t>
        </is>
      </c>
      <c r="E48" s="3" t="n">
        <v>1.3824</v>
      </c>
      <c r="F48" s="3" t="n">
        <v>459000</v>
      </c>
      <c r="G48" s="3" t="n">
        <v>441000</v>
      </c>
      <c r="H48" s="3" t="n">
        <v>472500</v>
      </c>
      <c r="I48" s="3" t="n">
        <v>427500</v>
      </c>
      <c r="J48" s="3" t="n">
        <v>853333</v>
      </c>
      <c r="K48" s="3" t="inlineStr"/>
      <c r="L48" s="3">
        <f>ROUND(E48*J48, 0)</f>
        <v/>
      </c>
    </row>
    <row r="49">
      <c r="A49" s="2" t="n">
        <v>45</v>
      </c>
      <c r="B49" s="2" t="inlineStr">
        <is>
          <t>VL_045</t>
        </is>
      </c>
      <c r="C49" s="2" t="inlineStr">
        <is>
          <t>Dung dịch làm sạch điện cực</t>
        </is>
      </c>
      <c r="D49" s="2" t="inlineStr">
        <is>
          <t>ml</t>
        </is>
      </c>
      <c r="E49" s="2" t="n">
        <v>205.2</v>
      </c>
      <c r="F49" s="2" t="n">
        <v>286</v>
      </c>
      <c r="G49" s="2" t="n">
        <v>274</v>
      </c>
      <c r="H49" s="2" t="n">
        <v>294</v>
      </c>
      <c r="I49" s="2" t="n">
        <v>266</v>
      </c>
      <c r="J49" s="2" t="n">
        <v>390</v>
      </c>
      <c r="K49" s="2" t="inlineStr"/>
      <c r="L49" s="2">
        <f>ROUND(E49*J49, 0)</f>
        <v/>
      </c>
    </row>
    <row r="50">
      <c r="A50" s="3" t="n">
        <v>46</v>
      </c>
      <c r="B50" s="3" t="inlineStr">
        <is>
          <t>VL_046</t>
        </is>
      </c>
      <c r="C50" s="3" t="inlineStr">
        <is>
          <t>Dung dịch điện cực DO</t>
        </is>
      </c>
      <c r="D50" s="3" t="inlineStr">
        <is>
          <t>ml</t>
        </is>
      </c>
      <c r="E50" s="3" t="n">
        <v>205.2</v>
      </c>
      <c r="F50" s="3" t="n">
        <v>286</v>
      </c>
      <c r="G50" s="3" t="n">
        <v>274</v>
      </c>
      <c r="H50" s="3" t="n">
        <v>294</v>
      </c>
      <c r="I50" s="3" t="n">
        <v>266</v>
      </c>
      <c r="J50" s="3" t="n">
        <v>1200</v>
      </c>
      <c r="K50" s="3" t="inlineStr"/>
      <c r="L50" s="3">
        <f>ROUND(E50*J50, 0)</f>
        <v/>
      </c>
    </row>
    <row r="51">
      <c r="A51" s="2" t="n">
        <v>47</v>
      </c>
      <c r="B51" s="2" t="inlineStr">
        <is>
          <t>VL_047</t>
        </is>
      </c>
      <c r="C51" s="2" t="inlineStr">
        <is>
          <t>Dung môi</t>
        </is>
      </c>
      <c r="D51" s="2" t="inlineStr">
        <is>
          <t>ml</t>
        </is>
      </c>
      <c r="E51" s="2" t="n">
        <v>4536</v>
      </c>
      <c r="F51" s="2" t="n">
        <v>245</v>
      </c>
      <c r="G51" s="2" t="n">
        <v>235</v>
      </c>
      <c r="H51" s="2" t="n">
        <v>252</v>
      </c>
      <c r="I51" s="2" t="n">
        <v>228</v>
      </c>
      <c r="J51" s="2" t="n">
        <v>235</v>
      </c>
      <c r="K51" s="2" t="inlineStr"/>
      <c r="L51" s="2">
        <f>ROUND(E51*J51, 0)</f>
        <v/>
      </c>
    </row>
    <row r="52">
      <c r="A52" s="3" t="n">
        <v>48</v>
      </c>
      <c r="B52" s="3" t="inlineStr">
        <is>
          <t>VL_048</t>
        </is>
      </c>
      <c r="C52" s="3" t="inlineStr">
        <is>
          <t>EDTA</t>
        </is>
      </c>
      <c r="D52" s="3" t="inlineStr">
        <is>
          <t>gam</t>
        </is>
      </c>
      <c r="E52" s="3" t="n">
        <v>0.2592</v>
      </c>
      <c r="F52" s="3" t="n">
        <v>1220</v>
      </c>
      <c r="G52" s="3" t="n">
        <v>1180</v>
      </c>
      <c r="H52" s="3" t="n">
        <v>1260</v>
      </c>
      <c r="I52" s="3" t="n">
        <v>1140</v>
      </c>
      <c r="J52" s="3" t="n">
        <v>12700</v>
      </c>
      <c r="K52" s="3" t="inlineStr"/>
      <c r="L52" s="3">
        <f>ROUND(E52*J52, 0)</f>
        <v/>
      </c>
    </row>
    <row r="53">
      <c r="A53" s="2" t="n">
        <v>49</v>
      </c>
      <c r="B53" s="2" t="inlineStr">
        <is>
          <t>VL_049</t>
        </is>
      </c>
      <c r="C53" s="2" t="inlineStr">
        <is>
          <t>EDTA</t>
        </is>
      </c>
      <c r="D53" s="2" t="inlineStr">
        <is>
          <t>ml</t>
        </is>
      </c>
      <c r="E53" s="2" t="n">
        <v>0.648</v>
      </c>
      <c r="F53" s="2" t="n">
        <v>286</v>
      </c>
      <c r="G53" s="2" t="n">
        <v>274</v>
      </c>
      <c r="H53" s="2" t="n">
        <v>294</v>
      </c>
      <c r="I53" s="2" t="n">
        <v>266</v>
      </c>
      <c r="J53" s="2" t="n">
        <v>1270</v>
      </c>
      <c r="K53" s="2" t="inlineStr"/>
      <c r="L53" s="2">
        <f>ROUND(E53*J53, 0)</f>
        <v/>
      </c>
    </row>
    <row r="54">
      <c r="A54" s="3" t="n">
        <v>50</v>
      </c>
      <c r="B54" s="3" t="inlineStr">
        <is>
          <t>VL_050</t>
        </is>
      </c>
      <c r="C54" s="3" t="inlineStr">
        <is>
          <t>FeCl3, 6H2O</t>
        </is>
      </c>
      <c r="D54" s="3" t="inlineStr">
        <is>
          <t>gam</t>
        </is>
      </c>
      <c r="E54" s="3" t="n">
        <v>1.5552</v>
      </c>
      <c r="F54" s="3" t="n">
        <v>1220</v>
      </c>
      <c r="G54" s="3" t="n">
        <v>1180</v>
      </c>
      <c r="H54" s="3" t="n">
        <v>1260</v>
      </c>
      <c r="I54" s="3" t="n">
        <v>1140</v>
      </c>
      <c r="J54" s="3" t="n">
        <v>6</v>
      </c>
      <c r="K54" s="3" t="inlineStr"/>
      <c r="L54" s="3">
        <f>ROUND(E54*J54, 0)</f>
        <v/>
      </c>
    </row>
    <row r="55">
      <c r="A55" s="2" t="n">
        <v>51</v>
      </c>
      <c r="B55" s="2" t="inlineStr">
        <is>
          <t>VL_051</t>
        </is>
      </c>
      <c r="C55" s="2" t="inlineStr">
        <is>
          <t>FeCl3</t>
        </is>
      </c>
      <c r="D55" s="2" t="inlineStr">
        <is>
          <t>gam</t>
        </is>
      </c>
      <c r="E55" s="2" t="n">
        <v>0.311</v>
      </c>
      <c r="F55" s="2" t="n">
        <v>1220</v>
      </c>
      <c r="G55" s="2" t="n">
        <v>1180</v>
      </c>
      <c r="H55" s="2" t="n">
        <v>1260</v>
      </c>
      <c r="I55" s="2" t="n">
        <v>1140</v>
      </c>
      <c r="J55" s="2" t="n">
        <v>6</v>
      </c>
      <c r="K55" s="2" t="inlineStr"/>
      <c r="L55" s="2">
        <f>ROUND(E55*J55, 0)</f>
        <v/>
      </c>
    </row>
    <row r="56">
      <c r="A56" s="3" t="n">
        <v>52</v>
      </c>
      <c r="B56" s="3" t="inlineStr">
        <is>
          <t>VL_052</t>
        </is>
      </c>
      <c r="C56" s="3" t="inlineStr">
        <is>
          <t>FeSO4.7H2O</t>
        </is>
      </c>
      <c r="D56" s="3" t="inlineStr">
        <is>
          <t>gam</t>
        </is>
      </c>
      <c r="E56" s="3" t="n">
        <v>4.32</v>
      </c>
      <c r="F56" s="3" t="n">
        <v>1220</v>
      </c>
      <c r="G56" s="3" t="n">
        <v>1180</v>
      </c>
      <c r="H56" s="3" t="n">
        <v>1260</v>
      </c>
      <c r="I56" s="3" t="n">
        <v>1140</v>
      </c>
      <c r="J56" s="3" t="n">
        <v>1180</v>
      </c>
      <c r="K56" s="3" t="inlineStr"/>
      <c r="L56" s="3">
        <f>ROUND(E56*J56, 0)</f>
        <v/>
      </c>
    </row>
    <row r="57">
      <c r="A57" s="2" t="n">
        <v>53</v>
      </c>
      <c r="B57" s="2" t="inlineStr">
        <is>
          <t>VL_053</t>
        </is>
      </c>
      <c r="C57" s="2" t="inlineStr">
        <is>
          <t>Formaldehyt</t>
        </is>
      </c>
      <c r="D57" s="2" t="inlineStr">
        <is>
          <t>ml</t>
        </is>
      </c>
      <c r="E57" s="2" t="n">
        <v>6.048</v>
      </c>
      <c r="F57" s="2" t="n">
        <v>286</v>
      </c>
      <c r="G57" s="2" t="n">
        <v>274</v>
      </c>
      <c r="H57" s="2" t="n">
        <v>294</v>
      </c>
      <c r="I57" s="2" t="n">
        <v>266</v>
      </c>
      <c r="J57" s="2" t="n">
        <v>274</v>
      </c>
      <c r="K57" s="2" t="inlineStr"/>
      <c r="L57" s="2">
        <f>ROUND(E57*J57, 0)</f>
        <v/>
      </c>
    </row>
    <row r="58">
      <c r="A58" s="3" t="n">
        <v>54</v>
      </c>
      <c r="B58" s="3" t="inlineStr">
        <is>
          <t>VL_054</t>
        </is>
      </c>
      <c r="C58" s="3" t="inlineStr">
        <is>
          <t>Gim bấm</t>
        </is>
      </c>
      <c r="D58" s="3" t="inlineStr">
        <is>
          <t>Hộp</t>
        </is>
      </c>
      <c r="E58" s="3" t="n">
        <v>1.728</v>
      </c>
      <c r="F58" s="3" t="n">
        <v>15300</v>
      </c>
      <c r="G58" s="3" t="n">
        <v>14700</v>
      </c>
      <c r="H58" s="3" t="n">
        <v>15750</v>
      </c>
      <c r="I58" s="3" t="n">
        <v>14250</v>
      </c>
      <c r="J58" s="3" t="n">
        <v>14700</v>
      </c>
      <c r="K58" s="3" t="inlineStr"/>
      <c r="L58" s="3">
        <f>ROUND(E58*J58, 0)</f>
        <v/>
      </c>
    </row>
    <row r="59">
      <c r="A59" s="2" t="n">
        <v>55</v>
      </c>
      <c r="B59" s="2" t="inlineStr">
        <is>
          <t>VL_055</t>
        </is>
      </c>
      <c r="C59" s="2" t="inlineStr">
        <is>
          <t>Gim bấm</t>
        </is>
      </c>
      <c r="D59" s="2" t="inlineStr">
        <is>
          <t>cái</t>
        </is>
      </c>
      <c r="E59" s="2" t="n">
        <v>0.3888</v>
      </c>
      <c r="F59" s="2" t="n">
        <v>15300</v>
      </c>
      <c r="G59" s="2" t="n">
        <v>14700</v>
      </c>
      <c r="H59" s="2" t="n">
        <v>15750</v>
      </c>
      <c r="I59" s="2" t="n">
        <v>14250</v>
      </c>
      <c r="J59" s="2" t="n">
        <v>14700</v>
      </c>
      <c r="K59" s="2" t="inlineStr"/>
      <c r="L59" s="2">
        <f>ROUND(E59*J59, 0)</f>
        <v/>
      </c>
    </row>
    <row r="60">
      <c r="A60" s="3" t="n">
        <v>56</v>
      </c>
      <c r="B60" s="3" t="inlineStr">
        <is>
          <t>VL_056</t>
        </is>
      </c>
      <c r="C60" s="3" t="inlineStr">
        <is>
          <t>Gim bấm</t>
        </is>
      </c>
      <c r="D60" s="3" t="inlineStr">
        <is>
          <t>hộp</t>
        </is>
      </c>
      <c r="E60" s="3" t="n">
        <v>4.1904</v>
      </c>
      <c r="F60" s="3" t="n">
        <v>15300</v>
      </c>
      <c r="G60" s="3" t="n">
        <v>14700</v>
      </c>
      <c r="H60" s="3" t="n">
        <v>15750</v>
      </c>
      <c r="I60" s="3" t="n">
        <v>14250</v>
      </c>
      <c r="J60" s="3" t="n">
        <v>14700</v>
      </c>
      <c r="K60" s="3" t="inlineStr"/>
      <c r="L60" s="3">
        <f>ROUND(E60*J60, 0)</f>
        <v/>
      </c>
    </row>
    <row r="61">
      <c r="A61" s="2" t="n">
        <v>57</v>
      </c>
      <c r="B61" s="2" t="inlineStr">
        <is>
          <t>VL_057</t>
        </is>
      </c>
      <c r="C61" s="2" t="inlineStr">
        <is>
          <t>Gim kẹp giấy</t>
        </is>
      </c>
      <c r="D61" s="2" t="inlineStr">
        <is>
          <t>Hộp</t>
        </is>
      </c>
      <c r="E61" s="2" t="n">
        <v>1.728</v>
      </c>
      <c r="F61" s="2" t="n">
        <v>15300</v>
      </c>
      <c r="G61" s="2" t="n">
        <v>14700</v>
      </c>
      <c r="H61" s="2" t="n">
        <v>15750</v>
      </c>
      <c r="I61" s="2" t="n">
        <v>14250</v>
      </c>
      <c r="J61" s="2" t="n">
        <v>14700</v>
      </c>
      <c r="K61" s="2" t="inlineStr"/>
      <c r="L61" s="2">
        <f>ROUND(E61*J61, 0)</f>
        <v/>
      </c>
    </row>
    <row r="62">
      <c r="A62" s="3" t="n">
        <v>58</v>
      </c>
      <c r="B62" s="3" t="inlineStr">
        <is>
          <t>VL_058</t>
        </is>
      </c>
      <c r="C62" s="3" t="inlineStr">
        <is>
          <t>Gim kẹp giấy</t>
        </is>
      </c>
      <c r="D62" s="3" t="inlineStr">
        <is>
          <t>cái</t>
        </is>
      </c>
      <c r="E62" s="3" t="n">
        <v>0.3888</v>
      </c>
      <c r="F62" s="3" t="n">
        <v>15300</v>
      </c>
      <c r="G62" s="3" t="n">
        <v>14700</v>
      </c>
      <c r="H62" s="3" t="n">
        <v>15750</v>
      </c>
      <c r="I62" s="3" t="n">
        <v>14250</v>
      </c>
      <c r="J62" s="3" t="n">
        <v>14700</v>
      </c>
      <c r="K62" s="3" t="inlineStr"/>
      <c r="L62" s="3">
        <f>ROUND(E62*J62, 0)</f>
        <v/>
      </c>
    </row>
    <row r="63">
      <c r="A63" s="2" t="n">
        <v>59</v>
      </c>
      <c r="B63" s="2" t="inlineStr">
        <is>
          <t>VL_059</t>
        </is>
      </c>
      <c r="C63" s="2" t="inlineStr">
        <is>
          <t>Gim kẹp giấy</t>
        </is>
      </c>
      <c r="D63" s="2" t="inlineStr">
        <is>
          <t>hộp</t>
        </is>
      </c>
      <c r="E63" s="2" t="n">
        <v>3.4128</v>
      </c>
      <c r="F63" s="2" t="n">
        <v>15300</v>
      </c>
      <c r="G63" s="2" t="n">
        <v>14700</v>
      </c>
      <c r="H63" s="2" t="n">
        <v>15750</v>
      </c>
      <c r="I63" s="2" t="n">
        <v>14250</v>
      </c>
      <c r="J63" s="2" t="n">
        <v>14700</v>
      </c>
      <c r="K63" s="2" t="inlineStr"/>
      <c r="L63" s="2">
        <f>ROUND(E63*J63, 0)</f>
        <v/>
      </c>
    </row>
    <row r="64">
      <c r="A64" s="3" t="n">
        <v>60</v>
      </c>
      <c r="B64" s="3" t="inlineStr">
        <is>
          <t>VL_060</t>
        </is>
      </c>
      <c r="C64" s="3" t="inlineStr">
        <is>
          <t>Giấy A4</t>
        </is>
      </c>
      <c r="D64" s="3" t="inlineStr">
        <is>
          <t>gam</t>
        </is>
      </c>
      <c r="E64" s="3" t="n">
        <v>1.728</v>
      </c>
      <c r="F64" s="3" t="n">
        <v>1220</v>
      </c>
      <c r="G64" s="3" t="n">
        <v>1180</v>
      </c>
      <c r="H64" s="3" t="n">
        <v>1260</v>
      </c>
      <c r="I64" s="3" t="n">
        <v>1140</v>
      </c>
      <c r="J64" s="3" t="n">
        <v>1180</v>
      </c>
      <c r="K64" s="3" t="inlineStr"/>
      <c r="L64" s="3">
        <f>ROUND(E64*J64, 0)</f>
        <v/>
      </c>
    </row>
    <row r="65">
      <c r="A65" s="2" t="n">
        <v>61</v>
      </c>
      <c r="B65" s="2" t="inlineStr">
        <is>
          <t>VL_061</t>
        </is>
      </c>
      <c r="C65" s="2" t="inlineStr">
        <is>
          <t>Giấy lau</t>
        </is>
      </c>
      <c r="D65" s="2" t="inlineStr">
        <is>
          <t>Hộp</t>
        </is>
      </c>
      <c r="E65" s="2" t="n">
        <v>1.08</v>
      </c>
      <c r="F65" s="2" t="n">
        <v>15300</v>
      </c>
      <c r="G65" s="2" t="n">
        <v>14700</v>
      </c>
      <c r="H65" s="2" t="n">
        <v>15750</v>
      </c>
      <c r="I65" s="2" t="n">
        <v>14250</v>
      </c>
      <c r="J65" s="2" t="n">
        <v>14700</v>
      </c>
      <c r="K65" s="2" t="inlineStr"/>
      <c r="L65" s="2">
        <f>ROUND(E65*J65, 0)</f>
        <v/>
      </c>
    </row>
    <row r="66">
      <c r="A66" s="3" t="n">
        <v>62</v>
      </c>
      <c r="B66" s="3" t="inlineStr">
        <is>
          <t>VL_062</t>
        </is>
      </c>
      <c r="C66" s="3" t="inlineStr">
        <is>
          <t>Giấy lau</t>
        </is>
      </c>
      <c r="D66" s="3" t="inlineStr">
        <is>
          <t>cái</t>
        </is>
      </c>
      <c r="E66" s="3" t="n">
        <v>0.54</v>
      </c>
      <c r="F66" s="3" t="n">
        <v>15300</v>
      </c>
      <c r="G66" s="3" t="n">
        <v>14700</v>
      </c>
      <c r="H66" s="3" t="n">
        <v>15750</v>
      </c>
      <c r="I66" s="3" t="n">
        <v>14250</v>
      </c>
      <c r="J66" s="3" t="n">
        <v>14700</v>
      </c>
      <c r="K66" s="3" t="inlineStr"/>
      <c r="L66" s="3">
        <f>ROUND(E66*J66, 0)</f>
        <v/>
      </c>
    </row>
    <row r="67">
      <c r="A67" s="2" t="n">
        <v>63</v>
      </c>
      <c r="B67" s="2" t="inlineStr">
        <is>
          <t>VL_063</t>
        </is>
      </c>
      <c r="C67" s="2" t="inlineStr">
        <is>
          <t>Giấy lau</t>
        </is>
      </c>
      <c r="D67" s="2" t="inlineStr">
        <is>
          <t>hộp</t>
        </is>
      </c>
      <c r="E67" s="2" t="n">
        <v>29.8944</v>
      </c>
      <c r="F67" s="2" t="n">
        <v>15300</v>
      </c>
      <c r="G67" s="2" t="n">
        <v>14700</v>
      </c>
      <c r="H67" s="2" t="n">
        <v>15750</v>
      </c>
      <c r="I67" s="2" t="n">
        <v>14250</v>
      </c>
      <c r="J67" s="2" t="n">
        <v>14700</v>
      </c>
      <c r="K67" s="2" t="inlineStr"/>
      <c r="L67" s="2">
        <f>ROUND(E67*J67, 0)</f>
        <v/>
      </c>
    </row>
    <row r="68">
      <c r="A68" s="3" t="n">
        <v>64</v>
      </c>
      <c r="B68" s="3" t="inlineStr">
        <is>
          <t>VL_064</t>
        </is>
      </c>
      <c r="C68" s="3" t="inlineStr">
        <is>
          <t>Giấy lọc bụi</t>
        </is>
      </c>
      <c r="D68" s="3" t="inlineStr">
        <is>
          <t>tờ</t>
        </is>
      </c>
      <c r="E68" s="3" t="n">
        <v>12.96</v>
      </c>
      <c r="F68" s="3" t="n">
        <v>8670</v>
      </c>
      <c r="G68" s="3" t="n">
        <v>8330</v>
      </c>
      <c r="H68" s="3" t="n">
        <v>8920</v>
      </c>
      <c r="I68" s="3" t="n">
        <v>8080</v>
      </c>
      <c r="J68" s="3" t="n">
        <v>8330</v>
      </c>
      <c r="K68" s="3" t="inlineStr"/>
      <c r="L68" s="3">
        <f>ROUND(E68*J68, 0)</f>
        <v/>
      </c>
    </row>
    <row r="69">
      <c r="A69" s="2" t="n">
        <v>65</v>
      </c>
      <c r="B69" s="2" t="inlineStr">
        <is>
          <t>VL_065</t>
        </is>
      </c>
      <c r="C69" s="2" t="inlineStr">
        <is>
          <t>Giấy lọc chuyên dụng</t>
        </is>
      </c>
      <c r="D69" s="2" t="inlineStr">
        <is>
          <t>Cái</t>
        </is>
      </c>
      <c r="E69" s="2" t="n">
        <v>12.96</v>
      </c>
      <c r="F69" s="2" t="n">
        <v>8670</v>
      </c>
      <c r="G69" s="2" t="n">
        <v>8330</v>
      </c>
      <c r="H69" s="2" t="n">
        <v>8920</v>
      </c>
      <c r="I69" s="2" t="n">
        <v>8080</v>
      </c>
      <c r="J69" s="2" t="n">
        <v>8330</v>
      </c>
      <c r="K69" s="2" t="inlineStr"/>
      <c r="L69" s="2">
        <f>ROUND(E69*J69, 0)</f>
        <v/>
      </c>
    </row>
    <row r="70">
      <c r="A70" s="3" t="n">
        <v>66</v>
      </c>
      <c r="B70" s="3" t="inlineStr">
        <is>
          <t>VL_066</t>
        </is>
      </c>
      <c r="C70" s="3" t="inlineStr">
        <is>
          <t>Giấy lọc sợi thủy tinh</t>
        </is>
      </c>
      <c r="D70" s="3" t="inlineStr">
        <is>
          <t>hộp</t>
        </is>
      </c>
      <c r="E70" s="3" t="n">
        <v>0.4752</v>
      </c>
      <c r="F70" s="3" t="n">
        <v>117300</v>
      </c>
      <c r="G70" s="3" t="n">
        <v>112700</v>
      </c>
      <c r="H70" s="3" t="n">
        <v>120750</v>
      </c>
      <c r="I70" s="3" t="n">
        <v>109250</v>
      </c>
      <c r="J70" s="3" t="n">
        <v>112700</v>
      </c>
      <c r="K70" s="3" t="inlineStr"/>
      <c r="L70" s="3">
        <f>ROUND(E70*J70, 0)</f>
        <v/>
      </c>
    </row>
    <row r="71">
      <c r="A71" s="2" t="n">
        <v>67</v>
      </c>
      <c r="B71" s="2" t="inlineStr">
        <is>
          <t>VL_067</t>
        </is>
      </c>
      <c r="C71" s="2" t="inlineStr">
        <is>
          <t>Giấy lọc</t>
        </is>
      </c>
      <c r="D71" s="2" t="inlineStr">
        <is>
          <t>hộp</t>
        </is>
      </c>
      <c r="E71" s="2" t="n">
        <v>23.1768</v>
      </c>
      <c r="F71" s="2" t="n">
        <v>428400</v>
      </c>
      <c r="G71" s="2" t="n">
        <v>411600</v>
      </c>
      <c r="H71" s="2" t="n">
        <v>441000</v>
      </c>
      <c r="I71" s="2" t="n">
        <v>399000</v>
      </c>
      <c r="J71" s="2" t="n">
        <v>411600</v>
      </c>
      <c r="K71" s="2" t="inlineStr"/>
      <c r="L71" s="2">
        <f>ROUND(E71*J71, 0)</f>
        <v/>
      </c>
    </row>
    <row r="72">
      <c r="A72" s="3" t="n">
        <v>68</v>
      </c>
      <c r="B72" s="3" t="inlineStr">
        <is>
          <t>VL_068</t>
        </is>
      </c>
      <c r="C72" s="3" t="inlineStr">
        <is>
          <t>Giấy pH</t>
        </is>
      </c>
      <c r="D72" s="3" t="inlineStr">
        <is>
          <t>hộp</t>
        </is>
      </c>
      <c r="E72" s="3" t="n">
        <v>0.2592</v>
      </c>
      <c r="F72" s="3" t="n">
        <v>15300</v>
      </c>
      <c r="G72" s="3" t="n">
        <v>14700</v>
      </c>
      <c r="H72" s="3" t="n">
        <v>15750</v>
      </c>
      <c r="I72" s="3" t="n">
        <v>14250</v>
      </c>
      <c r="J72" s="3" t="n">
        <v>14700</v>
      </c>
      <c r="K72" s="3" t="inlineStr"/>
      <c r="L72" s="3">
        <f>ROUND(E72*J72, 0)</f>
        <v/>
      </c>
    </row>
    <row r="73">
      <c r="A73" s="2" t="n">
        <v>69</v>
      </c>
      <c r="B73" s="2" t="inlineStr">
        <is>
          <t>VL_069</t>
        </is>
      </c>
      <c r="C73" s="2" t="inlineStr">
        <is>
          <t>Giấy thử pH</t>
        </is>
      </c>
      <c r="D73" s="2" t="inlineStr">
        <is>
          <t>hộp</t>
        </is>
      </c>
      <c r="E73" s="2" t="n">
        <v>7.2576</v>
      </c>
      <c r="F73" s="2" t="n">
        <v>15300</v>
      </c>
      <c r="G73" s="2" t="n">
        <v>14700</v>
      </c>
      <c r="H73" s="2" t="n">
        <v>15750</v>
      </c>
      <c r="I73" s="2" t="n">
        <v>14250</v>
      </c>
      <c r="J73" s="2" t="n">
        <v>14700</v>
      </c>
      <c r="K73" s="2" t="inlineStr"/>
      <c r="L73" s="2">
        <f>ROUND(E73*J73, 0)</f>
        <v/>
      </c>
    </row>
    <row r="74">
      <c r="A74" s="3" t="n">
        <v>70</v>
      </c>
      <c r="B74" s="3" t="inlineStr">
        <is>
          <t>VL_070</t>
        </is>
      </c>
      <c r="C74" s="3" t="inlineStr">
        <is>
          <t>Gluco</t>
        </is>
      </c>
      <c r="D74" s="3" t="inlineStr">
        <is>
          <t>gam</t>
        </is>
      </c>
      <c r="E74" s="3" t="n">
        <v>1.5552</v>
      </c>
      <c r="F74" s="3" t="n">
        <v>1220</v>
      </c>
      <c r="G74" s="3" t="n">
        <v>1180</v>
      </c>
      <c r="H74" s="3" t="n">
        <v>1260</v>
      </c>
      <c r="I74" s="3" t="n">
        <v>1140</v>
      </c>
      <c r="J74" s="3" t="n">
        <v>1180</v>
      </c>
      <c r="K74" s="3" t="inlineStr"/>
      <c r="L74" s="3">
        <f>ROUND(E74*J74, 0)</f>
        <v/>
      </c>
    </row>
    <row r="75">
      <c r="A75" s="2" t="n">
        <v>71</v>
      </c>
      <c r="B75" s="2" t="inlineStr">
        <is>
          <t>VL_071</t>
        </is>
      </c>
      <c r="C75" s="2" t="inlineStr">
        <is>
          <t>Glutamic</t>
        </is>
      </c>
      <c r="D75" s="2" t="inlineStr">
        <is>
          <t>gam</t>
        </is>
      </c>
      <c r="E75" s="2" t="n">
        <v>17.1072</v>
      </c>
      <c r="F75" s="2" t="n">
        <v>1220</v>
      </c>
      <c r="G75" s="2" t="n">
        <v>1180</v>
      </c>
      <c r="H75" s="2" t="n">
        <v>1260</v>
      </c>
      <c r="I75" s="2" t="n">
        <v>1140</v>
      </c>
      <c r="J75" s="2" t="n">
        <v>1180</v>
      </c>
      <c r="K75" s="2" t="inlineStr"/>
      <c r="L75" s="2">
        <f>ROUND(E75*J75, 0)</f>
        <v/>
      </c>
    </row>
    <row r="76">
      <c r="A76" s="3" t="n">
        <v>72</v>
      </c>
      <c r="B76" s="3" t="inlineStr">
        <is>
          <t>VL_072</t>
        </is>
      </c>
      <c r="C76" s="3" t="inlineStr">
        <is>
          <t>Găng tay chịu nhiệt</t>
        </is>
      </c>
      <c r="D76" s="3" t="inlineStr">
        <is>
          <t>đôi</t>
        </is>
      </c>
      <c r="E76" s="3" t="n">
        <v>0.3888</v>
      </c>
      <c r="F76" s="3" t="n">
        <v>2550</v>
      </c>
      <c r="G76" s="3" t="n">
        <v>2450</v>
      </c>
      <c r="H76" s="3" t="n">
        <v>2620</v>
      </c>
      <c r="I76" s="3" t="n">
        <v>2380</v>
      </c>
      <c r="J76" s="3" t="n">
        <v>2450</v>
      </c>
      <c r="K76" s="3" t="inlineStr"/>
      <c r="L76" s="3">
        <f>ROUND(E76*J76, 0)</f>
        <v/>
      </c>
    </row>
    <row r="77">
      <c r="A77" s="2" t="n">
        <v>73</v>
      </c>
      <c r="B77" s="2" t="inlineStr">
        <is>
          <t>VL_073</t>
        </is>
      </c>
      <c r="C77" s="2" t="inlineStr">
        <is>
          <t>H2O2</t>
        </is>
      </c>
      <c r="D77" s="2" t="inlineStr">
        <is>
          <t>gam</t>
        </is>
      </c>
      <c r="E77" s="2" t="n">
        <v>1.0368</v>
      </c>
      <c r="F77" s="2" t="n">
        <v>1220</v>
      </c>
      <c r="G77" s="2" t="n">
        <v>1180</v>
      </c>
      <c r="H77" s="2" t="n">
        <v>1260</v>
      </c>
      <c r="I77" s="2" t="n">
        <v>1140</v>
      </c>
      <c r="J77" s="2" t="n">
        <v>1180</v>
      </c>
      <c r="K77" s="2" t="inlineStr"/>
      <c r="L77" s="2">
        <f>ROUND(E77*J77, 0)</f>
        <v/>
      </c>
    </row>
    <row r="78">
      <c r="A78" s="3" t="n">
        <v>74</v>
      </c>
      <c r="B78" s="3" t="inlineStr">
        <is>
          <t>VL_074</t>
        </is>
      </c>
      <c r="C78" s="3" t="inlineStr">
        <is>
          <t>H2O2</t>
        </is>
      </c>
      <c r="D78" s="3" t="inlineStr">
        <is>
          <t>ml</t>
        </is>
      </c>
      <c r="E78" s="3" t="n">
        <v>3758.4</v>
      </c>
      <c r="F78" s="3" t="n">
        <v>286</v>
      </c>
      <c r="G78" s="3" t="n">
        <v>274</v>
      </c>
      <c r="H78" s="3" t="n">
        <v>294</v>
      </c>
      <c r="I78" s="3" t="n">
        <v>266</v>
      </c>
      <c r="J78" s="3" t="n">
        <v>274</v>
      </c>
      <c r="K78" s="3" t="inlineStr"/>
      <c r="L78" s="3">
        <f>ROUND(E78*J78, 0)</f>
        <v/>
      </c>
    </row>
    <row r="79">
      <c r="A79" s="2" t="n">
        <v>75</v>
      </c>
      <c r="B79" s="2" t="inlineStr">
        <is>
          <t>VL_075</t>
        </is>
      </c>
      <c r="C79" s="2" t="inlineStr">
        <is>
          <t>H2SO4 đậm đặc</t>
        </is>
      </c>
      <c r="D79" s="2" t="inlineStr">
        <is>
          <t>ml</t>
        </is>
      </c>
      <c r="E79" s="2" t="n">
        <v>2633.904</v>
      </c>
      <c r="F79" s="2" t="n">
        <v>326</v>
      </c>
      <c r="G79" s="2" t="n">
        <v>314</v>
      </c>
      <c r="H79" s="2" t="n">
        <v>336</v>
      </c>
      <c r="I79" s="2" t="n">
        <v>304</v>
      </c>
      <c r="J79" s="2" t="n">
        <v>314</v>
      </c>
      <c r="K79" s="2" t="inlineStr"/>
      <c r="L79" s="2">
        <f>ROUND(E79*J79, 0)</f>
        <v/>
      </c>
    </row>
    <row r="80">
      <c r="A80" s="3" t="n">
        <v>76</v>
      </c>
      <c r="B80" s="3" t="inlineStr">
        <is>
          <t>VL_076</t>
        </is>
      </c>
      <c r="C80" s="3" t="inlineStr">
        <is>
          <t>H2SO4</t>
        </is>
      </c>
      <c r="D80" s="3" t="inlineStr">
        <is>
          <t>ml</t>
        </is>
      </c>
      <c r="E80" s="3" t="n">
        <v>345.6</v>
      </c>
      <c r="F80" s="3" t="n">
        <v>326</v>
      </c>
      <c r="G80" s="3" t="n">
        <v>314</v>
      </c>
      <c r="H80" s="3" t="n">
        <v>336</v>
      </c>
      <c r="I80" s="3" t="n">
        <v>304</v>
      </c>
      <c r="J80" s="3" t="n">
        <v>314</v>
      </c>
      <c r="K80" s="3" t="inlineStr"/>
      <c r="L80" s="3">
        <f>ROUND(E80*J80, 0)</f>
        <v/>
      </c>
    </row>
    <row r="81">
      <c r="A81" s="2" t="n">
        <v>77</v>
      </c>
      <c r="B81" s="2" t="inlineStr">
        <is>
          <t>VL_077</t>
        </is>
      </c>
      <c r="C81" s="2" t="inlineStr">
        <is>
          <t>H3BO3</t>
        </is>
      </c>
      <c r="D81" s="2" t="inlineStr">
        <is>
          <t>gam</t>
        </is>
      </c>
      <c r="E81" s="2" t="n">
        <v>5.184</v>
      </c>
      <c r="F81" s="2" t="n">
        <v>1220</v>
      </c>
      <c r="G81" s="2" t="n">
        <v>1180</v>
      </c>
      <c r="H81" s="2" t="n">
        <v>1260</v>
      </c>
      <c r="I81" s="2" t="n">
        <v>1140</v>
      </c>
      <c r="J81" s="2" t="n">
        <v>1180</v>
      </c>
      <c r="K81" s="2" t="inlineStr"/>
      <c r="L81" s="2">
        <f>ROUND(E81*J81, 0)</f>
        <v/>
      </c>
    </row>
    <row r="82">
      <c r="A82" s="3" t="n">
        <v>78</v>
      </c>
      <c r="B82" s="3" t="inlineStr">
        <is>
          <t>VL_078</t>
        </is>
      </c>
      <c r="C82" s="3" t="inlineStr">
        <is>
          <t>H3PO4</t>
        </is>
      </c>
      <c r="D82" s="3" t="inlineStr">
        <is>
          <t>gam</t>
        </is>
      </c>
      <c r="E82" s="3" t="n">
        <v>86.40000000000001</v>
      </c>
      <c r="F82" s="3" t="n">
        <v>1220</v>
      </c>
      <c r="G82" s="3" t="n">
        <v>1180</v>
      </c>
      <c r="H82" s="3" t="n">
        <v>1260</v>
      </c>
      <c r="I82" s="3" t="n">
        <v>1140</v>
      </c>
      <c r="J82" s="3" t="n">
        <v>1180</v>
      </c>
      <c r="K82" s="3" t="inlineStr"/>
      <c r="L82" s="3">
        <f>ROUND(E82*J82, 0)</f>
        <v/>
      </c>
    </row>
    <row r="83">
      <c r="A83" s="2" t="n">
        <v>79</v>
      </c>
      <c r="B83" s="2" t="inlineStr">
        <is>
          <t>VL_079</t>
        </is>
      </c>
      <c r="C83" s="2" t="inlineStr">
        <is>
          <t>H3PO4</t>
        </is>
      </c>
      <c r="D83" s="2" t="inlineStr">
        <is>
          <t>ml</t>
        </is>
      </c>
      <c r="E83" s="2" t="n">
        <v>125.28</v>
      </c>
      <c r="F83" s="2" t="n">
        <v>286</v>
      </c>
      <c r="G83" s="2" t="n">
        <v>274</v>
      </c>
      <c r="H83" s="2" t="n">
        <v>294</v>
      </c>
      <c r="I83" s="2" t="n">
        <v>266</v>
      </c>
      <c r="J83" s="2" t="n">
        <v>274</v>
      </c>
      <c r="K83" s="2" t="inlineStr"/>
      <c r="L83" s="2">
        <f>ROUND(E83*J83, 0)</f>
        <v/>
      </c>
    </row>
    <row r="84">
      <c r="A84" s="3" t="n">
        <v>80</v>
      </c>
      <c r="B84" s="3" t="inlineStr">
        <is>
          <t>VL_080</t>
        </is>
      </c>
      <c r="C84" s="3" t="inlineStr">
        <is>
          <t>HCl</t>
        </is>
      </c>
      <c r="D84" s="3" t="inlineStr">
        <is>
          <t>ml</t>
        </is>
      </c>
      <c r="E84" s="3" t="n">
        <v>1066.176</v>
      </c>
      <c r="F84" s="3" t="n">
        <v>326</v>
      </c>
      <c r="G84" s="3" t="n">
        <v>314</v>
      </c>
      <c r="H84" s="3" t="n">
        <v>336</v>
      </c>
      <c r="I84" s="3" t="n">
        <v>304</v>
      </c>
      <c r="J84" s="3" t="n">
        <v>600</v>
      </c>
      <c r="K84" s="3" t="inlineStr"/>
      <c r="L84" s="3">
        <f>ROUND(E84*J84, 0)</f>
        <v/>
      </c>
    </row>
    <row r="85">
      <c r="A85" s="2" t="n">
        <v>81</v>
      </c>
      <c r="B85" s="2" t="inlineStr">
        <is>
          <t>VL_081</t>
        </is>
      </c>
      <c r="C85" s="2" t="inlineStr">
        <is>
          <t>HNO3</t>
        </is>
      </c>
      <c r="D85" s="2" t="inlineStr">
        <is>
          <t>ml</t>
        </is>
      </c>
      <c r="E85" s="2" t="n">
        <v>3784.32</v>
      </c>
      <c r="F85" s="2" t="n">
        <v>326</v>
      </c>
      <c r="G85" s="2" t="n">
        <v>314</v>
      </c>
      <c r="H85" s="2" t="n">
        <v>336</v>
      </c>
      <c r="I85" s="2" t="n">
        <v>304</v>
      </c>
      <c r="J85" s="2" t="n">
        <v>314</v>
      </c>
      <c r="K85" s="2" t="inlineStr"/>
      <c r="L85" s="2">
        <f>ROUND(E85*J85, 0)</f>
        <v/>
      </c>
    </row>
    <row r="86">
      <c r="A86" s="3" t="n">
        <v>82</v>
      </c>
      <c r="B86" s="3" t="inlineStr">
        <is>
          <t>VL_082</t>
        </is>
      </c>
      <c r="C86" s="3" t="inlineStr">
        <is>
          <t>HgCl2</t>
        </is>
      </c>
      <c r="D86" s="3" t="inlineStr">
        <is>
          <t>gam</t>
        </is>
      </c>
      <c r="E86" s="3" t="n">
        <v>3.7152</v>
      </c>
      <c r="F86" s="3" t="n">
        <v>1220</v>
      </c>
      <c r="G86" s="3" t="n">
        <v>1180</v>
      </c>
      <c r="H86" s="3" t="n">
        <v>1260</v>
      </c>
      <c r="I86" s="3" t="n">
        <v>1140</v>
      </c>
      <c r="J86" s="3" t="n">
        <v>1180</v>
      </c>
      <c r="K86" s="3" t="inlineStr"/>
      <c r="L86" s="3">
        <f>ROUND(E86*J86, 0)</f>
        <v/>
      </c>
    </row>
    <row r="87">
      <c r="A87" s="2" t="n">
        <v>83</v>
      </c>
      <c r="B87" s="2" t="inlineStr">
        <is>
          <t>VL_083</t>
        </is>
      </c>
      <c r="C87" s="2" t="inlineStr">
        <is>
          <t>HgCl</t>
        </is>
      </c>
      <c r="D87" s="2" t="inlineStr">
        <is>
          <t>gam</t>
        </is>
      </c>
      <c r="E87" s="2" t="n">
        <v>18.792</v>
      </c>
      <c r="F87" s="2" t="n">
        <v>1220</v>
      </c>
      <c r="G87" s="2" t="n">
        <v>1180</v>
      </c>
      <c r="H87" s="2" t="n">
        <v>1260</v>
      </c>
      <c r="I87" s="2" t="n">
        <v>1140</v>
      </c>
      <c r="J87" s="2" t="n">
        <v>1180</v>
      </c>
      <c r="K87" s="2" t="inlineStr"/>
      <c r="L87" s="2">
        <f>ROUND(E87*J87, 0)</f>
        <v/>
      </c>
    </row>
    <row r="88">
      <c r="A88" s="3" t="n">
        <v>84</v>
      </c>
      <c r="B88" s="3" t="inlineStr">
        <is>
          <t>VL_084</t>
        </is>
      </c>
      <c r="C88" s="3" t="inlineStr">
        <is>
          <t>HgSO4</t>
        </is>
      </c>
      <c r="D88" s="3" t="inlineStr">
        <is>
          <t>gam</t>
        </is>
      </c>
      <c r="E88" s="3" t="n">
        <v>8.640000000000001</v>
      </c>
      <c r="F88" s="3" t="n">
        <v>1220</v>
      </c>
      <c r="G88" s="3" t="n">
        <v>1180</v>
      </c>
      <c r="H88" s="3" t="n">
        <v>1260</v>
      </c>
      <c r="I88" s="3" t="n">
        <v>1140</v>
      </c>
      <c r="J88" s="3" t="n">
        <v>1180</v>
      </c>
      <c r="K88" s="3" t="inlineStr"/>
      <c r="L88" s="3">
        <f>ROUND(E88*J88, 0)</f>
        <v/>
      </c>
    </row>
    <row r="89">
      <c r="A89" s="2" t="n">
        <v>85</v>
      </c>
      <c r="B89" s="2" t="inlineStr">
        <is>
          <t>VL_085</t>
        </is>
      </c>
      <c r="C89" s="2" t="inlineStr">
        <is>
          <t>Hóa chất bảo quản mẫu</t>
        </is>
      </c>
      <c r="D89" s="2" t="inlineStr">
        <is>
          <t>ml</t>
        </is>
      </c>
      <c r="E89" s="2" t="n">
        <v>2036.88</v>
      </c>
      <c r="F89" s="2" t="n">
        <v>286</v>
      </c>
      <c r="G89" s="2" t="n">
        <v>274</v>
      </c>
      <c r="H89" s="2" t="n">
        <v>294</v>
      </c>
      <c r="I89" s="2" t="n">
        <v>266</v>
      </c>
      <c r="J89" s="2" t="n">
        <v>274</v>
      </c>
      <c r="K89" s="2" t="inlineStr"/>
      <c r="L89" s="2">
        <f>ROUND(E89*J89, 0)</f>
        <v/>
      </c>
    </row>
    <row r="90">
      <c r="A90" s="3" t="n">
        <v>86</v>
      </c>
      <c r="B90" s="3" t="inlineStr">
        <is>
          <t>VL_086</t>
        </is>
      </c>
      <c r="C90" s="3" t="inlineStr">
        <is>
          <t>Hồ tinh bột</t>
        </is>
      </c>
      <c r="D90" s="3" t="inlineStr">
        <is>
          <t>gam</t>
        </is>
      </c>
      <c r="E90" s="3" t="n">
        <v>4.32</v>
      </c>
      <c r="F90" s="3" t="n">
        <v>1220</v>
      </c>
      <c r="G90" s="3" t="n">
        <v>1180</v>
      </c>
      <c r="H90" s="3" t="n">
        <v>1260</v>
      </c>
      <c r="I90" s="3" t="n">
        <v>1140</v>
      </c>
      <c r="J90" s="3" t="n">
        <v>1180</v>
      </c>
      <c r="K90" s="3" t="inlineStr"/>
      <c r="L90" s="3">
        <f>ROUND(E90*J90, 0)</f>
        <v/>
      </c>
    </row>
    <row r="91">
      <c r="A91" s="2" t="n">
        <v>87</v>
      </c>
      <c r="B91" s="2" t="inlineStr">
        <is>
          <t>VL_087</t>
        </is>
      </c>
      <c r="C91" s="2" t="inlineStr">
        <is>
          <t>Hợp kim Devarda</t>
        </is>
      </c>
      <c r="D91" s="2" t="inlineStr">
        <is>
          <t>gam</t>
        </is>
      </c>
      <c r="E91" s="2" t="n">
        <v>5.184</v>
      </c>
      <c r="F91" s="2" t="n">
        <v>1220</v>
      </c>
      <c r="G91" s="2" t="n">
        <v>1180</v>
      </c>
      <c r="H91" s="2" t="n">
        <v>1260</v>
      </c>
      <c r="I91" s="2" t="n">
        <v>1140</v>
      </c>
      <c r="J91" s="2" t="n">
        <v>1180</v>
      </c>
      <c r="K91" s="2" t="inlineStr"/>
      <c r="L91" s="2">
        <f>ROUND(E91*J91, 0)</f>
        <v/>
      </c>
    </row>
    <row r="92">
      <c r="A92" s="3" t="n">
        <v>88</v>
      </c>
      <c r="B92" s="3" t="inlineStr">
        <is>
          <t>VL_088</t>
        </is>
      </c>
      <c r="C92" s="3" t="inlineStr">
        <is>
          <t>Iốt</t>
        </is>
      </c>
      <c r="D92" s="3" t="inlineStr">
        <is>
          <t>gam</t>
        </is>
      </c>
      <c r="E92" s="3" t="n">
        <v>7.56</v>
      </c>
      <c r="F92" s="3" t="n">
        <v>1220</v>
      </c>
      <c r="G92" s="3" t="n">
        <v>1180</v>
      </c>
      <c r="H92" s="3" t="n">
        <v>1260</v>
      </c>
      <c r="I92" s="3" t="n">
        <v>1140</v>
      </c>
      <c r="J92" s="3" t="n">
        <v>1180</v>
      </c>
      <c r="K92" s="3" t="inlineStr"/>
      <c r="L92" s="3">
        <f>ROUND(E92*J92, 0)</f>
        <v/>
      </c>
    </row>
    <row r="93">
      <c r="A93" s="2" t="n">
        <v>89</v>
      </c>
      <c r="B93" s="2" t="inlineStr">
        <is>
          <t>VL_089</t>
        </is>
      </c>
      <c r="C93" s="2" t="inlineStr">
        <is>
          <t>K2Cr2O7</t>
        </is>
      </c>
      <c r="D93" s="2" t="inlineStr">
        <is>
          <t>gam</t>
        </is>
      </c>
      <c r="E93" s="2" t="n">
        <v>56.1168</v>
      </c>
      <c r="F93" s="2" t="n">
        <v>1220</v>
      </c>
      <c r="G93" s="2" t="n">
        <v>1180</v>
      </c>
      <c r="H93" s="2" t="n">
        <v>1260</v>
      </c>
      <c r="I93" s="2" t="n">
        <v>1140</v>
      </c>
      <c r="J93" s="2" t="n">
        <v>1180</v>
      </c>
      <c r="K93" s="2" t="inlineStr"/>
      <c r="L93" s="2">
        <f>ROUND(E93*J93, 0)</f>
        <v/>
      </c>
    </row>
    <row r="94">
      <c r="A94" s="3" t="n">
        <v>90</v>
      </c>
      <c r="B94" s="3" t="inlineStr">
        <is>
          <t>VL_090</t>
        </is>
      </c>
      <c r="C94" s="3" t="inlineStr">
        <is>
          <t>K2CrO4</t>
        </is>
      </c>
      <c r="D94" s="3" t="inlineStr">
        <is>
          <t>gam</t>
        </is>
      </c>
      <c r="E94" s="3" t="n">
        <v>8.640000000000001</v>
      </c>
      <c r="F94" s="3" t="n">
        <v>1220</v>
      </c>
      <c r="G94" s="3" t="n">
        <v>1180</v>
      </c>
      <c r="H94" s="3" t="n">
        <v>1260</v>
      </c>
      <c r="I94" s="3" t="n">
        <v>1140</v>
      </c>
      <c r="J94" s="3" t="n">
        <v>1180</v>
      </c>
      <c r="K94" s="3" t="inlineStr"/>
      <c r="L94" s="3">
        <f>ROUND(E94*J94, 0)</f>
        <v/>
      </c>
    </row>
    <row r="95">
      <c r="A95" s="2" t="n">
        <v>91</v>
      </c>
      <c r="B95" s="2" t="inlineStr">
        <is>
          <t>VL_091</t>
        </is>
      </c>
      <c r="C95" s="2" t="inlineStr">
        <is>
          <t>K2HPO4</t>
        </is>
      </c>
      <c r="D95" s="2" t="inlineStr">
        <is>
          <t>Gram</t>
        </is>
      </c>
      <c r="E95" s="2" t="n">
        <v>75.2458</v>
      </c>
      <c r="F95" s="2" t="n">
        <v>1220</v>
      </c>
      <c r="G95" s="2" t="n">
        <v>1180</v>
      </c>
      <c r="H95" s="2" t="n">
        <v>1260</v>
      </c>
      <c r="I95" s="2" t="n">
        <v>1140</v>
      </c>
      <c r="J95" s="2" t="n">
        <v>1180</v>
      </c>
      <c r="K95" s="2" t="inlineStr"/>
      <c r="L95" s="2">
        <f>ROUND(E95*J95, 0)</f>
        <v/>
      </c>
    </row>
    <row r="96">
      <c r="A96" s="3" t="n">
        <v>92</v>
      </c>
      <c r="B96" s="3" t="inlineStr">
        <is>
          <t>VL_092</t>
        </is>
      </c>
      <c r="C96" s="3" t="inlineStr">
        <is>
          <t>K2HPO4</t>
        </is>
      </c>
      <c r="D96" s="3" t="inlineStr">
        <is>
          <t>gam</t>
        </is>
      </c>
      <c r="E96" s="3" t="n">
        <v>1.0368</v>
      </c>
      <c r="F96" s="3" t="n">
        <v>1220</v>
      </c>
      <c r="G96" s="3" t="n">
        <v>1180</v>
      </c>
      <c r="H96" s="3" t="n">
        <v>1260</v>
      </c>
      <c r="I96" s="3" t="n">
        <v>1140</v>
      </c>
      <c r="J96" s="3" t="n">
        <v>1180</v>
      </c>
      <c r="K96" s="3" t="inlineStr"/>
      <c r="L96" s="3">
        <f>ROUND(E96*J96, 0)</f>
        <v/>
      </c>
    </row>
    <row r="97">
      <c r="A97" s="2" t="n">
        <v>93</v>
      </c>
      <c r="B97" s="2" t="inlineStr">
        <is>
          <t>VL_093</t>
        </is>
      </c>
      <c r="C97" s="2" t="inlineStr">
        <is>
          <t>K2S2O8</t>
        </is>
      </c>
      <c r="D97" s="2" t="inlineStr">
        <is>
          <t>gam</t>
        </is>
      </c>
      <c r="E97" s="2" t="n">
        <v>52.704</v>
      </c>
      <c r="F97" s="2" t="n">
        <v>1220</v>
      </c>
      <c r="G97" s="2" t="n">
        <v>1180</v>
      </c>
      <c r="H97" s="2" t="n">
        <v>1260</v>
      </c>
      <c r="I97" s="2" t="n">
        <v>1140</v>
      </c>
      <c r="J97" s="2" t="n">
        <v>1180</v>
      </c>
      <c r="K97" s="2" t="inlineStr"/>
      <c r="L97" s="2">
        <f>ROUND(E97*J97, 0)</f>
        <v/>
      </c>
    </row>
    <row r="98">
      <c r="A98" s="3" t="n">
        <v>94</v>
      </c>
      <c r="B98" s="3" t="inlineStr">
        <is>
          <t>VL_094</t>
        </is>
      </c>
      <c r="C98" s="3" t="inlineStr">
        <is>
          <t>K2SO4</t>
        </is>
      </c>
      <c r="D98" s="3" t="inlineStr">
        <is>
          <t>gam</t>
        </is>
      </c>
      <c r="E98" s="3" t="n">
        <v>51.84</v>
      </c>
      <c r="F98" s="3" t="n">
        <v>1220</v>
      </c>
      <c r="G98" s="3" t="n">
        <v>1180</v>
      </c>
      <c r="H98" s="3" t="n">
        <v>1260</v>
      </c>
      <c r="I98" s="3" t="n">
        <v>1140</v>
      </c>
      <c r="J98" s="3" t="n">
        <v>1180</v>
      </c>
      <c r="K98" s="3" t="inlineStr"/>
      <c r="L98" s="3">
        <f>ROUND(E98*J98, 0)</f>
        <v/>
      </c>
    </row>
    <row r="99">
      <c r="A99" s="2" t="n">
        <v>95</v>
      </c>
      <c r="B99" s="2" t="inlineStr">
        <is>
          <t>VL_095</t>
        </is>
      </c>
      <c r="C99" s="2" t="inlineStr">
        <is>
          <t>K4P2O7</t>
        </is>
      </c>
      <c r="D99" s="2" t="inlineStr">
        <is>
          <t>gam</t>
        </is>
      </c>
      <c r="E99" s="2" t="n">
        <v>0.432</v>
      </c>
      <c r="F99" s="2" t="n">
        <v>1220</v>
      </c>
      <c r="G99" s="2" t="n">
        <v>1180</v>
      </c>
      <c r="H99" s="2" t="n">
        <v>1260</v>
      </c>
      <c r="I99" s="2" t="n">
        <v>1140</v>
      </c>
      <c r="J99" s="2" t="n">
        <v>1180</v>
      </c>
      <c r="K99" s="2" t="inlineStr"/>
      <c r="L99" s="2">
        <f>ROUND(E99*J99, 0)</f>
        <v/>
      </c>
    </row>
    <row r="100">
      <c r="A100" s="3" t="n">
        <v>96</v>
      </c>
      <c r="B100" s="3" t="inlineStr">
        <is>
          <t>VL_096</t>
        </is>
      </c>
      <c r="C100" s="3" t="inlineStr">
        <is>
          <t>KCl</t>
        </is>
      </c>
      <c r="D100" s="3" t="inlineStr">
        <is>
          <t>gam</t>
        </is>
      </c>
      <c r="E100" s="3" t="n">
        <v>7.2576</v>
      </c>
      <c r="F100" s="3" t="n">
        <v>870</v>
      </c>
      <c r="G100" s="3" t="n">
        <v>830</v>
      </c>
      <c r="H100" s="3" t="n">
        <v>890</v>
      </c>
      <c r="I100" s="3" t="n">
        <v>810</v>
      </c>
      <c r="J100" s="3" t="n">
        <v>2480</v>
      </c>
      <c r="K100" s="3" t="inlineStr"/>
      <c r="L100" s="3">
        <f>ROUND(E100*J100, 0)</f>
        <v/>
      </c>
    </row>
    <row r="101">
      <c r="A101" s="2" t="n">
        <v>97</v>
      </c>
      <c r="B101" s="2" t="inlineStr">
        <is>
          <t>VL_097</t>
        </is>
      </c>
      <c r="C101" s="2" t="inlineStr">
        <is>
          <t>KH2PO4</t>
        </is>
      </c>
      <c r="D101" s="2" t="inlineStr">
        <is>
          <t>Gram</t>
        </is>
      </c>
      <c r="E101" s="2" t="n">
        <v>58.7866</v>
      </c>
      <c r="F101" s="2" t="n">
        <v>1220</v>
      </c>
      <c r="G101" s="2" t="n">
        <v>1180</v>
      </c>
      <c r="H101" s="2" t="n">
        <v>1260</v>
      </c>
      <c r="I101" s="2" t="n">
        <v>1140</v>
      </c>
      <c r="J101" s="2" t="n">
        <v>1180</v>
      </c>
      <c r="K101" s="2" t="inlineStr"/>
      <c r="L101" s="2">
        <f>ROUND(E101*J101, 0)</f>
        <v/>
      </c>
    </row>
    <row r="102">
      <c r="A102" s="3" t="n">
        <v>98</v>
      </c>
      <c r="B102" s="3" t="inlineStr">
        <is>
          <t>VL_098</t>
        </is>
      </c>
      <c r="C102" s="3" t="inlineStr">
        <is>
          <t>KH2PO4</t>
        </is>
      </c>
      <c r="D102" s="3" t="inlineStr">
        <is>
          <t>gam</t>
        </is>
      </c>
      <c r="E102" s="3" t="n">
        <v>0.5184</v>
      </c>
      <c r="F102" s="3" t="n">
        <v>1220</v>
      </c>
      <c r="G102" s="3" t="n">
        <v>1180</v>
      </c>
      <c r="H102" s="3" t="n">
        <v>1260</v>
      </c>
      <c r="I102" s="3" t="n">
        <v>1140</v>
      </c>
      <c r="J102" s="3" t="n">
        <v>1180</v>
      </c>
      <c r="K102" s="3" t="inlineStr"/>
      <c r="L102" s="3">
        <f>ROUND(E102*J102, 0)</f>
        <v/>
      </c>
    </row>
    <row r="103">
      <c r="A103" s="2" t="n">
        <v>99</v>
      </c>
      <c r="B103" s="2" t="inlineStr">
        <is>
          <t>VL_099</t>
        </is>
      </c>
      <c r="C103" s="2" t="inlineStr">
        <is>
          <t>KIO3</t>
        </is>
      </c>
      <c r="D103" s="2" t="inlineStr">
        <is>
          <t>gam</t>
        </is>
      </c>
      <c r="E103" s="2" t="n">
        <v>10.368</v>
      </c>
      <c r="F103" s="2" t="n">
        <v>1220</v>
      </c>
      <c r="G103" s="2" t="n">
        <v>1180</v>
      </c>
      <c r="H103" s="2" t="n">
        <v>1260</v>
      </c>
      <c r="I103" s="2" t="n">
        <v>1140</v>
      </c>
      <c r="J103" s="2" t="n">
        <v>1180</v>
      </c>
      <c r="K103" s="2" t="inlineStr"/>
      <c r="L103" s="2">
        <f>ROUND(E103*J103, 0)</f>
        <v/>
      </c>
    </row>
    <row r="104">
      <c r="A104" s="3" t="n">
        <v>100</v>
      </c>
      <c r="B104" s="3" t="inlineStr">
        <is>
          <t>VL_100</t>
        </is>
      </c>
      <c r="C104" s="3" t="inlineStr">
        <is>
          <t>KI</t>
        </is>
      </c>
      <c r="D104" s="3" t="inlineStr">
        <is>
          <t>gam</t>
        </is>
      </c>
      <c r="E104" s="3" t="n">
        <v>84.672</v>
      </c>
      <c r="F104" s="3" t="n">
        <v>1220</v>
      </c>
      <c r="G104" s="3" t="n">
        <v>1180</v>
      </c>
      <c r="H104" s="3" t="n">
        <v>1260</v>
      </c>
      <c r="I104" s="3" t="n">
        <v>1140</v>
      </c>
      <c r="J104" s="3" t="n">
        <v>1180</v>
      </c>
      <c r="K104" s="3" t="inlineStr"/>
      <c r="L104" s="3">
        <f>ROUND(E104*J104, 0)</f>
        <v/>
      </c>
    </row>
    <row r="105">
      <c r="A105" s="2" t="n">
        <v>101</v>
      </c>
      <c r="B105" s="2" t="inlineStr">
        <is>
          <t>VL_101</t>
        </is>
      </c>
      <c r="C105" s="2" t="inlineStr">
        <is>
          <t>KMnO4</t>
        </is>
      </c>
      <c r="D105" s="2" t="inlineStr">
        <is>
          <t>gam</t>
        </is>
      </c>
      <c r="E105" s="2" t="n">
        <v>86.40000000000001</v>
      </c>
      <c r="F105" s="2" t="n">
        <v>1220</v>
      </c>
      <c r="G105" s="2" t="n">
        <v>1180</v>
      </c>
      <c r="H105" s="2" t="n">
        <v>1260</v>
      </c>
      <c r="I105" s="2" t="n">
        <v>1140</v>
      </c>
      <c r="J105" s="2" t="n">
        <v>1180</v>
      </c>
      <c r="K105" s="2" t="inlineStr"/>
      <c r="L105" s="2">
        <f>ROUND(E105*J105, 0)</f>
        <v/>
      </c>
    </row>
    <row r="106">
      <c r="A106" s="3" t="n">
        <v>102</v>
      </c>
      <c r="B106" s="3" t="inlineStr">
        <is>
          <t>VL_102</t>
        </is>
      </c>
      <c r="C106" s="3" t="inlineStr">
        <is>
          <t>Kali antimontatrat</t>
        </is>
      </c>
      <c r="D106" s="3" t="inlineStr">
        <is>
          <t>gam</t>
        </is>
      </c>
      <c r="E106" s="3" t="n">
        <v>1.728</v>
      </c>
      <c r="F106" s="3" t="n">
        <v>1220</v>
      </c>
      <c r="G106" s="3" t="n">
        <v>1180</v>
      </c>
      <c r="H106" s="3" t="n">
        <v>1260</v>
      </c>
      <c r="I106" s="3" t="n">
        <v>1140</v>
      </c>
      <c r="J106" s="3" t="n">
        <v>1180</v>
      </c>
      <c r="K106" s="3" t="inlineStr"/>
      <c r="L106" s="3">
        <f>ROUND(E106*J106, 0)</f>
        <v/>
      </c>
    </row>
    <row r="107">
      <c r="A107" s="2" t="n">
        <v>103</v>
      </c>
      <c r="B107" s="2" t="inlineStr">
        <is>
          <t>VL_103</t>
        </is>
      </c>
      <c r="C107" s="2" t="inlineStr">
        <is>
          <t>Kaliphatalat</t>
        </is>
      </c>
      <c r="D107" s="2" t="inlineStr">
        <is>
          <t>gam</t>
        </is>
      </c>
      <c r="E107" s="2" t="n">
        <v>12.96</v>
      </c>
      <c r="F107" s="2" t="n">
        <v>1220</v>
      </c>
      <c r="G107" s="2" t="n">
        <v>1180</v>
      </c>
      <c r="H107" s="2" t="n">
        <v>1260</v>
      </c>
      <c r="I107" s="2" t="n">
        <v>1140</v>
      </c>
      <c r="J107" s="2" t="n">
        <v>1180</v>
      </c>
      <c r="K107" s="2" t="inlineStr"/>
      <c r="L107" s="2">
        <f>ROUND(E107*J107, 0)</f>
        <v/>
      </c>
    </row>
    <row r="108">
      <c r="A108" s="3" t="n">
        <v>104</v>
      </c>
      <c r="B108" s="3" t="inlineStr">
        <is>
          <t>VL_104</t>
        </is>
      </c>
      <c r="C108" s="3" t="inlineStr">
        <is>
          <t>Khí Heli</t>
        </is>
      </c>
      <c r="D108" s="3" t="inlineStr">
        <is>
          <t>bình</t>
        </is>
      </c>
      <c r="E108" s="3" t="n">
        <v>0.108</v>
      </c>
      <c r="F108" s="3" t="n">
        <v>15300</v>
      </c>
      <c r="G108" s="3" t="n">
        <v>14700</v>
      </c>
      <c r="H108" s="3" t="n">
        <v>15750</v>
      </c>
      <c r="I108" s="3" t="n">
        <v>14250</v>
      </c>
      <c r="J108" s="3" t="n">
        <v>9390000</v>
      </c>
      <c r="K108" s="3" t="inlineStr"/>
      <c r="L108" s="3">
        <f>ROUND(E108*J108, 0)</f>
        <v/>
      </c>
    </row>
    <row r="109">
      <c r="A109" s="2" t="n">
        <v>105</v>
      </c>
      <c r="B109" s="2" t="inlineStr">
        <is>
          <t>VL_105</t>
        </is>
      </c>
      <c r="C109" s="2" t="inlineStr">
        <is>
          <t>Khí Hydro</t>
        </is>
      </c>
      <c r="D109" s="2" t="inlineStr">
        <is>
          <t>bình</t>
        </is>
      </c>
      <c r="E109" s="2" t="n">
        <v>0.108</v>
      </c>
      <c r="F109" s="2" t="n">
        <v>15300</v>
      </c>
      <c r="G109" s="2" t="n">
        <v>14700</v>
      </c>
      <c r="H109" s="2" t="n">
        <v>15750</v>
      </c>
      <c r="I109" s="2" t="n">
        <v>14250</v>
      </c>
      <c r="J109" s="2" t="n">
        <v>20020000</v>
      </c>
      <c r="K109" s="2" t="inlineStr"/>
      <c r="L109" s="2">
        <f>ROUND(E109*J109, 0)</f>
        <v/>
      </c>
    </row>
    <row r="110">
      <c r="A110" s="3" t="n">
        <v>106</v>
      </c>
      <c r="B110" s="3" t="inlineStr">
        <is>
          <t>VL_106</t>
        </is>
      </c>
      <c r="C110" s="3" t="inlineStr">
        <is>
          <t>Khí Nitơ</t>
        </is>
      </c>
      <c r="D110" s="3" t="inlineStr">
        <is>
          <t>bình</t>
        </is>
      </c>
      <c r="E110" s="3" t="n">
        <v>0.108</v>
      </c>
      <c r="F110" s="3" t="n">
        <v>15300</v>
      </c>
      <c r="G110" s="3" t="n">
        <v>14700</v>
      </c>
      <c r="H110" s="3" t="n">
        <v>15750</v>
      </c>
      <c r="I110" s="3" t="n">
        <v>14250</v>
      </c>
      <c r="J110" s="3" t="n">
        <v>300000</v>
      </c>
      <c r="K110" s="3" t="inlineStr"/>
      <c r="L110" s="3">
        <f>ROUND(E110*J110, 0)</f>
        <v/>
      </c>
    </row>
    <row r="111">
      <c r="A111" s="2" t="n">
        <v>107</v>
      </c>
      <c r="B111" s="2" t="inlineStr">
        <is>
          <t>VL_107</t>
        </is>
      </c>
      <c r="C111" s="2" t="inlineStr">
        <is>
          <t>Khí argon</t>
        </is>
      </c>
      <c r="D111" s="2" t="inlineStr">
        <is>
          <t>bình</t>
        </is>
      </c>
      <c r="E111" s="2" t="n">
        <v>0.7517</v>
      </c>
      <c r="F111" s="2" t="n">
        <v>15300</v>
      </c>
      <c r="G111" s="2" t="n">
        <v>14700</v>
      </c>
      <c r="H111" s="2" t="n">
        <v>15750</v>
      </c>
      <c r="I111" s="2" t="n">
        <v>14250</v>
      </c>
      <c r="J111" s="2" t="n">
        <v>5660000</v>
      </c>
      <c r="K111" s="2" t="inlineStr"/>
      <c r="L111" s="2">
        <f>ROUND(E111*J111, 0)</f>
        <v/>
      </c>
    </row>
    <row r="112">
      <c r="A112" s="3" t="n">
        <v>108</v>
      </c>
      <c r="B112" s="3" t="inlineStr">
        <is>
          <t>VL_108</t>
        </is>
      </c>
      <c r="C112" s="3" t="inlineStr">
        <is>
          <t>Khí axetylen</t>
        </is>
      </c>
      <c r="D112" s="3" t="inlineStr">
        <is>
          <t>bình</t>
        </is>
      </c>
      <c r="E112" s="3" t="n">
        <v>0.5357</v>
      </c>
      <c r="F112" s="3" t="n">
        <v>15300</v>
      </c>
      <c r="G112" s="3" t="n">
        <v>14700</v>
      </c>
      <c r="H112" s="3" t="n">
        <v>15750</v>
      </c>
      <c r="I112" s="3" t="n">
        <v>14250</v>
      </c>
      <c r="J112" s="3" t="n">
        <v>4500000</v>
      </c>
      <c r="K112" s="3" t="inlineStr"/>
      <c r="L112" s="3">
        <f>ROUND(E112*J112, 0)</f>
        <v/>
      </c>
    </row>
    <row r="113">
      <c r="A113" s="2" t="n">
        <v>109</v>
      </c>
      <c r="B113" s="2" t="inlineStr">
        <is>
          <t>VL_109</t>
        </is>
      </c>
      <c r="C113" s="2" t="inlineStr">
        <is>
          <t>Khí chuẩn CO</t>
        </is>
      </c>
      <c r="D113" s="2" t="inlineStr">
        <is>
          <t>bình</t>
        </is>
      </c>
      <c r="E113" s="2" t="n">
        <v>0.1555</v>
      </c>
      <c r="F113" s="2" t="n">
        <v>459000</v>
      </c>
      <c r="G113" s="2" t="n">
        <v>441000</v>
      </c>
      <c r="H113" s="2" t="n">
        <v>472500</v>
      </c>
      <c r="I113" s="2" t="n">
        <v>427500</v>
      </c>
      <c r="J113" s="2" t="n">
        <v>11270000</v>
      </c>
      <c r="K113" s="2" t="inlineStr"/>
      <c r="L113" s="2">
        <f>ROUND(E113*J113, 0)</f>
        <v/>
      </c>
    </row>
    <row r="114">
      <c r="A114" s="3" t="n">
        <v>110</v>
      </c>
      <c r="B114" s="3" t="inlineStr">
        <is>
          <t>VL_110</t>
        </is>
      </c>
      <c r="C114" s="3" t="inlineStr">
        <is>
          <t>Khí chuẩn Metan</t>
        </is>
      </c>
      <c r="D114" s="3" t="inlineStr">
        <is>
          <t>bình</t>
        </is>
      </c>
      <c r="E114" s="3" t="n">
        <v>0.108</v>
      </c>
      <c r="F114" s="3" t="n">
        <v>459000</v>
      </c>
      <c r="G114" s="3" t="n">
        <v>441000</v>
      </c>
      <c r="H114" s="3" t="n">
        <v>472500</v>
      </c>
      <c r="I114" s="3" t="n">
        <v>427500</v>
      </c>
      <c r="J114" s="3" t="n">
        <v>441000</v>
      </c>
      <c r="K114" s="3" t="inlineStr"/>
      <c r="L114" s="3">
        <f>ROUND(E114*J114, 0)</f>
        <v/>
      </c>
    </row>
    <row r="115">
      <c r="A115" s="2" t="n">
        <v>111</v>
      </c>
      <c r="B115" s="2" t="inlineStr">
        <is>
          <t>VL_111</t>
        </is>
      </c>
      <c r="C115" s="2" t="inlineStr">
        <is>
          <t>Khí chuẩn NO</t>
        </is>
      </c>
      <c r="D115" s="2" t="inlineStr">
        <is>
          <t>bình</t>
        </is>
      </c>
      <c r="E115" s="2" t="n">
        <v>0.1426</v>
      </c>
      <c r="F115" s="2" t="n">
        <v>459000</v>
      </c>
      <c r="G115" s="2" t="n">
        <v>441000</v>
      </c>
      <c r="H115" s="2" t="n">
        <v>472500</v>
      </c>
      <c r="I115" s="2" t="n">
        <v>427500</v>
      </c>
      <c r="J115" s="2" t="n">
        <v>34390000</v>
      </c>
      <c r="K115" s="2" t="inlineStr"/>
      <c r="L115" s="2">
        <f>ROUND(E115*J115, 0)</f>
        <v/>
      </c>
    </row>
    <row r="116">
      <c r="A116" s="3" t="n">
        <v>112</v>
      </c>
      <c r="B116" s="3" t="inlineStr">
        <is>
          <t>VL_112</t>
        </is>
      </c>
      <c r="C116" s="3" t="inlineStr">
        <is>
          <t>Khí chuẩn O2</t>
        </is>
      </c>
      <c r="D116" s="3" t="inlineStr">
        <is>
          <t>bình</t>
        </is>
      </c>
      <c r="E116" s="3" t="n">
        <v>0.1555</v>
      </c>
      <c r="F116" s="3" t="n">
        <v>459000</v>
      </c>
      <c r="G116" s="3" t="n">
        <v>441000</v>
      </c>
      <c r="H116" s="3" t="n">
        <v>472500</v>
      </c>
      <c r="I116" s="3" t="n">
        <v>427500</v>
      </c>
      <c r="J116" s="3" t="n">
        <v>9140000</v>
      </c>
      <c r="K116" s="3" t="inlineStr"/>
      <c r="L116" s="3">
        <f>ROUND(E116*J116, 0)</f>
        <v/>
      </c>
    </row>
    <row r="117">
      <c r="A117" s="2" t="n">
        <v>113</v>
      </c>
      <c r="B117" s="2" t="inlineStr">
        <is>
          <t>VL_113</t>
        </is>
      </c>
      <c r="C117" s="2" t="inlineStr">
        <is>
          <t>Khí chuẩn SO2</t>
        </is>
      </c>
      <c r="D117" s="2" t="inlineStr">
        <is>
          <t>bình</t>
        </is>
      </c>
      <c r="E117" s="2" t="n">
        <v>0.1555</v>
      </c>
      <c r="F117" s="2" t="n">
        <v>459000</v>
      </c>
      <c r="G117" s="2" t="n">
        <v>441000</v>
      </c>
      <c r="H117" s="2" t="n">
        <v>472500</v>
      </c>
      <c r="I117" s="2" t="n">
        <v>427500</v>
      </c>
      <c r="J117" s="2" t="n">
        <v>27520000</v>
      </c>
      <c r="K117" s="2" t="inlineStr"/>
      <c r="L117" s="2">
        <f>ROUND(E117*J117, 0)</f>
        <v/>
      </c>
    </row>
    <row r="118">
      <c r="A118" s="3" t="n">
        <v>114</v>
      </c>
      <c r="B118" s="3" t="inlineStr">
        <is>
          <t>VL_114</t>
        </is>
      </c>
      <c r="C118" s="3" t="inlineStr">
        <is>
          <t>Khẩu trang y tế</t>
        </is>
      </c>
      <c r="D118" s="3" t="inlineStr">
        <is>
          <t>cái</t>
        </is>
      </c>
      <c r="E118" s="3" t="n">
        <v>0.648</v>
      </c>
      <c r="F118" s="3" t="n">
        <v>2550</v>
      </c>
      <c r="G118" s="3" t="n">
        <v>2450</v>
      </c>
      <c r="H118" s="3" t="n">
        <v>2620</v>
      </c>
      <c r="I118" s="3" t="n">
        <v>2380</v>
      </c>
      <c r="J118" s="3" t="n">
        <v>2450</v>
      </c>
      <c r="K118" s="3" t="inlineStr"/>
      <c r="L118" s="3">
        <f>ROUND(E118*J118, 0)</f>
        <v/>
      </c>
    </row>
    <row r="119">
      <c r="A119" s="2" t="n">
        <v>115</v>
      </c>
      <c r="B119" s="2" t="inlineStr">
        <is>
          <t>VL_115</t>
        </is>
      </c>
      <c r="C119" s="2" t="inlineStr">
        <is>
          <t>MgCl2</t>
        </is>
      </c>
      <c r="D119" s="2" t="inlineStr">
        <is>
          <t>Gram</t>
        </is>
      </c>
      <c r="E119" s="2" t="n">
        <v>400.032</v>
      </c>
      <c r="F119" s="2" t="n">
        <v>1220</v>
      </c>
      <c r="G119" s="2" t="n">
        <v>1180</v>
      </c>
      <c r="H119" s="2" t="n">
        <v>1260</v>
      </c>
      <c r="I119" s="2" t="n">
        <v>1140</v>
      </c>
      <c r="J119" s="2" t="n">
        <v>1180</v>
      </c>
      <c r="K119" s="2" t="inlineStr"/>
      <c r="L119" s="2">
        <f>ROUND(E119*J119, 0)</f>
        <v/>
      </c>
    </row>
    <row r="120">
      <c r="A120" s="3" t="n">
        <v>116</v>
      </c>
      <c r="B120" s="3" t="inlineStr">
        <is>
          <t>VL_116</t>
        </is>
      </c>
      <c r="C120" s="3" t="inlineStr">
        <is>
          <t>MgSO4.7H2O</t>
        </is>
      </c>
      <c r="D120" s="3" t="inlineStr">
        <is>
          <t>gam</t>
        </is>
      </c>
      <c r="E120" s="3" t="n">
        <v>1.5552</v>
      </c>
      <c r="F120" s="3" t="n">
        <v>1220</v>
      </c>
      <c r="G120" s="3" t="n">
        <v>1180</v>
      </c>
      <c r="H120" s="3" t="n">
        <v>1260</v>
      </c>
      <c r="I120" s="3" t="n">
        <v>1140</v>
      </c>
      <c r="J120" s="3" t="n">
        <v>1180</v>
      </c>
      <c r="K120" s="3" t="inlineStr"/>
      <c r="L120" s="3">
        <f>ROUND(E120*J120, 0)</f>
        <v/>
      </c>
    </row>
    <row r="121">
      <c r="A121" s="2" t="n">
        <v>117</v>
      </c>
      <c r="B121" s="2" t="inlineStr">
        <is>
          <t>VL_117</t>
        </is>
      </c>
      <c r="C121" s="2" t="inlineStr">
        <is>
          <t>Màng lọc bụi</t>
        </is>
      </c>
      <c r="D121" s="2" t="inlineStr">
        <is>
          <t>cái</t>
        </is>
      </c>
      <c r="E121" s="2" t="n">
        <v>0.216</v>
      </c>
      <c r="F121" s="2" t="n">
        <v>8670</v>
      </c>
      <c r="G121" s="2" t="n">
        <v>8330</v>
      </c>
      <c r="H121" s="2" t="n">
        <v>8920</v>
      </c>
      <c r="I121" s="2" t="n">
        <v>8080</v>
      </c>
      <c r="J121" s="2" t="n">
        <v>8330</v>
      </c>
      <c r="K121" s="2" t="inlineStr"/>
      <c r="L121" s="2">
        <f>ROUND(E121*J121, 0)</f>
        <v/>
      </c>
    </row>
    <row r="122">
      <c r="A122" s="3" t="n">
        <v>118</v>
      </c>
      <c r="B122" s="3" t="inlineStr">
        <is>
          <t>VL_118</t>
        </is>
      </c>
      <c r="C122" s="3" t="inlineStr">
        <is>
          <t>Mực máy in</t>
        </is>
      </c>
      <c r="D122" s="3" t="inlineStr">
        <is>
          <t>hộp</t>
        </is>
      </c>
      <c r="E122" s="3" t="n">
        <v>1.3392</v>
      </c>
      <c r="F122" s="3" t="n">
        <v>15300</v>
      </c>
      <c r="G122" s="3" t="n">
        <v>14700</v>
      </c>
      <c r="H122" s="3" t="n">
        <v>15750</v>
      </c>
      <c r="I122" s="3" t="n">
        <v>14250</v>
      </c>
      <c r="J122" s="3" t="n">
        <v>14700</v>
      </c>
      <c r="K122" s="3" t="inlineStr"/>
      <c r="L122" s="3">
        <f>ROUND(E122*J122, 0)</f>
        <v/>
      </c>
    </row>
    <row r="123">
      <c r="A123" s="2" t="n">
        <v>119</v>
      </c>
      <c r="B123" s="2" t="inlineStr">
        <is>
          <t>VL_119</t>
        </is>
      </c>
      <c r="C123" s="2" t="inlineStr">
        <is>
          <t>N,N-dimethyl-pphenylenediamineoxalate</t>
        </is>
      </c>
      <c r="D123" s="2" t="inlineStr">
        <is>
          <t>gam</t>
        </is>
      </c>
      <c r="E123" s="2" t="n">
        <v>0.5184</v>
      </c>
      <c r="F123" s="2" t="n">
        <v>1220</v>
      </c>
      <c r="G123" s="2" t="n">
        <v>1180</v>
      </c>
      <c r="H123" s="2" t="n">
        <v>1260</v>
      </c>
      <c r="I123" s="2" t="n">
        <v>1140</v>
      </c>
      <c r="J123" s="2" t="n">
        <v>1180</v>
      </c>
      <c r="K123" s="2" t="inlineStr"/>
      <c r="L123" s="2">
        <f>ROUND(E123*J123, 0)</f>
        <v/>
      </c>
    </row>
    <row r="124">
      <c r="A124" s="3" t="n">
        <v>120</v>
      </c>
      <c r="B124" s="3" t="inlineStr">
        <is>
          <t>VL_120</t>
        </is>
      </c>
      <c r="C124" s="3" t="inlineStr">
        <is>
          <t>N-(1-naphyl)-ethyllediamine</t>
        </is>
      </c>
      <c r="D124" s="3" t="inlineStr">
        <is>
          <t>gam</t>
        </is>
      </c>
      <c r="E124" s="3" t="n">
        <v>13.176</v>
      </c>
      <c r="F124" s="3" t="n">
        <v>1220</v>
      </c>
      <c r="G124" s="3" t="n">
        <v>1180</v>
      </c>
      <c r="H124" s="3" t="n">
        <v>1260</v>
      </c>
      <c r="I124" s="3" t="n">
        <v>1140</v>
      </c>
      <c r="J124" s="3" t="n">
        <v>1180</v>
      </c>
      <c r="K124" s="3" t="inlineStr"/>
      <c r="L124" s="3">
        <f>ROUND(E124*J124, 0)</f>
        <v/>
      </c>
    </row>
    <row r="125">
      <c r="A125" s="2" t="n">
        <v>121</v>
      </c>
      <c r="B125" s="2" t="inlineStr">
        <is>
          <t>VL_121</t>
        </is>
      </c>
      <c r="C125" s="2" t="inlineStr">
        <is>
          <t>NH3</t>
        </is>
      </c>
      <c r="D125" s="2" t="inlineStr">
        <is>
          <t>ml</t>
        </is>
      </c>
      <c r="E125" s="2" t="n">
        <v>47.52</v>
      </c>
      <c r="F125" s="2" t="n">
        <v>286</v>
      </c>
      <c r="G125" s="2" t="n">
        <v>274</v>
      </c>
      <c r="H125" s="2" t="n">
        <v>294</v>
      </c>
      <c r="I125" s="2" t="n">
        <v>266</v>
      </c>
      <c r="J125" s="2" t="n">
        <v>590</v>
      </c>
      <c r="K125" s="2" t="inlineStr"/>
      <c r="L125" s="2">
        <f>ROUND(E125*J125, 0)</f>
        <v/>
      </c>
    </row>
    <row r="126">
      <c r="A126" s="3" t="n">
        <v>122</v>
      </c>
      <c r="B126" s="3" t="inlineStr">
        <is>
          <t>VL_122</t>
        </is>
      </c>
      <c r="C126" s="3" t="inlineStr">
        <is>
          <t>NH4Cl</t>
        </is>
      </c>
      <c r="D126" s="3" t="inlineStr">
        <is>
          <t>gam</t>
        </is>
      </c>
      <c r="E126" s="3" t="n">
        <v>0.7776</v>
      </c>
      <c r="F126" s="3" t="n">
        <v>1220</v>
      </c>
      <c r="G126" s="3" t="n">
        <v>1180</v>
      </c>
      <c r="H126" s="3" t="n">
        <v>1260</v>
      </c>
      <c r="I126" s="3" t="n">
        <v>1140</v>
      </c>
      <c r="J126" s="3" t="n">
        <v>1180</v>
      </c>
      <c r="K126" s="3" t="inlineStr"/>
      <c r="L126" s="3">
        <f>ROUND(E126*J126, 0)</f>
        <v/>
      </c>
    </row>
    <row r="127">
      <c r="A127" s="2" t="n">
        <v>123</v>
      </c>
      <c r="B127" s="2" t="inlineStr">
        <is>
          <t>VL_123</t>
        </is>
      </c>
      <c r="C127" s="2" t="inlineStr">
        <is>
          <t>NH4NO3</t>
        </is>
      </c>
      <c r="D127" s="2" t="inlineStr">
        <is>
          <t>gam</t>
        </is>
      </c>
      <c r="E127" s="2" t="n">
        <v>1080</v>
      </c>
      <c r="F127" s="2" t="n">
        <v>1220</v>
      </c>
      <c r="G127" s="2" t="n">
        <v>1180</v>
      </c>
      <c r="H127" s="2" t="n">
        <v>1260</v>
      </c>
      <c r="I127" s="2" t="n">
        <v>1140</v>
      </c>
      <c r="J127" s="2" t="n">
        <v>1180</v>
      </c>
      <c r="K127" s="2" t="inlineStr"/>
      <c r="L127" s="2">
        <f>ROUND(E127*J127, 0)</f>
        <v/>
      </c>
    </row>
    <row r="128">
      <c r="A128" s="3" t="n">
        <v>124</v>
      </c>
      <c r="B128" s="3" t="inlineStr">
        <is>
          <t>VL_124</t>
        </is>
      </c>
      <c r="C128" s="3" t="inlineStr">
        <is>
          <t>NH4OCl</t>
        </is>
      </c>
      <c r="D128" s="3" t="inlineStr">
        <is>
          <t>gam</t>
        </is>
      </c>
      <c r="E128" s="3" t="n">
        <v>38.88</v>
      </c>
      <c r="F128" s="3" t="n">
        <v>1220</v>
      </c>
      <c r="G128" s="3" t="n">
        <v>1180</v>
      </c>
      <c r="H128" s="3" t="n">
        <v>1260</v>
      </c>
      <c r="I128" s="3" t="n">
        <v>1140</v>
      </c>
      <c r="J128" s="3" t="n">
        <v>1180</v>
      </c>
      <c r="K128" s="3" t="inlineStr"/>
      <c r="L128" s="3">
        <f>ROUND(E128*J128, 0)</f>
        <v/>
      </c>
    </row>
    <row r="129">
      <c r="A129" s="2" t="n">
        <v>125</v>
      </c>
      <c r="B129" s="2" t="inlineStr">
        <is>
          <t>VL_125</t>
        </is>
      </c>
      <c r="C129" s="2" t="inlineStr">
        <is>
          <t>Na2CO3</t>
        </is>
      </c>
      <c r="D129" s="2" t="inlineStr">
        <is>
          <t>Gram</t>
        </is>
      </c>
      <c r="E129" s="2" t="n">
        <v>25.92</v>
      </c>
      <c r="F129" s="2" t="n">
        <v>1220</v>
      </c>
      <c r="G129" s="2" t="n">
        <v>1180</v>
      </c>
      <c r="H129" s="2" t="n">
        <v>1260</v>
      </c>
      <c r="I129" s="2" t="n">
        <v>1140</v>
      </c>
      <c r="J129" s="2" t="n">
        <v>11</v>
      </c>
      <c r="K129" s="2" t="inlineStr"/>
      <c r="L129" s="2">
        <f>ROUND(E129*J129, 0)</f>
        <v/>
      </c>
    </row>
    <row r="130">
      <c r="A130" s="3" t="n">
        <v>126</v>
      </c>
      <c r="B130" s="3" t="inlineStr">
        <is>
          <t>VL_126</t>
        </is>
      </c>
      <c r="C130" s="3" t="inlineStr">
        <is>
          <t>Na2CO3</t>
        </is>
      </c>
      <c r="D130" s="3" t="inlineStr">
        <is>
          <t>gam</t>
        </is>
      </c>
      <c r="E130" s="3" t="n">
        <v>0.7776</v>
      </c>
      <c r="F130" s="3" t="n">
        <v>1220</v>
      </c>
      <c r="G130" s="3" t="n">
        <v>1180</v>
      </c>
      <c r="H130" s="3" t="n">
        <v>1260</v>
      </c>
      <c r="I130" s="3" t="n">
        <v>1140</v>
      </c>
      <c r="J130" s="3" t="n">
        <v>11</v>
      </c>
      <c r="K130" s="3" t="inlineStr"/>
      <c r="L130" s="3">
        <f>ROUND(E130*J130, 0)</f>
        <v/>
      </c>
    </row>
    <row r="131">
      <c r="A131" s="2" t="n">
        <v>127</v>
      </c>
      <c r="B131" s="2" t="inlineStr">
        <is>
          <t>VL_127</t>
        </is>
      </c>
      <c r="C131" s="2" t="inlineStr">
        <is>
          <t>Na2HPO4</t>
        </is>
      </c>
      <c r="D131" s="2" t="inlineStr">
        <is>
          <t>gam</t>
        </is>
      </c>
      <c r="E131" s="2" t="n">
        <v>1.8144</v>
      </c>
      <c r="F131" s="2" t="n">
        <v>1220</v>
      </c>
      <c r="G131" s="2" t="n">
        <v>1180</v>
      </c>
      <c r="H131" s="2" t="n">
        <v>1260</v>
      </c>
      <c r="I131" s="2" t="n">
        <v>1140</v>
      </c>
      <c r="J131" s="2" t="n">
        <v>1180</v>
      </c>
      <c r="K131" s="2" t="inlineStr"/>
      <c r="L131" s="2">
        <f>ROUND(E131*J131, 0)</f>
        <v/>
      </c>
    </row>
    <row r="132">
      <c r="A132" s="3" t="n">
        <v>128</v>
      </c>
      <c r="B132" s="3" t="inlineStr">
        <is>
          <t>VL_128</t>
        </is>
      </c>
      <c r="C132" s="3" t="inlineStr">
        <is>
          <t>Na2S.9H2O</t>
        </is>
      </c>
      <c r="D132" s="3" t="inlineStr">
        <is>
          <t>gam</t>
        </is>
      </c>
      <c r="E132" s="3" t="n">
        <v>1.296</v>
      </c>
      <c r="F132" s="3" t="n">
        <v>1220</v>
      </c>
      <c r="G132" s="3" t="n">
        <v>1180</v>
      </c>
      <c r="H132" s="3" t="n">
        <v>1260</v>
      </c>
      <c r="I132" s="3" t="n">
        <v>1140</v>
      </c>
      <c r="J132" s="3" t="n">
        <v>1180</v>
      </c>
      <c r="K132" s="3" t="inlineStr"/>
      <c r="L132" s="3">
        <f>ROUND(E132*J132, 0)</f>
        <v/>
      </c>
    </row>
    <row r="133">
      <c r="A133" s="2" t="n">
        <v>129</v>
      </c>
      <c r="B133" s="2" t="inlineStr">
        <is>
          <t>VL_129</t>
        </is>
      </c>
      <c r="C133" s="2" t="inlineStr">
        <is>
          <t>Na2S2O3</t>
        </is>
      </c>
      <c r="D133" s="2" t="inlineStr">
        <is>
          <t>gam</t>
        </is>
      </c>
      <c r="E133" s="2" t="n">
        <v>27.648</v>
      </c>
      <c r="F133" s="2" t="n">
        <v>1220</v>
      </c>
      <c r="G133" s="2" t="n">
        <v>1180</v>
      </c>
      <c r="H133" s="2" t="n">
        <v>1260</v>
      </c>
      <c r="I133" s="2" t="n">
        <v>1140</v>
      </c>
      <c r="J133" s="2" t="n">
        <v>1180</v>
      </c>
      <c r="K133" s="2" t="inlineStr"/>
      <c r="L133" s="2">
        <f>ROUND(E133*J133, 0)</f>
        <v/>
      </c>
    </row>
    <row r="134">
      <c r="A134" s="3" t="n">
        <v>130</v>
      </c>
      <c r="B134" s="3" t="inlineStr">
        <is>
          <t>VL_130</t>
        </is>
      </c>
      <c r="C134" s="3" t="inlineStr">
        <is>
          <t>Na2S2O5 0,1N</t>
        </is>
      </c>
      <c r="D134" s="3" t="inlineStr">
        <is>
          <t>ống</t>
        </is>
      </c>
      <c r="E134" s="3" t="n">
        <v>15.12</v>
      </c>
      <c r="F134" s="3" t="n">
        <v>1220</v>
      </c>
      <c r="G134" s="3" t="n">
        <v>1180</v>
      </c>
      <c r="H134" s="3" t="n">
        <v>1260</v>
      </c>
      <c r="I134" s="3" t="n">
        <v>1140</v>
      </c>
      <c r="J134" s="3" t="n">
        <v>1180</v>
      </c>
      <c r="K134" s="3" t="inlineStr"/>
      <c r="L134" s="3">
        <f>ROUND(E134*J134, 0)</f>
        <v/>
      </c>
    </row>
    <row r="135">
      <c r="A135" s="2" t="n">
        <v>131</v>
      </c>
      <c r="B135" s="2" t="inlineStr">
        <is>
          <t>VL_131</t>
        </is>
      </c>
      <c r="C135" s="2" t="inlineStr">
        <is>
          <t>Na2SO3</t>
        </is>
      </c>
      <c r="D135" s="2" t="inlineStr">
        <is>
          <t>gam</t>
        </is>
      </c>
      <c r="E135" s="2" t="n">
        <v>12.096</v>
      </c>
      <c r="F135" s="2" t="n">
        <v>1220</v>
      </c>
      <c r="G135" s="2" t="n">
        <v>1180</v>
      </c>
      <c r="H135" s="2" t="n">
        <v>1260</v>
      </c>
      <c r="I135" s="2" t="n">
        <v>1140</v>
      </c>
      <c r="J135" s="2" t="n">
        <v>1180</v>
      </c>
      <c r="K135" s="2" t="inlineStr"/>
      <c r="L135" s="2">
        <f>ROUND(E135*J135, 0)</f>
        <v/>
      </c>
    </row>
    <row r="136">
      <c r="A136" s="3" t="n">
        <v>132</v>
      </c>
      <c r="B136" s="3" t="inlineStr">
        <is>
          <t>VL_132</t>
        </is>
      </c>
      <c r="C136" s="3" t="inlineStr">
        <is>
          <t>Na2SO4</t>
        </is>
      </c>
      <c r="D136" s="3" t="inlineStr">
        <is>
          <t>gam</t>
        </is>
      </c>
      <c r="E136" s="3" t="n">
        <v>604.8</v>
      </c>
      <c r="F136" s="3" t="n">
        <v>1220</v>
      </c>
      <c r="G136" s="3" t="n">
        <v>1180</v>
      </c>
      <c r="H136" s="3" t="n">
        <v>1260</v>
      </c>
      <c r="I136" s="3" t="n">
        <v>1140</v>
      </c>
      <c r="J136" s="3" t="n">
        <v>1180</v>
      </c>
      <c r="K136" s="3" t="inlineStr"/>
      <c r="L136" s="3">
        <f>ROUND(E136*J136, 0)</f>
        <v/>
      </c>
    </row>
    <row r="137">
      <c r="A137" s="2" t="n">
        <v>133</v>
      </c>
      <c r="B137" s="2" t="inlineStr">
        <is>
          <t>VL_133</t>
        </is>
      </c>
      <c r="C137" s="2" t="inlineStr">
        <is>
          <t>Na2[Fe(CN)5.NO].2H2O</t>
        </is>
      </c>
      <c r="D137" s="2" t="inlineStr">
        <is>
          <t>gam</t>
        </is>
      </c>
      <c r="E137" s="2" t="n">
        <v>1.728</v>
      </c>
      <c r="F137" s="2" t="n">
        <v>1220</v>
      </c>
      <c r="G137" s="2" t="n">
        <v>1180</v>
      </c>
      <c r="H137" s="2" t="n">
        <v>1260</v>
      </c>
      <c r="I137" s="2" t="n">
        <v>1140</v>
      </c>
      <c r="J137" s="2" t="n">
        <v>1180</v>
      </c>
      <c r="K137" s="2" t="inlineStr"/>
      <c r="L137" s="2">
        <f>ROUND(E137*J137, 0)</f>
        <v/>
      </c>
    </row>
    <row r="138">
      <c r="A138" s="3" t="n">
        <v>134</v>
      </c>
      <c r="B138" s="3" t="inlineStr">
        <is>
          <t>VL_134</t>
        </is>
      </c>
      <c r="C138" s="3" t="inlineStr">
        <is>
          <t>Na3C6H5O7.2H2O</t>
        </is>
      </c>
      <c r="D138" s="3" t="inlineStr">
        <is>
          <t>gam</t>
        </is>
      </c>
      <c r="E138" s="3" t="n">
        <v>8.640000000000001</v>
      </c>
      <c r="F138" s="3" t="n">
        <v>1220</v>
      </c>
      <c r="G138" s="3" t="n">
        <v>1180</v>
      </c>
      <c r="H138" s="3" t="n">
        <v>1260</v>
      </c>
      <c r="I138" s="3" t="n">
        <v>1140</v>
      </c>
      <c r="J138" s="3" t="n">
        <v>1180</v>
      </c>
      <c r="K138" s="3" t="inlineStr"/>
      <c r="L138" s="3">
        <f>ROUND(E138*J138, 0)</f>
        <v/>
      </c>
    </row>
    <row r="139">
      <c r="A139" s="2" t="n">
        <v>135</v>
      </c>
      <c r="B139" s="2" t="inlineStr">
        <is>
          <t>VL_135</t>
        </is>
      </c>
      <c r="C139" s="2" t="inlineStr">
        <is>
          <t>NaAsO2</t>
        </is>
      </c>
      <c r="D139" s="2" t="inlineStr">
        <is>
          <t>gam</t>
        </is>
      </c>
      <c r="E139" s="2" t="n">
        <v>10.8</v>
      </c>
      <c r="F139" s="2" t="n">
        <v>1220</v>
      </c>
      <c r="G139" s="2" t="n">
        <v>1180</v>
      </c>
      <c r="H139" s="2" t="n">
        <v>1260</v>
      </c>
      <c r="I139" s="2" t="n">
        <v>1140</v>
      </c>
      <c r="J139" s="2" t="n">
        <v>1180</v>
      </c>
      <c r="K139" s="2" t="inlineStr"/>
      <c r="L139" s="2">
        <f>ROUND(E139*J139, 0)</f>
        <v/>
      </c>
    </row>
    <row r="140">
      <c r="A140" s="3" t="n">
        <v>136</v>
      </c>
      <c r="B140" s="3" t="inlineStr">
        <is>
          <t>VL_136</t>
        </is>
      </c>
      <c r="C140" s="3" t="inlineStr">
        <is>
          <t>NaBH4</t>
        </is>
      </c>
      <c r="D140" s="3" t="inlineStr">
        <is>
          <t>gam</t>
        </is>
      </c>
      <c r="E140" s="3" t="n">
        <v>2.592</v>
      </c>
      <c r="F140" s="3" t="n">
        <v>1220</v>
      </c>
      <c r="G140" s="3" t="n">
        <v>1180</v>
      </c>
      <c r="H140" s="3" t="n">
        <v>1260</v>
      </c>
      <c r="I140" s="3" t="n">
        <v>1140</v>
      </c>
      <c r="J140" s="3" t="n">
        <v>1180</v>
      </c>
      <c r="K140" s="3" t="inlineStr"/>
      <c r="L140" s="3">
        <f>ROUND(E140*J140, 0)</f>
        <v/>
      </c>
    </row>
    <row r="141">
      <c r="A141" s="2" t="n">
        <v>137</v>
      </c>
      <c r="B141" s="2" t="inlineStr">
        <is>
          <t>VL_137</t>
        </is>
      </c>
      <c r="C141" s="2" t="inlineStr">
        <is>
          <t>NaC7H5NaO3</t>
        </is>
      </c>
      <c r="D141" s="2" t="inlineStr">
        <is>
          <t>gam</t>
        </is>
      </c>
      <c r="E141" s="2" t="n">
        <v>21.6</v>
      </c>
      <c r="F141" s="2" t="n">
        <v>1220</v>
      </c>
      <c r="G141" s="2" t="n">
        <v>1180</v>
      </c>
      <c r="H141" s="2" t="n">
        <v>1260</v>
      </c>
      <c r="I141" s="2" t="n">
        <v>1140</v>
      </c>
      <c r="J141" s="2" t="n">
        <v>1180</v>
      </c>
      <c r="K141" s="2" t="inlineStr"/>
      <c r="L141" s="2">
        <f>ROUND(E141*J141, 0)</f>
        <v/>
      </c>
    </row>
    <row r="142">
      <c r="A142" s="3" t="n">
        <v>138</v>
      </c>
      <c r="B142" s="3" t="inlineStr">
        <is>
          <t>VL_138</t>
        </is>
      </c>
      <c r="C142" s="3" t="inlineStr">
        <is>
          <t>NaCH3COO</t>
        </is>
      </c>
      <c r="D142" s="3" t="inlineStr">
        <is>
          <t>gam</t>
        </is>
      </c>
      <c r="E142" s="3" t="n">
        <v>0.648</v>
      </c>
      <c r="F142" s="3" t="n">
        <v>1220</v>
      </c>
      <c r="G142" s="3" t="n">
        <v>1180</v>
      </c>
      <c r="H142" s="3" t="n">
        <v>1260</v>
      </c>
      <c r="I142" s="3" t="n">
        <v>1140</v>
      </c>
      <c r="J142" s="3" t="n">
        <v>1180</v>
      </c>
      <c r="K142" s="3" t="inlineStr"/>
      <c r="L142" s="3">
        <f>ROUND(E142*J142, 0)</f>
        <v/>
      </c>
    </row>
    <row r="143">
      <c r="A143" s="2" t="n">
        <v>139</v>
      </c>
      <c r="B143" s="2" t="inlineStr">
        <is>
          <t>VL_139</t>
        </is>
      </c>
      <c r="C143" s="2" t="inlineStr">
        <is>
          <t>NaCN</t>
        </is>
      </c>
      <c r="D143" s="2" t="inlineStr">
        <is>
          <t>Gram</t>
        </is>
      </c>
      <c r="E143" s="2" t="n">
        <v>19.44</v>
      </c>
      <c r="F143" s="2" t="n">
        <v>1220</v>
      </c>
      <c r="G143" s="2" t="n">
        <v>1180</v>
      </c>
      <c r="H143" s="2" t="n">
        <v>1260</v>
      </c>
      <c r="I143" s="2" t="n">
        <v>1140</v>
      </c>
      <c r="J143" s="2" t="n">
        <v>1180</v>
      </c>
      <c r="K143" s="2" t="inlineStr"/>
      <c r="L143" s="2">
        <f>ROUND(E143*J143, 0)</f>
        <v/>
      </c>
    </row>
    <row r="144">
      <c r="A144" s="3" t="n">
        <v>140</v>
      </c>
      <c r="B144" s="3" t="inlineStr">
        <is>
          <t>VL_140</t>
        </is>
      </c>
      <c r="C144" s="3" t="inlineStr">
        <is>
          <t>NaClO</t>
        </is>
      </c>
      <c r="D144" s="3" t="inlineStr">
        <is>
          <t>ml</t>
        </is>
      </c>
      <c r="E144" s="3" t="n">
        <v>30.24</v>
      </c>
      <c r="F144" s="3" t="n">
        <v>153</v>
      </c>
      <c r="G144" s="3" t="n">
        <v>147</v>
      </c>
      <c r="H144" s="3" t="n">
        <v>158</v>
      </c>
      <c r="I144" s="3" t="n">
        <v>142</v>
      </c>
      <c r="J144" s="3" t="n">
        <v>8</v>
      </c>
      <c r="K144" s="3" t="inlineStr"/>
      <c r="L144" s="3">
        <f>ROUND(E144*J144, 0)</f>
        <v/>
      </c>
    </row>
    <row r="145">
      <c r="A145" s="2" t="n">
        <v>141</v>
      </c>
      <c r="B145" s="2" t="inlineStr">
        <is>
          <t>VL_141</t>
        </is>
      </c>
      <c r="C145" s="2" t="inlineStr">
        <is>
          <t>NaCl</t>
        </is>
      </c>
      <c r="D145" s="2" t="inlineStr">
        <is>
          <t>gam</t>
        </is>
      </c>
      <c r="E145" s="2" t="n">
        <v>116.64</v>
      </c>
      <c r="F145" s="2" t="n">
        <v>870</v>
      </c>
      <c r="G145" s="2" t="n">
        <v>830</v>
      </c>
      <c r="H145" s="2" t="n">
        <v>890</v>
      </c>
      <c r="I145" s="2" t="n">
        <v>810</v>
      </c>
      <c r="J145" s="2" t="n">
        <v>26240</v>
      </c>
      <c r="K145" s="2" t="inlineStr"/>
      <c r="L145" s="2">
        <f>ROUND(E145*J145, 0)</f>
        <v/>
      </c>
    </row>
    <row r="146">
      <c r="A146" s="3" t="n">
        <v>142</v>
      </c>
      <c r="B146" s="3" t="inlineStr">
        <is>
          <t>VL_142</t>
        </is>
      </c>
      <c r="C146" s="3" t="inlineStr">
        <is>
          <t>NaOH</t>
        </is>
      </c>
      <c r="D146" s="3" t="inlineStr">
        <is>
          <t>Gram</t>
        </is>
      </c>
      <c r="E146" s="3" t="n">
        <v>25.92</v>
      </c>
      <c r="F146" s="3" t="n">
        <v>870</v>
      </c>
      <c r="G146" s="3" t="n">
        <v>830</v>
      </c>
      <c r="H146" s="3" t="n">
        <v>890</v>
      </c>
      <c r="I146" s="3" t="n">
        <v>810</v>
      </c>
      <c r="J146" s="3" t="n">
        <v>1080</v>
      </c>
      <c r="K146" s="3" t="inlineStr"/>
      <c r="L146" s="3">
        <f>ROUND(E146*J146, 0)</f>
        <v/>
      </c>
    </row>
    <row r="147">
      <c r="A147" s="2" t="n">
        <v>143</v>
      </c>
      <c r="B147" s="2" t="inlineStr">
        <is>
          <t>VL_143</t>
        </is>
      </c>
      <c r="C147" s="2" t="inlineStr">
        <is>
          <t>NaOH</t>
        </is>
      </c>
      <c r="D147" s="2" t="inlineStr">
        <is>
          <t>gam</t>
        </is>
      </c>
      <c r="E147" s="2" t="n">
        <v>3623.184</v>
      </c>
      <c r="F147" s="2" t="n">
        <v>870</v>
      </c>
      <c r="G147" s="2" t="n">
        <v>830</v>
      </c>
      <c r="H147" s="2" t="n">
        <v>890</v>
      </c>
      <c r="I147" s="2" t="n">
        <v>810</v>
      </c>
      <c r="J147" s="2" t="n">
        <v>1080</v>
      </c>
      <c r="K147" s="2" t="inlineStr"/>
      <c r="L147" s="2">
        <f>ROUND(E147*J147, 0)</f>
        <v/>
      </c>
    </row>
    <row r="148">
      <c r="A148" s="3" t="n">
        <v>144</v>
      </c>
      <c r="B148" s="3" t="inlineStr">
        <is>
          <t>VL_144</t>
        </is>
      </c>
      <c r="C148" s="3" t="inlineStr">
        <is>
          <t>Natri tetracloromercurat</t>
        </is>
      </c>
      <c r="D148" s="3" t="inlineStr">
        <is>
          <t>gam</t>
        </is>
      </c>
      <c r="E148" s="3" t="n">
        <v>5.184</v>
      </c>
      <c r="F148" s="3" t="n">
        <v>1220</v>
      </c>
      <c r="G148" s="3" t="n">
        <v>1180</v>
      </c>
      <c r="H148" s="3" t="n">
        <v>1260</v>
      </c>
      <c r="I148" s="3" t="n">
        <v>1140</v>
      </c>
      <c r="J148" s="3" t="n">
        <v>1180</v>
      </c>
      <c r="K148" s="3" t="inlineStr"/>
      <c r="L148" s="3">
        <f>ROUND(E148*J148, 0)</f>
        <v/>
      </c>
    </row>
    <row r="149">
      <c r="A149" s="2" t="n">
        <v>145</v>
      </c>
      <c r="B149" s="2" t="inlineStr">
        <is>
          <t>VL_145</t>
        </is>
      </c>
      <c r="C149" s="2" t="inlineStr">
        <is>
          <t>Nước cất</t>
        </is>
      </c>
      <c r="D149" s="2" t="inlineStr">
        <is>
          <t>lít</t>
        </is>
      </c>
      <c r="E149" s="2" t="n">
        <v>12.096</v>
      </c>
      <c r="F149" s="2" t="n">
        <v>4590</v>
      </c>
      <c r="G149" s="2" t="n">
        <v>4410</v>
      </c>
      <c r="H149" s="2" t="n">
        <v>4720</v>
      </c>
      <c r="I149" s="2" t="n">
        <v>4280</v>
      </c>
      <c r="J149" s="2" t="n">
        <v>4410</v>
      </c>
      <c r="K149" s="2" t="inlineStr"/>
      <c r="L149" s="2">
        <f>ROUND(E149*J149, 0)</f>
        <v/>
      </c>
    </row>
    <row r="150">
      <c r="A150" s="3" t="n">
        <v>146</v>
      </c>
      <c r="B150" s="3" t="inlineStr">
        <is>
          <t>VL_146</t>
        </is>
      </c>
      <c r="C150" s="3" t="inlineStr">
        <is>
          <t>Nước rửa dụng cụ</t>
        </is>
      </c>
      <c r="D150" s="3" t="inlineStr">
        <is>
          <t>Lít</t>
        </is>
      </c>
      <c r="E150" s="3" t="n">
        <v>43.2</v>
      </c>
      <c r="F150" s="3" t="n">
        <v>224400</v>
      </c>
      <c r="G150" s="3" t="n">
        <v>215600</v>
      </c>
      <c r="H150" s="3" t="n">
        <v>231000</v>
      </c>
      <c r="I150" s="3" t="n">
        <v>209000</v>
      </c>
      <c r="J150" s="3" t="n">
        <v>215600</v>
      </c>
      <c r="K150" s="3" t="inlineStr"/>
      <c r="L150" s="3">
        <f>ROUND(E150*J150, 0)</f>
        <v/>
      </c>
    </row>
    <row r="151">
      <c r="A151" s="2" t="n">
        <v>147</v>
      </c>
      <c r="B151" s="2" t="inlineStr">
        <is>
          <t>VL_147</t>
        </is>
      </c>
      <c r="C151" s="2" t="inlineStr">
        <is>
          <t>Nước rửa dụng cụ</t>
        </is>
      </c>
      <c r="D151" s="2" t="inlineStr">
        <is>
          <t>lít</t>
        </is>
      </c>
      <c r="E151" s="2" t="n">
        <v>119.988</v>
      </c>
      <c r="F151" s="2" t="n">
        <v>224400</v>
      </c>
      <c r="G151" s="2" t="n">
        <v>215600</v>
      </c>
      <c r="H151" s="2" t="n">
        <v>231000</v>
      </c>
      <c r="I151" s="2" t="n">
        <v>209000</v>
      </c>
      <c r="J151" s="2" t="n">
        <v>215600</v>
      </c>
      <c r="K151" s="2" t="inlineStr"/>
      <c r="L151" s="2">
        <f>ROUND(E151*J151, 0)</f>
        <v/>
      </c>
    </row>
    <row r="152">
      <c r="A152" s="3" t="n">
        <v>148</v>
      </c>
      <c r="B152" s="3" t="inlineStr">
        <is>
          <t>VL_148</t>
        </is>
      </c>
      <c r="C152" s="3" t="inlineStr">
        <is>
          <t>Nước rửa đầu đo</t>
        </is>
      </c>
      <c r="D152" s="3" t="inlineStr">
        <is>
          <t>lít</t>
        </is>
      </c>
      <c r="E152" s="3" t="n">
        <v>44.388</v>
      </c>
      <c r="F152" s="3" t="n">
        <v>224400</v>
      </c>
      <c r="G152" s="3" t="n">
        <v>215600</v>
      </c>
      <c r="H152" s="3" t="n">
        <v>231000</v>
      </c>
      <c r="I152" s="3" t="n">
        <v>209000</v>
      </c>
      <c r="J152" s="3" t="n">
        <v>215600</v>
      </c>
      <c r="K152" s="3" t="inlineStr"/>
      <c r="L152" s="3">
        <f>ROUND(E152*J152, 0)</f>
        <v/>
      </c>
    </row>
    <row r="153">
      <c r="A153" s="2" t="n">
        <v>149</v>
      </c>
      <c r="B153" s="2" t="inlineStr">
        <is>
          <t>VL_149</t>
        </is>
      </c>
      <c r="C153" s="2" t="inlineStr">
        <is>
          <t>Pararosanilin</t>
        </is>
      </c>
      <c r="D153" s="2" t="inlineStr">
        <is>
          <t>gam</t>
        </is>
      </c>
      <c r="E153" s="2" t="n">
        <v>4.8384</v>
      </c>
      <c r="F153" s="2" t="n">
        <v>1220</v>
      </c>
      <c r="G153" s="2" t="n">
        <v>1180</v>
      </c>
      <c r="H153" s="2" t="n">
        <v>1260</v>
      </c>
      <c r="I153" s="2" t="n">
        <v>1140</v>
      </c>
      <c r="J153" s="2" t="n">
        <v>1180</v>
      </c>
      <c r="K153" s="2" t="inlineStr"/>
      <c r="L153" s="2">
        <f>ROUND(E153*J153, 0)</f>
        <v/>
      </c>
    </row>
    <row r="154">
      <c r="A154" s="3" t="n">
        <v>150</v>
      </c>
      <c r="B154" s="3" t="inlineStr">
        <is>
          <t>VL_150</t>
        </is>
      </c>
      <c r="C154" s="3" t="inlineStr">
        <is>
          <t>Phenolphtalein</t>
        </is>
      </c>
      <c r="D154" s="3" t="inlineStr">
        <is>
          <t>gam</t>
        </is>
      </c>
      <c r="E154" s="3" t="n">
        <v>0.864</v>
      </c>
      <c r="F154" s="3" t="n">
        <v>1220</v>
      </c>
      <c r="G154" s="3" t="n">
        <v>1180</v>
      </c>
      <c r="H154" s="3" t="n">
        <v>1260</v>
      </c>
      <c r="I154" s="3" t="n">
        <v>1140</v>
      </c>
      <c r="J154" s="3" t="n">
        <v>1180</v>
      </c>
      <c r="K154" s="3" t="inlineStr"/>
      <c r="L154" s="3">
        <f>ROUND(E154*J154, 0)</f>
        <v/>
      </c>
    </row>
    <row r="155">
      <c r="A155" s="2" t="n">
        <v>151</v>
      </c>
      <c r="B155" s="2" t="inlineStr">
        <is>
          <t>VL_151</t>
        </is>
      </c>
      <c r="C155" s="2" t="inlineStr">
        <is>
          <t>Pin chuyên dụng</t>
        </is>
      </c>
      <c r="D155" s="2" t="inlineStr">
        <is>
          <t>cục</t>
        </is>
      </c>
      <c r="E155" s="2" t="n">
        <v>395.3988</v>
      </c>
      <c r="F155" s="2" t="n">
        <v>15300</v>
      </c>
      <c r="G155" s="2" t="n">
        <v>14700</v>
      </c>
      <c r="H155" s="2" t="n">
        <v>15750</v>
      </c>
      <c r="I155" s="2" t="n">
        <v>14250</v>
      </c>
      <c r="J155" s="2" t="n">
        <v>14700</v>
      </c>
      <c r="K155" s="2" t="inlineStr"/>
      <c r="L155" s="2">
        <f>ROUND(E155*J155, 0)</f>
        <v/>
      </c>
    </row>
    <row r="156">
      <c r="A156" s="3" t="n">
        <v>152</v>
      </c>
      <c r="B156" s="3" t="inlineStr">
        <is>
          <t>VL_152</t>
        </is>
      </c>
      <c r="C156" s="3" t="inlineStr">
        <is>
          <t>Polyseed</t>
        </is>
      </c>
      <c r="D156" s="3" t="inlineStr">
        <is>
          <t>Viên</t>
        </is>
      </c>
      <c r="E156" s="3" t="n">
        <v>2.592</v>
      </c>
      <c r="F156" s="3" t="n">
        <v>15300</v>
      </c>
      <c r="G156" s="3" t="n">
        <v>14700</v>
      </c>
      <c r="H156" s="3" t="n">
        <v>15750</v>
      </c>
      <c r="I156" s="3" t="n">
        <v>14250</v>
      </c>
      <c r="J156" s="3" t="n">
        <v>14700</v>
      </c>
      <c r="K156" s="3" t="inlineStr"/>
      <c r="L156" s="3">
        <f>ROUND(E156*J156, 0)</f>
        <v/>
      </c>
    </row>
    <row r="157">
      <c r="A157" s="2" t="n">
        <v>153</v>
      </c>
      <c r="B157" s="2" t="inlineStr">
        <is>
          <t>VL_153</t>
        </is>
      </c>
      <c r="C157" s="2" t="inlineStr">
        <is>
          <t>SPADNS (C16H9O11N2S3Na3)</t>
        </is>
      </c>
      <c r="D157" s="2" t="inlineStr">
        <is>
          <t>gam</t>
        </is>
      </c>
      <c r="E157" s="2" t="n">
        <v>4.32</v>
      </c>
      <c r="F157" s="2" t="n">
        <v>1220</v>
      </c>
      <c r="G157" s="2" t="n">
        <v>1180</v>
      </c>
      <c r="H157" s="2" t="n">
        <v>1260</v>
      </c>
      <c r="I157" s="2" t="n">
        <v>1140</v>
      </c>
      <c r="J157" s="2" t="n">
        <v>1180</v>
      </c>
      <c r="K157" s="2" t="inlineStr"/>
      <c r="L157" s="2">
        <f>ROUND(E157*J157, 0)</f>
        <v/>
      </c>
    </row>
    <row r="158">
      <c r="A158" s="3" t="n">
        <v>154</v>
      </c>
      <c r="B158" s="3" t="inlineStr">
        <is>
          <t>VL_154</t>
        </is>
      </c>
      <c r="C158" s="3" t="inlineStr">
        <is>
          <t>Silicagel</t>
        </is>
      </c>
      <c r="D158" s="3" t="inlineStr">
        <is>
          <t>gam</t>
        </is>
      </c>
      <c r="E158" s="3" t="n">
        <v>3931.2</v>
      </c>
      <c r="F158" s="3" t="n">
        <v>1220</v>
      </c>
      <c r="G158" s="3" t="n">
        <v>1180</v>
      </c>
      <c r="H158" s="3" t="n">
        <v>1260</v>
      </c>
      <c r="I158" s="3" t="n">
        <v>1140</v>
      </c>
      <c r="J158" s="3" t="n">
        <v>1180</v>
      </c>
      <c r="K158" s="3" t="inlineStr"/>
      <c r="L158" s="3">
        <f>ROUND(E158*J158, 0)</f>
        <v/>
      </c>
    </row>
    <row r="159">
      <c r="A159" s="2" t="n">
        <v>155</v>
      </c>
      <c r="B159" s="2" t="inlineStr">
        <is>
          <t>VL_155</t>
        </is>
      </c>
      <c r="C159" s="2" t="inlineStr">
        <is>
          <t>SnCl2.2H2O</t>
        </is>
      </c>
      <c r="D159" s="2" t="inlineStr">
        <is>
          <t>gam</t>
        </is>
      </c>
      <c r="E159" s="2" t="n">
        <v>19.44</v>
      </c>
      <c r="F159" s="2" t="n">
        <v>1220</v>
      </c>
      <c r="G159" s="2" t="n">
        <v>1180</v>
      </c>
      <c r="H159" s="2" t="n">
        <v>1260</v>
      </c>
      <c r="I159" s="2" t="n">
        <v>1140</v>
      </c>
      <c r="J159" s="2" t="n">
        <v>1180</v>
      </c>
      <c r="K159" s="2" t="inlineStr"/>
      <c r="L159" s="2">
        <f>ROUND(E159*J159, 0)</f>
        <v/>
      </c>
    </row>
    <row r="160">
      <c r="A160" s="3" t="n">
        <v>156</v>
      </c>
      <c r="B160" s="3" t="inlineStr">
        <is>
          <t>VL_156</t>
        </is>
      </c>
      <c r="C160" s="3" t="inlineStr">
        <is>
          <t>Sulfaniamide</t>
        </is>
      </c>
      <c r="D160" s="3" t="inlineStr">
        <is>
          <t>gam</t>
        </is>
      </c>
      <c r="E160" s="3" t="n">
        <v>9.504</v>
      </c>
      <c r="F160" s="3" t="n">
        <v>1220</v>
      </c>
      <c r="G160" s="3" t="n">
        <v>1180</v>
      </c>
      <c r="H160" s="3" t="n">
        <v>1260</v>
      </c>
      <c r="I160" s="3" t="n">
        <v>1140</v>
      </c>
      <c r="J160" s="3" t="n">
        <v>1180</v>
      </c>
      <c r="K160" s="3" t="inlineStr"/>
      <c r="L160" s="3">
        <f>ROUND(E160*J160, 0)</f>
        <v/>
      </c>
    </row>
    <row r="161">
      <c r="A161" s="2" t="n">
        <v>157</v>
      </c>
      <c r="B161" s="2" t="inlineStr">
        <is>
          <t>VL_157</t>
        </is>
      </c>
      <c r="C161" s="2" t="inlineStr">
        <is>
          <t>Sổ công tác</t>
        </is>
      </c>
      <c r="D161" s="2" t="inlineStr">
        <is>
          <t>Cuốn</t>
        </is>
      </c>
      <c r="E161" s="2" t="n">
        <v>0.0864</v>
      </c>
      <c r="F161" s="2" t="n">
        <v>15300</v>
      </c>
      <c r="G161" s="2" t="n">
        <v>14700</v>
      </c>
      <c r="H161" s="2" t="n">
        <v>15750</v>
      </c>
      <c r="I161" s="2" t="n">
        <v>14250</v>
      </c>
      <c r="J161" s="2" t="n">
        <v>14700</v>
      </c>
      <c r="K161" s="2" t="inlineStr"/>
      <c r="L161" s="2">
        <f>ROUND(E161*J161, 0)</f>
        <v/>
      </c>
    </row>
    <row r="162">
      <c r="A162" s="3" t="n">
        <v>158</v>
      </c>
      <c r="B162" s="3" t="inlineStr">
        <is>
          <t>VL_158</t>
        </is>
      </c>
      <c r="C162" s="3" t="inlineStr">
        <is>
          <t>Sổ công tác</t>
        </is>
      </c>
      <c r="D162" s="3" t="inlineStr">
        <is>
          <t>cuốn</t>
        </is>
      </c>
      <c r="E162" s="3" t="n">
        <v>16.2173</v>
      </c>
      <c r="F162" s="3" t="n">
        <v>15300</v>
      </c>
      <c r="G162" s="3" t="n">
        <v>14700</v>
      </c>
      <c r="H162" s="3" t="n">
        <v>15750</v>
      </c>
      <c r="I162" s="3" t="n">
        <v>14250</v>
      </c>
      <c r="J162" s="3" t="n">
        <v>14700</v>
      </c>
      <c r="K162" s="3" t="inlineStr"/>
      <c r="L162" s="3">
        <f>ROUND(E162*J162, 0)</f>
        <v/>
      </c>
    </row>
    <row r="163">
      <c r="A163" s="2" t="n">
        <v>159</v>
      </c>
      <c r="B163" s="2" t="inlineStr">
        <is>
          <t>VL_159</t>
        </is>
      </c>
      <c r="C163" s="2" t="inlineStr">
        <is>
          <t>Than hoạt tính</t>
        </is>
      </c>
      <c r="D163" s="2" t="inlineStr">
        <is>
          <t>kg</t>
        </is>
      </c>
      <c r="E163" s="2" t="n">
        <v>0.0432</v>
      </c>
      <c r="F163" s="2" t="n">
        <v>1220</v>
      </c>
      <c r="G163" s="2" t="n">
        <v>1180</v>
      </c>
      <c r="H163" s="2" t="n">
        <v>1260</v>
      </c>
      <c r="I163" s="2" t="n">
        <v>1140</v>
      </c>
      <c r="J163" s="2" t="n">
        <v>1180</v>
      </c>
      <c r="K163" s="2" t="inlineStr"/>
      <c r="L163" s="2">
        <f>ROUND(E163*J163, 0)</f>
        <v/>
      </c>
    </row>
    <row r="164">
      <c r="A164" s="3" t="n">
        <v>160</v>
      </c>
      <c r="B164" s="3" t="inlineStr">
        <is>
          <t>VL_160</t>
        </is>
      </c>
      <c r="C164" s="3" t="inlineStr">
        <is>
          <t>Thùng đựng chai lấy mẫu</t>
        </is>
      </c>
      <c r="D164" s="3" t="inlineStr">
        <is>
          <t>Hộp</t>
        </is>
      </c>
      <c r="E164" s="3" t="n">
        <v>0.0389</v>
      </c>
      <c r="F164" s="3" t="n">
        <v>15300</v>
      </c>
      <c r="G164" s="3" t="n">
        <v>14700</v>
      </c>
      <c r="H164" s="3" t="n">
        <v>15750</v>
      </c>
      <c r="I164" s="3" t="n">
        <v>14250</v>
      </c>
      <c r="J164" s="3" t="n">
        <v>14700</v>
      </c>
      <c r="K164" s="3" t="inlineStr"/>
      <c r="L164" s="3">
        <f>ROUND(E164*J164, 0)</f>
        <v/>
      </c>
    </row>
    <row r="165">
      <c r="A165" s="2" t="n">
        <v>161</v>
      </c>
      <c r="B165" s="2" t="inlineStr">
        <is>
          <t>VL_161</t>
        </is>
      </c>
      <c r="C165" s="2" t="inlineStr">
        <is>
          <t>Toluen</t>
        </is>
      </c>
      <c r="D165" s="2" t="inlineStr">
        <is>
          <t>Lít</t>
        </is>
      </c>
      <c r="E165" s="2" t="n">
        <v>1.1664</v>
      </c>
      <c r="F165" s="2" t="n">
        <v>224400</v>
      </c>
      <c r="G165" s="2" t="n">
        <v>215600</v>
      </c>
      <c r="H165" s="2" t="n">
        <v>231000</v>
      </c>
      <c r="I165" s="2" t="n">
        <v>209000</v>
      </c>
      <c r="J165" s="2" t="n">
        <v>390000</v>
      </c>
      <c r="K165" s="2" t="inlineStr"/>
      <c r="L165" s="2">
        <f>ROUND(E165*J165, 0)</f>
        <v/>
      </c>
    </row>
    <row r="166">
      <c r="A166" s="3" t="n">
        <v>162</v>
      </c>
      <c r="B166" s="3" t="inlineStr">
        <is>
          <t>VL_162</t>
        </is>
      </c>
      <c r="C166" s="3" t="inlineStr">
        <is>
          <t>Túi nilon</t>
        </is>
      </c>
      <c r="D166" s="3" t="inlineStr">
        <is>
          <t>cái</t>
        </is>
      </c>
      <c r="E166" s="3" t="n">
        <v>44.3016</v>
      </c>
      <c r="F166" s="3" t="n">
        <v>15300</v>
      </c>
      <c r="G166" s="3" t="n">
        <v>14700</v>
      </c>
      <c r="H166" s="3" t="n">
        <v>15750</v>
      </c>
      <c r="I166" s="3" t="n">
        <v>14250</v>
      </c>
      <c r="J166" s="3" t="n">
        <v>14700</v>
      </c>
      <c r="K166" s="3" t="inlineStr"/>
      <c r="L166" s="3">
        <f>ROUND(E166*J166, 0)</f>
        <v/>
      </c>
    </row>
    <row r="167">
      <c r="A167" s="2" t="n">
        <v>163</v>
      </c>
      <c r="B167" s="2" t="inlineStr">
        <is>
          <t>VL_163</t>
        </is>
      </c>
      <c r="C167" s="2" t="inlineStr">
        <is>
          <t>Xenlulo</t>
        </is>
      </c>
      <c r="D167" s="2" t="inlineStr">
        <is>
          <t>gam</t>
        </is>
      </c>
      <c r="E167" s="2" t="n">
        <v>0.3888</v>
      </c>
      <c r="F167" s="2" t="n">
        <v>1220</v>
      </c>
      <c r="G167" s="2" t="n">
        <v>1180</v>
      </c>
      <c r="H167" s="2" t="n">
        <v>1260</v>
      </c>
      <c r="I167" s="2" t="n">
        <v>1140</v>
      </c>
      <c r="J167" s="2" t="n">
        <v>1180</v>
      </c>
      <c r="K167" s="2" t="inlineStr"/>
      <c r="L167" s="2">
        <f>ROUND(E167*J167, 0)</f>
        <v/>
      </c>
    </row>
    <row r="168">
      <c r="A168" s="3" t="n">
        <v>164</v>
      </c>
      <c r="B168" s="3" t="inlineStr">
        <is>
          <t>VL_164</t>
        </is>
      </c>
      <c r="C168" s="3" t="inlineStr">
        <is>
          <t>Zn(CH3COO)2</t>
        </is>
      </c>
      <c r="D168" s="3" t="inlineStr">
        <is>
          <t>gam</t>
        </is>
      </c>
      <c r="E168" s="3" t="n">
        <v>25.92</v>
      </c>
      <c r="F168" s="3" t="n">
        <v>1220</v>
      </c>
      <c r="G168" s="3" t="n">
        <v>1180</v>
      </c>
      <c r="H168" s="3" t="n">
        <v>1260</v>
      </c>
      <c r="I168" s="3" t="n">
        <v>1140</v>
      </c>
      <c r="J168" s="3" t="n">
        <v>1180</v>
      </c>
      <c r="K168" s="3" t="inlineStr"/>
      <c r="L168" s="3">
        <f>ROUND(E168*J168, 0)</f>
        <v/>
      </c>
    </row>
    <row r="169">
      <c r="A169" s="2" t="n">
        <v>165</v>
      </c>
      <c r="B169" s="2" t="inlineStr">
        <is>
          <t>VL_165</t>
        </is>
      </c>
      <c r="C169" s="2" t="inlineStr">
        <is>
          <t>ZrOCl2.8.H2O</t>
        </is>
      </c>
      <c r="D169" s="2" t="inlineStr">
        <is>
          <t>gam</t>
        </is>
      </c>
      <c r="E169" s="2" t="n">
        <v>2.16</v>
      </c>
      <c r="F169" s="2" t="n">
        <v>1220</v>
      </c>
      <c r="G169" s="2" t="n">
        <v>1180</v>
      </c>
      <c r="H169" s="2" t="n">
        <v>1260</v>
      </c>
      <c r="I169" s="2" t="n">
        <v>1140</v>
      </c>
      <c r="J169" s="2" t="n">
        <v>1180</v>
      </c>
      <c r="K169" s="2" t="inlineStr"/>
      <c r="L169" s="2">
        <f>ROUND(E169*J169, 0)</f>
        <v/>
      </c>
    </row>
    <row r="170">
      <c r="A170" s="3" t="n">
        <v>166</v>
      </c>
      <c r="B170" s="3" t="inlineStr">
        <is>
          <t>VL_166</t>
        </is>
      </c>
      <c r="C170" s="3" t="inlineStr">
        <is>
          <t>hộp</t>
        </is>
      </c>
      <c r="D170" s="3" t="inlineStr">
        <is>
          <t>0,010</t>
        </is>
      </c>
      <c r="E170" s="3" t="n">
        <v>0</v>
      </c>
      <c r="F170" s="3" t="n">
        <v>15300</v>
      </c>
      <c r="G170" s="3" t="n">
        <v>14700</v>
      </c>
      <c r="H170" s="3" t="n">
        <v>15750</v>
      </c>
      <c r="I170" s="3" t="n">
        <v>14250</v>
      </c>
      <c r="J170" s="3" t="n">
        <v>14700</v>
      </c>
      <c r="K170" s="3" t="inlineStr"/>
      <c r="L170" s="3">
        <f>ROUND(E170*J170, 0)</f>
        <v/>
      </c>
    </row>
    <row r="171">
      <c r="A171" s="2" t="n">
        <v>167</v>
      </c>
      <c r="B171" s="2" t="inlineStr">
        <is>
          <t>VL_167</t>
        </is>
      </c>
      <c r="C171" s="2" t="inlineStr">
        <is>
          <t>n-Butanol</t>
        </is>
      </c>
      <c r="D171" s="2" t="inlineStr">
        <is>
          <t>ml</t>
        </is>
      </c>
      <c r="E171" s="2" t="n">
        <v>3.6288</v>
      </c>
      <c r="F171" s="2" t="n">
        <v>286</v>
      </c>
      <c r="G171" s="2" t="n">
        <v>274</v>
      </c>
      <c r="H171" s="2" t="n">
        <v>294</v>
      </c>
      <c r="I171" s="2" t="n">
        <v>266</v>
      </c>
      <c r="J171" s="2" t="n">
        <v>274</v>
      </c>
      <c r="K171" s="2" t="inlineStr"/>
      <c r="L171" s="2">
        <f>ROUND(E171*J171, 0)</f>
        <v/>
      </c>
    </row>
    <row r="172">
      <c r="A172" s="3" t="n">
        <v>168</v>
      </c>
      <c r="B172" s="3" t="inlineStr">
        <is>
          <t>VL_168</t>
        </is>
      </c>
      <c r="C172" s="3" t="inlineStr">
        <is>
          <t>n-Hexan</t>
        </is>
      </c>
      <c r="D172" s="3" t="inlineStr">
        <is>
          <t>Lít</t>
        </is>
      </c>
      <c r="E172" s="3" t="n">
        <v>0.1944</v>
      </c>
      <c r="F172" s="3" t="n">
        <v>198900</v>
      </c>
      <c r="G172" s="3" t="n">
        <v>191100</v>
      </c>
      <c r="H172" s="3" t="n">
        <v>204750</v>
      </c>
      <c r="I172" s="3" t="n">
        <v>185250</v>
      </c>
      <c r="J172" s="3" t="n">
        <v>191100</v>
      </c>
      <c r="K172" s="3" t="inlineStr"/>
      <c r="L172" s="3">
        <f>ROUND(E172*J172, 0)</f>
        <v/>
      </c>
    </row>
    <row r="173">
      <c r="A173" s="2" t="n">
        <v>169</v>
      </c>
      <c r="B173" s="2" t="inlineStr">
        <is>
          <t>VL_169</t>
        </is>
      </c>
      <c r="C173" s="2" t="inlineStr">
        <is>
          <t>n-Hexan</t>
        </is>
      </c>
      <c r="D173" s="2" t="inlineStr">
        <is>
          <t>ml</t>
        </is>
      </c>
      <c r="E173" s="2" t="n">
        <v>907.2</v>
      </c>
      <c r="F173" s="2" t="n">
        <v>245</v>
      </c>
      <c r="G173" s="2" t="n">
        <v>235</v>
      </c>
      <c r="H173" s="2" t="n">
        <v>252</v>
      </c>
      <c r="I173" s="2" t="n">
        <v>228</v>
      </c>
      <c r="J173" s="2" t="n">
        <v>235</v>
      </c>
      <c r="K173" s="2" t="inlineStr"/>
      <c r="L173" s="2">
        <f>ROUND(E173*J173, 0)</f>
        <v/>
      </c>
    </row>
    <row r="174">
      <c r="A174" s="3" t="n">
        <v>170</v>
      </c>
      <c r="B174" s="3" t="inlineStr">
        <is>
          <t>VL_170</t>
        </is>
      </c>
      <c r="C174" s="3" t="inlineStr">
        <is>
          <t>Đá khô</t>
        </is>
      </c>
      <c r="D174" s="3" t="inlineStr">
        <is>
          <t>túi</t>
        </is>
      </c>
      <c r="E174" s="3" t="n">
        <v>746.28</v>
      </c>
      <c r="F174" s="3" t="n">
        <v>15300</v>
      </c>
      <c r="G174" s="3" t="n">
        <v>14700</v>
      </c>
      <c r="H174" s="3" t="n">
        <v>15750</v>
      </c>
      <c r="I174" s="3" t="n">
        <v>14250</v>
      </c>
      <c r="J174" s="3" t="n">
        <v>14700</v>
      </c>
      <c r="K174" s="3" t="inlineStr"/>
      <c r="L174" s="3">
        <f>ROUND(E174*J174, 0)</f>
        <v/>
      </c>
    </row>
    <row r="175">
      <c r="A175" s="2" t="n">
        <v>171</v>
      </c>
      <c r="B175" s="2" t="inlineStr">
        <is>
          <t>VL_171</t>
        </is>
      </c>
      <c r="C175" s="2" t="inlineStr">
        <is>
          <t>Đĩa CD</t>
        </is>
      </c>
      <c r="D175" s="2" t="inlineStr">
        <is>
          <t>cái</t>
        </is>
      </c>
      <c r="E175" s="2" t="n">
        <v>45.36</v>
      </c>
      <c r="F175" s="2" t="n">
        <v>15300</v>
      </c>
      <c r="G175" s="2" t="n">
        <v>14700</v>
      </c>
      <c r="H175" s="2" t="n">
        <v>15750</v>
      </c>
      <c r="I175" s="2" t="n">
        <v>14250</v>
      </c>
      <c r="J175" s="2" t="n">
        <v>14700</v>
      </c>
      <c r="K175" s="2" t="inlineStr"/>
      <c r="L175" s="2">
        <f>ROUND(E175*J175, 0)</f>
        <v/>
      </c>
    </row>
    <row r="176">
      <c r="A176" s="3" t="n">
        <v>172</v>
      </c>
      <c r="B176" s="3" t="inlineStr">
        <is>
          <t>VL_172</t>
        </is>
      </c>
      <c r="C176" s="3" t="inlineStr">
        <is>
          <t>Ống chuẩn AgNO3 0,1N</t>
        </is>
      </c>
      <c r="D176" s="3" t="inlineStr">
        <is>
          <t>ống</t>
        </is>
      </c>
      <c r="E176" s="3" t="n">
        <v>0.2592</v>
      </c>
      <c r="F176" s="3" t="n">
        <v>32640</v>
      </c>
      <c r="G176" s="3" t="n">
        <v>31360</v>
      </c>
      <c r="H176" s="3" t="n">
        <v>33600</v>
      </c>
      <c r="I176" s="3" t="n">
        <v>30400</v>
      </c>
      <c r="J176" s="3" t="n">
        <v>31360</v>
      </c>
      <c r="K176" s="3" t="inlineStr"/>
      <c r="L176" s="3">
        <f>ROUND(E176*J176, 0)</f>
        <v/>
      </c>
    </row>
    <row r="177">
      <c r="A177" s="2" t="n">
        <v>173</v>
      </c>
      <c r="B177" s="2" t="inlineStr">
        <is>
          <t>VL_173</t>
        </is>
      </c>
      <c r="C177" s="2" t="inlineStr">
        <is>
          <t>Ống chuẩn K2C2O7 0.1N</t>
        </is>
      </c>
      <c r="D177" s="2" t="inlineStr">
        <is>
          <t>ống</t>
        </is>
      </c>
      <c r="E177" s="2" t="n">
        <v>0.432</v>
      </c>
      <c r="F177" s="2" t="n">
        <v>459000</v>
      </c>
      <c r="G177" s="2" t="n">
        <v>441000</v>
      </c>
      <c r="H177" s="2" t="n">
        <v>472500</v>
      </c>
      <c r="I177" s="2" t="n">
        <v>427500</v>
      </c>
      <c r="J177" s="2" t="n">
        <v>441000</v>
      </c>
      <c r="K177" s="2" t="inlineStr"/>
      <c r="L177" s="2">
        <f>ROUND(E177*J177, 0)</f>
        <v/>
      </c>
    </row>
    <row r="178">
      <c r="A178" s="3" t="inlineStr"/>
      <c r="B178" s="3" t="inlineStr"/>
      <c r="C178" s="6" t="inlineStr">
        <is>
          <t>TỔNG CỘNG CHI PHÍ VẬT LIỆU (C_VL):</t>
        </is>
      </c>
      <c r="D178" s="3" t="inlineStr"/>
      <c r="E178" s="3" t="inlineStr"/>
      <c r="F178" s="3" t="inlineStr"/>
      <c r="G178" s="3" t="inlineStr"/>
      <c r="H178" s="3" t="inlineStr"/>
      <c r="I178" s="3" t="inlineStr"/>
      <c r="J178" s="3" t="inlineStr"/>
      <c r="K178" s="3" t="inlineStr"/>
      <c r="L178" s="7">
        <f>SUM(L5:L177)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35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18" customWidth="1" min="4" max="4"/>
    <col width="16" customWidth="1" min="5" max="5"/>
    <col width="13" customWidth="1" min="6" max="6"/>
    <col width="21" customWidth="1" min="7" max="7"/>
    <col width="11" customWidth="1" min="8" max="8"/>
    <col width="22" customWidth="1" min="9" max="9"/>
    <col width="23" customWidth="1" min="10" max="10"/>
  </cols>
  <sheetData>
    <row r="1">
      <c r="A1" t="inlineStr">
        <is>
          <t>BẢNG ĐƠN GIÁ DỤNG CỤ &amp; CA MÁY THIẾT BỊ QUAN TRẮC MÔI TRƯỜNG</t>
        </is>
      </c>
    </row>
    <row r="2">
      <c r="A2" t="inlineStr">
        <is>
          <t>(Căn cứ: TT 45/2013/TT-BTC khấu hao TSCĐ; TT 20/2017/TT-BTNMT; Điện EVN 2.100 đ/kWh)</t>
        </is>
      </c>
    </row>
    <row r="3"/>
    <row r="4">
      <c r="A4" s="4" t="inlineStr">
        <is>
          <t>STT</t>
        </is>
      </c>
      <c r="B4" s="4" t="inlineStr">
        <is>
          <t>Mã</t>
        </is>
      </c>
      <c r="C4" s="4" t="inlineStr">
        <is>
          <t>Tên Dụng Cụ / Thiết Bị</t>
        </is>
      </c>
      <c r="D4" s="4" t="inlineStr">
        <is>
          <t>Phân Loại</t>
        </is>
      </c>
      <c r="E4" s="4" t="inlineStr">
        <is>
          <t>ĐVT</t>
        </is>
      </c>
      <c r="F4" s="4" t="inlineStr">
        <is>
          <t>Tổng Ca ĐM</t>
        </is>
      </c>
      <c r="G4" s="4" t="inlineStr">
        <is>
          <t>Nguyên Giá MSC (đ)</t>
        </is>
      </c>
      <c r="H4" s="4" t="inlineStr">
        <is>
          <t>Mã TBMT</t>
        </is>
      </c>
      <c r="I4" s="4" t="inlineStr">
        <is>
          <t>Đơn Giá 1 Ca (đ/ca)</t>
        </is>
      </c>
      <c r="J4" s="4" t="inlineStr">
        <is>
          <t>Thành Tiền (đ)</t>
        </is>
      </c>
    </row>
    <row r="5">
      <c r="A5" s="2" t="n">
        <v>1</v>
      </c>
      <c r="B5" s="2" t="inlineStr">
        <is>
          <t>DC_001</t>
        </is>
      </c>
      <c r="C5" s="2" t="inlineStr">
        <is>
          <t>Acqui</t>
        </is>
      </c>
      <c r="D5" s="2" t="inlineStr">
        <is>
          <t>Dụng cụ BHLĐ</t>
        </is>
      </c>
      <c r="E5" s="2" t="inlineStr">
        <is>
          <t>bộ</t>
        </is>
      </c>
      <c r="F5" s="2" t="n">
        <v>0.2333</v>
      </c>
      <c r="G5" s="2" t="n">
        <v>350000</v>
      </c>
      <c r="H5" s="2" t="inlineStr"/>
      <c r="I5" s="2" t="n">
        <v>1458</v>
      </c>
      <c r="J5" s="2">
        <f>ROUND(F5*I5, 0)</f>
        <v/>
      </c>
    </row>
    <row r="6">
      <c r="A6" s="3" t="n">
        <v>2</v>
      </c>
      <c r="B6" s="3" t="inlineStr">
        <is>
          <t>DC_002</t>
        </is>
      </c>
      <c r="C6" s="3" t="inlineStr">
        <is>
          <t>Buret chuẩn độ</t>
        </is>
      </c>
      <c r="D6" s="3" t="inlineStr">
        <is>
          <t>Dụng cụ BHLĐ</t>
        </is>
      </c>
      <c r="E6" s="3" t="inlineStr">
        <is>
          <t>cái</t>
        </is>
      </c>
      <c r="F6" s="3" t="n">
        <v>0.2333</v>
      </c>
      <c r="G6" s="3" t="n">
        <v>350000</v>
      </c>
      <c r="H6" s="3" t="inlineStr"/>
      <c r="I6" s="3" t="n">
        <v>1458</v>
      </c>
      <c r="J6" s="3">
        <f>ROUND(F6*I6, 0)</f>
        <v/>
      </c>
    </row>
    <row r="7">
      <c r="A7" s="2" t="n">
        <v>3</v>
      </c>
      <c r="B7" s="2" t="inlineStr">
        <is>
          <t>DC_003</t>
        </is>
      </c>
      <c r="C7" s="2" t="inlineStr">
        <is>
          <t>Burret chuẩn độ tự động</t>
        </is>
      </c>
      <c r="D7" s="2" t="inlineStr">
        <is>
          <t>Dụng cụ BHLĐ</t>
        </is>
      </c>
      <c r="E7" s="2" t="inlineStr">
        <is>
          <t>cái</t>
        </is>
      </c>
      <c r="F7" s="2" t="n">
        <v>0.15</v>
      </c>
      <c r="G7" s="2" t="n">
        <v>350000</v>
      </c>
      <c r="H7" s="2" t="inlineStr"/>
      <c r="I7" s="2" t="n">
        <v>1458</v>
      </c>
      <c r="J7" s="2">
        <f>ROUND(F7*I7, 0)</f>
        <v/>
      </c>
    </row>
    <row r="8">
      <c r="A8" s="3" t="n">
        <v>4</v>
      </c>
      <c r="B8" s="3" t="inlineStr">
        <is>
          <t>DC_004</t>
        </is>
      </c>
      <c r="C8" s="3" t="inlineStr">
        <is>
          <t>Burret chuẩn độ tự động</t>
        </is>
      </c>
      <c r="D8" s="3" t="inlineStr">
        <is>
          <t>Dụng cụ BHLĐ</t>
        </is>
      </c>
      <c r="E8" s="3" t="inlineStr">
        <is>
          <t>Cái</t>
        </is>
      </c>
      <c r="F8" s="3" t="n">
        <v>0.15</v>
      </c>
      <c r="G8" s="3" t="n">
        <v>350000</v>
      </c>
      <c r="H8" s="3" t="inlineStr"/>
      <c r="I8" s="3" t="n">
        <v>1458</v>
      </c>
      <c r="J8" s="3">
        <f>ROUND(F8*I8, 0)</f>
        <v/>
      </c>
    </row>
    <row r="9">
      <c r="A9" s="2" t="n">
        <v>5</v>
      </c>
      <c r="B9" s="2" t="inlineStr">
        <is>
          <t>DC_005</t>
        </is>
      </c>
      <c r="C9" s="2" t="inlineStr">
        <is>
          <t>Bàn làm việc</t>
        </is>
      </c>
      <c r="D9" s="2" t="inlineStr">
        <is>
          <t>Dụng cụ BHLĐ</t>
        </is>
      </c>
      <c r="E9" s="2" t="inlineStr">
        <is>
          <t>cái</t>
        </is>
      </c>
      <c r="F9" s="2" t="n">
        <v>0.5722</v>
      </c>
      <c r="G9" s="2" t="n">
        <v>350000</v>
      </c>
      <c r="H9" s="2" t="inlineStr"/>
      <c r="I9" s="2" t="n">
        <v>243</v>
      </c>
      <c r="J9" s="2">
        <f>ROUND(F9*I9, 0)</f>
        <v/>
      </c>
    </row>
    <row r="10">
      <c r="A10" s="3" t="n">
        <v>6</v>
      </c>
      <c r="B10" s="3" t="inlineStr">
        <is>
          <t>DC_006</t>
        </is>
      </c>
      <c r="C10" s="3" t="inlineStr">
        <is>
          <t>Bàn làm việc</t>
        </is>
      </c>
      <c r="D10" s="3" t="inlineStr">
        <is>
          <t>Dụng cụ BHLĐ</t>
        </is>
      </c>
      <c r="E10" s="3" t="inlineStr">
        <is>
          <t>Cái</t>
        </is>
      </c>
      <c r="F10" s="3" t="n">
        <v>0.025</v>
      </c>
      <c r="G10" s="3" t="n">
        <v>350000</v>
      </c>
      <c r="H10" s="3" t="inlineStr"/>
      <c r="I10" s="3" t="n">
        <v>243</v>
      </c>
      <c r="J10" s="3">
        <f>ROUND(F10*I10, 0)</f>
        <v/>
      </c>
    </row>
    <row r="11">
      <c r="A11" s="2" t="n">
        <v>7</v>
      </c>
      <c r="B11" s="2" t="inlineStr">
        <is>
          <t>DC_007</t>
        </is>
      </c>
      <c r="C11" s="2" t="inlineStr">
        <is>
          <t>Bàn làm việc</t>
        </is>
      </c>
      <c r="D11" s="2" t="inlineStr">
        <is>
          <t>Dụng cụ BHLĐ</t>
        </is>
      </c>
      <c r="E11" s="2" t="inlineStr">
        <is>
          <t>đôi</t>
        </is>
      </c>
      <c r="F11" s="2" t="n">
        <v>0.0083</v>
      </c>
      <c r="G11" s="2" t="n">
        <v>350000</v>
      </c>
      <c r="H11" s="2" t="inlineStr"/>
      <c r="I11" s="2" t="n">
        <v>243</v>
      </c>
      <c r="J11" s="2">
        <f>ROUND(F11*I11, 0)</f>
        <v/>
      </c>
    </row>
    <row r="12">
      <c r="A12" s="3" t="n">
        <v>8</v>
      </c>
      <c r="B12" s="3" t="inlineStr">
        <is>
          <t>DC_008</t>
        </is>
      </c>
      <c r="C12" s="3" t="inlineStr">
        <is>
          <t>Bình chưng cất</t>
        </is>
      </c>
      <c r="D12" s="3" t="inlineStr">
        <is>
          <t>Dụng cụ BHLĐ</t>
        </is>
      </c>
      <c r="E12" s="3" t="inlineStr">
        <is>
          <t>cái</t>
        </is>
      </c>
      <c r="F12" s="3" t="n">
        <v>0.3333</v>
      </c>
      <c r="G12" s="3" t="n">
        <v>180000</v>
      </c>
      <c r="H12" s="3" t="inlineStr"/>
      <c r="I12" s="3" t="n">
        <v>1500</v>
      </c>
      <c r="J12" s="3">
        <f>ROUND(F12*I12, 0)</f>
        <v/>
      </c>
    </row>
    <row r="13">
      <c r="A13" s="2" t="n">
        <v>9</v>
      </c>
      <c r="B13" s="2" t="inlineStr">
        <is>
          <t>DC_009</t>
        </is>
      </c>
      <c r="C13" s="2" t="inlineStr">
        <is>
          <t>Bình nhỏ giọt</t>
        </is>
      </c>
      <c r="D13" s="2" t="inlineStr">
        <is>
          <t>Dụng cụ BHLĐ</t>
        </is>
      </c>
      <c r="E13" s="2" t="inlineStr">
        <is>
          <t>cái</t>
        </is>
      </c>
      <c r="F13" s="2" t="n">
        <v>1.8</v>
      </c>
      <c r="G13" s="2" t="n">
        <v>180000</v>
      </c>
      <c r="H13" s="2" t="inlineStr"/>
      <c r="I13" s="2" t="n">
        <v>9000</v>
      </c>
      <c r="J13" s="2">
        <f>ROUND(F13*I13, 0)</f>
        <v/>
      </c>
    </row>
    <row r="14">
      <c r="A14" s="3" t="n">
        <v>10</v>
      </c>
      <c r="B14" s="3" t="inlineStr">
        <is>
          <t>DC_010</t>
        </is>
      </c>
      <c r="C14" s="3" t="inlineStr">
        <is>
          <t>Bình nhựa 0,5 lít</t>
        </is>
      </c>
      <c r="D14" s="3" t="inlineStr">
        <is>
          <t>Dụng cụ BHLĐ</t>
        </is>
      </c>
      <c r="E14" s="3" t="inlineStr">
        <is>
          <t>cái</t>
        </is>
      </c>
      <c r="F14" s="3" t="n">
        <v>2.9</v>
      </c>
      <c r="G14" s="3" t="n">
        <v>180000</v>
      </c>
      <c r="H14" s="3" t="inlineStr"/>
      <c r="I14" s="3" t="n">
        <v>1500</v>
      </c>
      <c r="J14" s="3">
        <f>ROUND(F14*I14, 0)</f>
        <v/>
      </c>
    </row>
    <row r="15">
      <c r="A15" s="2" t="n">
        <v>11</v>
      </c>
      <c r="B15" s="2" t="inlineStr">
        <is>
          <t>DC_011</t>
        </is>
      </c>
      <c r="C15" s="2" t="inlineStr">
        <is>
          <t>Bình nhựa 2 lít</t>
        </is>
      </c>
      <c r="D15" s="2" t="inlineStr">
        <is>
          <t>Dụng cụ BHLĐ</t>
        </is>
      </c>
      <c r="E15" s="2" t="inlineStr">
        <is>
          <t>cái</t>
        </is>
      </c>
      <c r="F15" s="2" t="n">
        <v>5.6333</v>
      </c>
      <c r="G15" s="2" t="n">
        <v>180000</v>
      </c>
      <c r="H15" s="2" t="inlineStr"/>
      <c r="I15" s="2" t="n">
        <v>1500</v>
      </c>
      <c r="J15" s="2">
        <f>ROUND(F15*I15, 0)</f>
        <v/>
      </c>
    </row>
    <row r="16">
      <c r="A16" s="3" t="n">
        <v>12</v>
      </c>
      <c r="B16" s="3" t="inlineStr">
        <is>
          <t>DC_012</t>
        </is>
      </c>
      <c r="C16" s="3" t="inlineStr">
        <is>
          <t>Bình nhựa 2 lít</t>
        </is>
      </c>
      <c r="D16" s="3" t="inlineStr">
        <is>
          <t>Dụng cụ BHLĐ</t>
        </is>
      </c>
      <c r="E16" s="3" t="inlineStr">
        <is>
          <t>Cái</t>
        </is>
      </c>
      <c r="F16" s="3" t="n">
        <v>0.3</v>
      </c>
      <c r="G16" s="3" t="n">
        <v>180000</v>
      </c>
      <c r="H16" s="3" t="inlineStr"/>
      <c r="I16" s="3" t="n">
        <v>1500</v>
      </c>
      <c r="J16" s="3">
        <f>ROUND(F16*I16, 0)</f>
        <v/>
      </c>
    </row>
    <row r="17">
      <c r="A17" s="2" t="n">
        <v>13</v>
      </c>
      <c r="B17" s="2" t="inlineStr">
        <is>
          <t>DC_013</t>
        </is>
      </c>
      <c r="C17" s="2" t="inlineStr">
        <is>
          <t>Bình nhựa 5 lít</t>
        </is>
      </c>
      <c r="D17" s="2" t="inlineStr">
        <is>
          <t>Dụng cụ BHLĐ</t>
        </is>
      </c>
      <c r="E17" s="2" t="inlineStr">
        <is>
          <t>cái</t>
        </is>
      </c>
      <c r="F17" s="2" t="n">
        <v>4.6667</v>
      </c>
      <c r="G17" s="2" t="n">
        <v>180000</v>
      </c>
      <c r="H17" s="2" t="inlineStr"/>
      <c r="I17" s="2" t="n">
        <v>1500</v>
      </c>
      <c r="J17" s="2">
        <f>ROUND(F17*I17, 0)</f>
        <v/>
      </c>
    </row>
    <row r="18">
      <c r="A18" s="3" t="n">
        <v>14</v>
      </c>
      <c r="B18" s="3" t="inlineStr">
        <is>
          <t>DC_014</t>
        </is>
      </c>
      <c r="C18" s="3" t="inlineStr">
        <is>
          <t>Bình nhựa 5 lít</t>
        </is>
      </c>
      <c r="D18" s="3" t="inlineStr">
        <is>
          <t>Dụng cụ BHLĐ</t>
        </is>
      </c>
      <c r="E18" s="3" t="inlineStr">
        <is>
          <t>Cái</t>
        </is>
      </c>
      <c r="F18" s="3" t="n">
        <v>0.3</v>
      </c>
      <c r="G18" s="3" t="n">
        <v>180000</v>
      </c>
      <c r="H18" s="3" t="inlineStr"/>
      <c r="I18" s="3" t="n">
        <v>1500</v>
      </c>
      <c r="J18" s="3">
        <f>ROUND(F18*I18, 0)</f>
        <v/>
      </c>
    </row>
    <row r="19">
      <c r="A19" s="2" t="n">
        <v>15</v>
      </c>
      <c r="B19" s="2" t="inlineStr">
        <is>
          <t>DC_015</t>
        </is>
      </c>
      <c r="C19" s="2" t="inlineStr">
        <is>
          <t>Bình tam giác</t>
        </is>
      </c>
      <c r="D19" s="2" t="inlineStr">
        <is>
          <t>Dụng cụ BHLĐ</t>
        </is>
      </c>
      <c r="E19" s="2" t="inlineStr">
        <is>
          <t>cái</t>
        </is>
      </c>
      <c r="F19" s="2" t="n">
        <v>0.5667</v>
      </c>
      <c r="G19" s="2" t="n">
        <v>180000</v>
      </c>
      <c r="H19" s="2" t="inlineStr"/>
      <c r="I19" s="2" t="n">
        <v>1500</v>
      </c>
      <c r="J19" s="2">
        <f>ROUND(F19*I19, 0)</f>
        <v/>
      </c>
    </row>
    <row r="20">
      <c r="A20" s="3" t="n">
        <v>16</v>
      </c>
      <c r="B20" s="3" t="inlineStr">
        <is>
          <t>DC_016</t>
        </is>
      </c>
      <c r="C20" s="3" t="inlineStr">
        <is>
          <t>Bình tam giác 250ml</t>
        </is>
      </c>
      <c r="D20" s="3" t="inlineStr">
        <is>
          <t>Dụng cụ BHLĐ</t>
        </is>
      </c>
      <c r="E20" s="3" t="inlineStr">
        <is>
          <t>cái</t>
        </is>
      </c>
      <c r="F20" s="3" t="n">
        <v>4.1333</v>
      </c>
      <c r="G20" s="3" t="n">
        <v>180000</v>
      </c>
      <c r="H20" s="3" t="inlineStr"/>
      <c r="I20" s="3" t="n">
        <v>1500</v>
      </c>
      <c r="J20" s="3">
        <f>ROUND(F20*I20, 0)</f>
        <v/>
      </c>
    </row>
    <row r="21">
      <c r="A21" s="2" t="n">
        <v>17</v>
      </c>
      <c r="B21" s="2" t="inlineStr">
        <is>
          <t>DC_017</t>
        </is>
      </c>
      <c r="C21" s="2" t="inlineStr">
        <is>
          <t>Bình tam giác 500ml</t>
        </is>
      </c>
      <c r="D21" s="2" t="inlineStr">
        <is>
          <t>Dụng cụ BHLĐ</t>
        </is>
      </c>
      <c r="E21" s="2" t="inlineStr">
        <is>
          <t>cái</t>
        </is>
      </c>
      <c r="F21" s="2" t="n">
        <v>0.3333</v>
      </c>
      <c r="G21" s="2" t="n">
        <v>180000</v>
      </c>
      <c r="H21" s="2" t="inlineStr"/>
      <c r="I21" s="2" t="n">
        <v>1500</v>
      </c>
      <c r="J21" s="2">
        <f>ROUND(F21*I21, 0)</f>
        <v/>
      </c>
    </row>
    <row r="22">
      <c r="A22" s="3" t="n">
        <v>18</v>
      </c>
      <c r="B22" s="3" t="inlineStr">
        <is>
          <t>DC_018</t>
        </is>
      </c>
      <c r="C22" s="3" t="inlineStr">
        <is>
          <t>Bình tia</t>
        </is>
      </c>
      <c r="D22" s="3" t="inlineStr">
        <is>
          <t>Dụng cụ BHLĐ</t>
        </is>
      </c>
      <c r="E22" s="3" t="inlineStr">
        <is>
          <t>cái</t>
        </is>
      </c>
      <c r="F22" s="3" t="n">
        <v>12.15</v>
      </c>
      <c r="G22" s="3" t="n">
        <v>180000</v>
      </c>
      <c r="H22" s="3" t="inlineStr"/>
      <c r="I22" s="3" t="n">
        <v>1500</v>
      </c>
      <c r="J22" s="3">
        <f>ROUND(F22*I22, 0)</f>
        <v/>
      </c>
    </row>
    <row r="23">
      <c r="A23" s="2" t="n">
        <v>19</v>
      </c>
      <c r="B23" s="2" t="inlineStr">
        <is>
          <t>DC_019</t>
        </is>
      </c>
      <c r="C23" s="2" t="inlineStr">
        <is>
          <t>Bình tia</t>
        </is>
      </c>
      <c r="D23" s="2" t="inlineStr">
        <is>
          <t>Dụng cụ BHLĐ</t>
        </is>
      </c>
      <c r="E23" s="2" t="inlineStr">
        <is>
          <t>Cái</t>
        </is>
      </c>
      <c r="F23" s="2" t="n">
        <v>0.3</v>
      </c>
      <c r="G23" s="2" t="n">
        <v>180000</v>
      </c>
      <c r="H23" s="2" t="inlineStr"/>
      <c r="I23" s="2" t="n">
        <v>1500</v>
      </c>
      <c r="J23" s="2">
        <f>ROUND(F23*I23, 0)</f>
        <v/>
      </c>
    </row>
    <row r="24">
      <c r="A24" s="3" t="n">
        <v>20</v>
      </c>
      <c r="B24" s="3" t="inlineStr">
        <is>
          <t>DC_020</t>
        </is>
      </c>
      <c r="C24" s="3" t="inlineStr">
        <is>
          <t>Bình định mức 1000ml</t>
        </is>
      </c>
      <c r="D24" s="3" t="inlineStr">
        <is>
          <t>Dụng cụ BHLĐ</t>
        </is>
      </c>
      <c r="E24" s="3" t="inlineStr">
        <is>
          <t>cái</t>
        </is>
      </c>
      <c r="F24" s="3" t="n">
        <v>4.2667</v>
      </c>
      <c r="G24" s="3" t="n">
        <v>180000</v>
      </c>
      <c r="H24" s="3" t="inlineStr"/>
      <c r="I24" s="3" t="n">
        <v>1500</v>
      </c>
      <c r="J24" s="3">
        <f>ROUND(F24*I24, 0)</f>
        <v/>
      </c>
    </row>
    <row r="25">
      <c r="A25" s="2" t="n">
        <v>21</v>
      </c>
      <c r="B25" s="2" t="inlineStr">
        <is>
          <t>DC_021</t>
        </is>
      </c>
      <c r="C25" s="2" t="inlineStr">
        <is>
          <t>Bình định mức 100ml</t>
        </is>
      </c>
      <c r="D25" s="2" t="inlineStr">
        <is>
          <t>Dụng cụ BHLĐ</t>
        </is>
      </c>
      <c r="E25" s="2" t="inlineStr">
        <is>
          <t>cái</t>
        </is>
      </c>
      <c r="F25" s="2" t="n">
        <v>1.9</v>
      </c>
      <c r="G25" s="2" t="n">
        <v>180000</v>
      </c>
      <c r="H25" s="2" t="inlineStr"/>
      <c r="I25" s="2" t="n">
        <v>1500</v>
      </c>
      <c r="J25" s="2">
        <f>ROUND(F25*I25, 0)</f>
        <v/>
      </c>
    </row>
    <row r="26">
      <c r="A26" s="3" t="n">
        <v>22</v>
      </c>
      <c r="B26" s="3" t="inlineStr">
        <is>
          <t>DC_022</t>
        </is>
      </c>
      <c r="C26" s="3" t="inlineStr">
        <is>
          <t>Bình định mức 100ml</t>
        </is>
      </c>
      <c r="D26" s="3" t="inlineStr">
        <is>
          <t>Dụng cụ BHLĐ</t>
        </is>
      </c>
      <c r="E26" s="3" t="inlineStr">
        <is>
          <t>Cái</t>
        </is>
      </c>
      <c r="F26" s="3" t="n">
        <v>0.3</v>
      </c>
      <c r="G26" s="3" t="n">
        <v>180000</v>
      </c>
      <c r="H26" s="3" t="inlineStr"/>
      <c r="I26" s="3" t="n">
        <v>1500</v>
      </c>
      <c r="J26" s="3">
        <f>ROUND(F26*I26, 0)</f>
        <v/>
      </c>
    </row>
    <row r="27">
      <c r="A27" s="2" t="n">
        <v>23</v>
      </c>
      <c r="B27" s="2" t="inlineStr">
        <is>
          <t>DC_023</t>
        </is>
      </c>
      <c r="C27" s="2" t="inlineStr">
        <is>
          <t>Bình định mức 250ml</t>
        </is>
      </c>
      <c r="D27" s="2" t="inlineStr">
        <is>
          <t>Dụng cụ BHLĐ</t>
        </is>
      </c>
      <c r="E27" s="2" t="inlineStr">
        <is>
          <t>cái</t>
        </is>
      </c>
      <c r="F27" s="2" t="n">
        <v>1.4</v>
      </c>
      <c r="G27" s="2" t="n">
        <v>180000</v>
      </c>
      <c r="H27" s="2" t="inlineStr"/>
      <c r="I27" s="2" t="n">
        <v>1500</v>
      </c>
      <c r="J27" s="2">
        <f>ROUND(F27*I27, 0)</f>
        <v/>
      </c>
    </row>
    <row r="28">
      <c r="A28" s="3" t="n">
        <v>24</v>
      </c>
      <c r="B28" s="3" t="inlineStr">
        <is>
          <t>DC_024</t>
        </is>
      </c>
      <c r="C28" s="3" t="inlineStr">
        <is>
          <t>Bình định mức 25ml</t>
        </is>
      </c>
      <c r="D28" s="3" t="inlineStr">
        <is>
          <t>Dụng cụ BHLĐ</t>
        </is>
      </c>
      <c r="E28" s="3" t="inlineStr">
        <is>
          <t>cái</t>
        </is>
      </c>
      <c r="F28" s="3" t="n">
        <v>3.4667</v>
      </c>
      <c r="G28" s="3" t="n">
        <v>180000</v>
      </c>
      <c r="H28" s="3" t="inlineStr"/>
      <c r="I28" s="3" t="n">
        <v>1500</v>
      </c>
      <c r="J28" s="3">
        <f>ROUND(F28*I28, 0)</f>
        <v/>
      </c>
    </row>
    <row r="29">
      <c r="A29" s="2" t="n">
        <v>25</v>
      </c>
      <c r="B29" s="2" t="inlineStr">
        <is>
          <t>DC_025</t>
        </is>
      </c>
      <c r="C29" s="2" t="inlineStr">
        <is>
          <t>Bình định mức 50ml</t>
        </is>
      </c>
      <c r="D29" s="2" t="inlineStr">
        <is>
          <t>Dụng cụ BHLĐ</t>
        </is>
      </c>
      <c r="E29" s="2" t="inlineStr">
        <is>
          <t>cái</t>
        </is>
      </c>
      <c r="F29" s="2" t="n">
        <v>4.9667</v>
      </c>
      <c r="G29" s="2" t="n">
        <v>180000</v>
      </c>
      <c r="H29" s="2" t="inlineStr"/>
      <c r="I29" s="2" t="n">
        <v>1500</v>
      </c>
      <c r="J29" s="2">
        <f>ROUND(F29*I29, 0)</f>
        <v/>
      </c>
    </row>
    <row r="30">
      <c r="A30" s="3" t="n">
        <v>26</v>
      </c>
      <c r="B30" s="3" t="inlineStr">
        <is>
          <t>DC_026</t>
        </is>
      </c>
      <c r="C30" s="3" t="inlineStr">
        <is>
          <t>Bình định mức 50ml</t>
        </is>
      </c>
      <c r="D30" s="3" t="inlineStr">
        <is>
          <t>Dụng cụ BHLĐ</t>
        </is>
      </c>
      <c r="E30" s="3" t="inlineStr">
        <is>
          <t>Cái</t>
        </is>
      </c>
      <c r="F30" s="3" t="n">
        <v>0.3</v>
      </c>
      <c r="G30" s="3" t="n">
        <v>180000</v>
      </c>
      <c r="H30" s="3" t="inlineStr"/>
      <c r="I30" s="3" t="n">
        <v>1500</v>
      </c>
      <c r="J30" s="3">
        <f>ROUND(F30*I30, 0)</f>
        <v/>
      </c>
    </row>
    <row r="31">
      <c r="A31" s="2" t="n">
        <v>27</v>
      </c>
      <c r="B31" s="2" t="inlineStr">
        <is>
          <t>DC_027</t>
        </is>
      </c>
      <c r="C31" s="2" t="inlineStr">
        <is>
          <t>Bản đồ địa hình</t>
        </is>
      </c>
      <c r="D31" s="2" t="inlineStr">
        <is>
          <t>Dụng cụ BHLĐ</t>
        </is>
      </c>
      <c r="E31" s="2" t="inlineStr">
        <is>
          <t>cái</t>
        </is>
      </c>
      <c r="F31" s="2" t="n">
        <v>11.4</v>
      </c>
      <c r="G31" s="2" t="n">
        <v>350000</v>
      </c>
      <c r="H31" s="2" t="inlineStr"/>
      <c r="I31" s="2" t="n">
        <v>5833</v>
      </c>
      <c r="J31" s="2">
        <f>ROUND(F31*I31, 0)</f>
        <v/>
      </c>
    </row>
    <row r="32">
      <c r="A32" s="3" t="n">
        <v>28</v>
      </c>
      <c r="B32" s="3" t="inlineStr">
        <is>
          <t>DC_028</t>
        </is>
      </c>
      <c r="C32" s="3" t="inlineStr">
        <is>
          <t>Bếp điện</t>
        </is>
      </c>
      <c r="D32" s="3" t="inlineStr">
        <is>
          <t>Dụng cụ BHLĐ</t>
        </is>
      </c>
      <c r="E32" s="3" t="inlineStr">
        <is>
          <t>cái</t>
        </is>
      </c>
      <c r="F32" s="3" t="n">
        <v>0.1167</v>
      </c>
      <c r="G32" s="3" t="n">
        <v>350000</v>
      </c>
      <c r="H32" s="3" t="inlineStr"/>
      <c r="I32" s="3" t="n">
        <v>1458</v>
      </c>
      <c r="J32" s="3">
        <f>ROUND(F32*I32, 0)</f>
        <v/>
      </c>
    </row>
    <row r="33">
      <c r="A33" s="2" t="n">
        <v>29</v>
      </c>
      <c r="B33" s="2" t="inlineStr">
        <is>
          <t>DC_029</t>
        </is>
      </c>
      <c r="C33" s="2" t="inlineStr">
        <is>
          <t>Bộ dây nối</t>
        </is>
      </c>
      <c r="D33" s="2" t="inlineStr">
        <is>
          <t>Dụng cụ BHLĐ</t>
        </is>
      </c>
      <c r="E33" s="2" t="inlineStr">
        <is>
          <t>bộ</t>
        </is>
      </c>
      <c r="F33" s="2" t="n">
        <v>0.05</v>
      </c>
      <c r="G33" s="2" t="n">
        <v>1500000</v>
      </c>
      <c r="H33" s="2" t="inlineStr"/>
      <c r="I33" s="2" t="n">
        <v>6250</v>
      </c>
      <c r="J33" s="2">
        <f>ROUND(F33*I33, 0)</f>
        <v/>
      </c>
    </row>
    <row r="34">
      <c r="A34" s="3" t="n">
        <v>30</v>
      </c>
      <c r="B34" s="3" t="inlineStr">
        <is>
          <t>DC_030</t>
        </is>
      </c>
      <c r="C34" s="3" t="inlineStr">
        <is>
          <t>Bộ lưu giữ filter</t>
        </is>
      </c>
      <c r="D34" s="3" t="inlineStr">
        <is>
          <t>Dụng cụ BHLĐ</t>
        </is>
      </c>
      <c r="E34" s="3" t="inlineStr">
        <is>
          <t>bộ</t>
        </is>
      </c>
      <c r="F34" s="3" t="n">
        <v>0.01</v>
      </c>
      <c r="G34" s="3" t="n">
        <v>1500000</v>
      </c>
      <c r="H34" s="3" t="inlineStr"/>
      <c r="I34" s="3" t="n">
        <v>1250</v>
      </c>
      <c r="J34" s="3">
        <f>ROUND(F34*I34, 0)</f>
        <v/>
      </c>
    </row>
    <row r="35">
      <c r="A35" s="2" t="n">
        <v>31</v>
      </c>
      <c r="B35" s="2" t="inlineStr">
        <is>
          <t>DC_031</t>
        </is>
      </c>
      <c r="C35" s="2" t="inlineStr">
        <is>
          <t>Bộ lọc bụi</t>
        </is>
      </c>
      <c r="D35" s="2" t="inlineStr">
        <is>
          <t>Dụng cụ BHLĐ</t>
        </is>
      </c>
      <c r="E35" s="2" t="inlineStr">
        <is>
          <t>bộ</t>
        </is>
      </c>
      <c r="F35" s="2" t="n">
        <v>0.4667</v>
      </c>
      <c r="G35" s="2" t="n">
        <v>1500000</v>
      </c>
      <c r="H35" s="2" t="inlineStr"/>
      <c r="I35" s="2" t="n">
        <v>12500</v>
      </c>
      <c r="J35" s="2">
        <f>ROUND(F35*I35, 0)</f>
        <v/>
      </c>
    </row>
    <row r="36">
      <c r="A36" s="3" t="n">
        <v>32</v>
      </c>
      <c r="B36" s="3" t="inlineStr">
        <is>
          <t>DC_032</t>
        </is>
      </c>
      <c r="C36" s="3" t="inlineStr">
        <is>
          <t>Bộ lọc khí lưu huỳnh</t>
        </is>
      </c>
      <c r="D36" s="3" t="inlineStr">
        <is>
          <t>Dụng cụ BHLĐ</t>
        </is>
      </c>
      <c r="E36" s="3" t="inlineStr">
        <is>
          <t>bộ</t>
        </is>
      </c>
      <c r="F36" s="3" t="n">
        <v>0.1</v>
      </c>
      <c r="G36" s="3" t="n">
        <v>1500000</v>
      </c>
      <c r="H36" s="3" t="inlineStr"/>
      <c r="I36" s="3" t="n">
        <v>12500</v>
      </c>
      <c r="J36" s="3">
        <f>ROUND(F36*I36, 0)</f>
        <v/>
      </c>
    </row>
    <row r="37">
      <c r="A37" s="2" t="n">
        <v>33</v>
      </c>
      <c r="B37" s="2" t="inlineStr">
        <is>
          <t>DC_033</t>
        </is>
      </c>
      <c r="C37" s="2" t="inlineStr">
        <is>
          <t>Bộ lọc tạp chất cản trở</t>
        </is>
      </c>
      <c r="D37" s="2" t="inlineStr">
        <is>
          <t>Dụng cụ BHLĐ</t>
        </is>
      </c>
      <c r="E37" s="2" t="inlineStr">
        <is>
          <t>bộ</t>
        </is>
      </c>
      <c r="F37" s="2" t="n">
        <v>0.3667</v>
      </c>
      <c r="G37" s="2" t="n">
        <v>1500000</v>
      </c>
      <c r="H37" s="2" t="inlineStr"/>
      <c r="I37" s="2" t="n">
        <v>12500</v>
      </c>
      <c r="J37" s="2">
        <f>ROUND(F37*I37, 0)</f>
        <v/>
      </c>
    </row>
    <row r="38">
      <c r="A38" s="3" t="n">
        <v>34</v>
      </c>
      <c r="B38" s="3" t="inlineStr">
        <is>
          <t>DC_034</t>
        </is>
      </c>
      <c r="C38" s="3" t="inlineStr">
        <is>
          <t>Bộ sục khí</t>
        </is>
      </c>
      <c r="D38" s="3" t="inlineStr">
        <is>
          <t>Dụng cụ BHLĐ</t>
        </is>
      </c>
      <c r="E38" s="3" t="inlineStr">
        <is>
          <t>bộ</t>
        </is>
      </c>
      <c r="F38" s="3" t="n">
        <v>0.0583</v>
      </c>
      <c r="G38" s="3" t="n">
        <v>1500000</v>
      </c>
      <c r="H38" s="3" t="inlineStr"/>
      <c r="I38" s="3" t="n">
        <v>3125</v>
      </c>
      <c r="J38" s="3">
        <f>ROUND(F38*I38, 0)</f>
        <v/>
      </c>
    </row>
    <row r="39">
      <c r="A39" s="2" t="n">
        <v>35</v>
      </c>
      <c r="B39" s="2" t="inlineStr">
        <is>
          <t>DC_035</t>
        </is>
      </c>
      <c r="C39" s="2" t="inlineStr">
        <is>
          <t>Chai BOD</t>
        </is>
      </c>
      <c r="D39" s="2" t="inlineStr">
        <is>
          <t>Dụng cụ BHLĐ</t>
        </is>
      </c>
      <c r="E39" s="2" t="inlineStr">
        <is>
          <t>cái</t>
        </is>
      </c>
      <c r="F39" s="2" t="n">
        <v>0.2333</v>
      </c>
      <c r="G39" s="2" t="n">
        <v>350000</v>
      </c>
      <c r="H39" s="2" t="inlineStr"/>
      <c r="I39" s="2" t="n">
        <v>2917</v>
      </c>
      <c r="J39" s="2">
        <f>ROUND(F39*I39, 0)</f>
        <v/>
      </c>
    </row>
    <row r="40">
      <c r="A40" s="3" t="n">
        <v>36</v>
      </c>
      <c r="B40" s="3" t="inlineStr">
        <is>
          <t>DC_036</t>
        </is>
      </c>
      <c r="C40" s="3" t="inlineStr">
        <is>
          <t>Chai NO2</t>
        </is>
      </c>
      <c r="D40" s="3" t="inlineStr">
        <is>
          <t>Dụng cụ BHLĐ</t>
        </is>
      </c>
      <c r="E40" s="3" t="inlineStr">
        <is>
          <t>cái</t>
        </is>
      </c>
      <c r="F40" s="3" t="n">
        <v>0.1667</v>
      </c>
      <c r="G40" s="3" t="n">
        <v>350000</v>
      </c>
      <c r="H40" s="3" t="inlineStr"/>
      <c r="I40" s="3" t="n">
        <v>2917</v>
      </c>
      <c r="J40" s="3">
        <f>ROUND(F40*I40, 0)</f>
        <v/>
      </c>
    </row>
    <row r="41">
      <c r="A41" s="2" t="n">
        <v>37</v>
      </c>
      <c r="B41" s="2" t="inlineStr">
        <is>
          <t>DC_037</t>
        </is>
      </c>
      <c r="C41" s="2" t="inlineStr">
        <is>
          <t>Chai SO2</t>
        </is>
      </c>
      <c r="D41" s="2" t="inlineStr">
        <is>
          <t>Dụng cụ BHLĐ</t>
        </is>
      </c>
      <c r="E41" s="2" t="inlineStr">
        <is>
          <t>cái</t>
        </is>
      </c>
      <c r="F41" s="2" t="n">
        <v>0.3333</v>
      </c>
      <c r="G41" s="2" t="n">
        <v>350000</v>
      </c>
      <c r="H41" s="2" t="inlineStr"/>
      <c r="I41" s="2" t="n">
        <v>5833</v>
      </c>
      <c r="J41" s="2">
        <f>ROUND(F41*I41, 0)</f>
        <v/>
      </c>
    </row>
    <row r="42">
      <c r="A42" s="3" t="n">
        <v>38</v>
      </c>
      <c r="B42" s="3" t="inlineStr">
        <is>
          <t>DC_038</t>
        </is>
      </c>
      <c r="C42" s="3" t="inlineStr">
        <is>
          <t>Chai bảo quản dung dịch</t>
        </is>
      </c>
      <c r="D42" s="3" t="inlineStr">
        <is>
          <t>Dụng cụ BHLĐ</t>
        </is>
      </c>
      <c r="E42" s="3" t="inlineStr">
        <is>
          <t>cái</t>
        </is>
      </c>
      <c r="F42" s="3" t="n">
        <v>0.2333</v>
      </c>
      <c r="G42" s="3" t="n">
        <v>350000</v>
      </c>
      <c r="H42" s="3" t="inlineStr"/>
      <c r="I42" s="3" t="n">
        <v>2917</v>
      </c>
      <c r="J42" s="3">
        <f>ROUND(F42*I42, 0)</f>
        <v/>
      </c>
    </row>
    <row r="43">
      <c r="A43" s="2" t="n">
        <v>39</v>
      </c>
      <c r="B43" s="2" t="inlineStr">
        <is>
          <t>DC_039</t>
        </is>
      </c>
      <c r="C43" s="2" t="inlineStr">
        <is>
          <t>Chai chứa mẫu 100ml</t>
        </is>
      </c>
      <c r="D43" s="2" t="inlineStr">
        <is>
          <t>Dụng cụ BHLĐ</t>
        </is>
      </c>
      <c r="E43" s="2" t="inlineStr">
        <is>
          <t>cái</t>
        </is>
      </c>
      <c r="F43" s="2" t="n">
        <v>0.2333</v>
      </c>
      <c r="G43" s="2" t="n">
        <v>350000</v>
      </c>
      <c r="H43" s="2" t="inlineStr"/>
      <c r="I43" s="2" t="n">
        <v>2917</v>
      </c>
      <c r="J43" s="2">
        <f>ROUND(F43*I43, 0)</f>
        <v/>
      </c>
    </row>
    <row r="44">
      <c r="A44" s="3" t="n">
        <v>40</v>
      </c>
      <c r="B44" s="3" t="inlineStr">
        <is>
          <t>DC_040</t>
        </is>
      </c>
      <c r="C44" s="3" t="inlineStr">
        <is>
          <t>Chai nhựa 0,5 lít</t>
        </is>
      </c>
      <c r="D44" s="3" t="inlineStr">
        <is>
          <t>Dụng cụ BHLĐ</t>
        </is>
      </c>
      <c r="E44" s="3" t="inlineStr">
        <is>
          <t>cái</t>
        </is>
      </c>
      <c r="F44" s="3" t="n">
        <v>1.4333</v>
      </c>
      <c r="G44" s="3" t="n">
        <v>350000</v>
      </c>
      <c r="H44" s="3" t="inlineStr"/>
      <c r="I44" s="3" t="n">
        <v>2917</v>
      </c>
      <c r="J44" s="3">
        <f>ROUND(F44*I44, 0)</f>
        <v/>
      </c>
    </row>
    <row r="45">
      <c r="A45" s="2" t="n">
        <v>41</v>
      </c>
      <c r="B45" s="2" t="inlineStr">
        <is>
          <t>DC_041</t>
        </is>
      </c>
      <c r="C45" s="2" t="inlineStr">
        <is>
          <t>Chai nhựa 0,5 lít</t>
        </is>
      </c>
      <c r="D45" s="2" t="inlineStr">
        <is>
          <t>Dụng cụ BHLĐ</t>
        </is>
      </c>
      <c r="E45" s="2" t="inlineStr">
        <is>
          <t>Cái</t>
        </is>
      </c>
      <c r="F45" s="2" t="n">
        <v>0.3</v>
      </c>
      <c r="G45" s="2" t="n">
        <v>350000</v>
      </c>
      <c r="H45" s="2" t="inlineStr"/>
      <c r="I45" s="2" t="n">
        <v>2917</v>
      </c>
      <c r="J45" s="2">
        <f>ROUND(F45*I45, 0)</f>
        <v/>
      </c>
    </row>
    <row r="46">
      <c r="A46" s="3" t="n">
        <v>42</v>
      </c>
      <c r="B46" s="3" t="inlineStr">
        <is>
          <t>DC_042</t>
        </is>
      </c>
      <c r="C46" s="3" t="inlineStr">
        <is>
          <t>Chai đựng hóa chất</t>
        </is>
      </c>
      <c r="D46" s="3" t="inlineStr">
        <is>
          <t>Dụng cụ BHLĐ</t>
        </is>
      </c>
      <c r="E46" s="3" t="inlineStr">
        <is>
          <t>cái</t>
        </is>
      </c>
      <c r="F46" s="3" t="n">
        <v>11.1667</v>
      </c>
      <c r="G46" s="3" t="n">
        <v>350000</v>
      </c>
      <c r="H46" s="3" t="inlineStr"/>
      <c r="I46" s="3" t="n">
        <v>2917</v>
      </c>
      <c r="J46" s="3">
        <f>ROUND(F46*I46, 0)</f>
        <v/>
      </c>
    </row>
    <row r="47">
      <c r="A47" s="2" t="n">
        <v>43</v>
      </c>
      <c r="B47" s="2" t="inlineStr">
        <is>
          <t>DC_043</t>
        </is>
      </c>
      <c r="C47" s="2" t="inlineStr">
        <is>
          <t>Chai đựng hóa chất</t>
        </is>
      </c>
      <c r="D47" s="2" t="inlineStr">
        <is>
          <t>Dụng cụ BHLĐ</t>
        </is>
      </c>
      <c r="E47" s="2" t="inlineStr">
        <is>
          <t>Cái</t>
        </is>
      </c>
      <c r="F47" s="2" t="n">
        <v>0.3333</v>
      </c>
      <c r="G47" s="2" t="n">
        <v>350000</v>
      </c>
      <c r="H47" s="2" t="inlineStr"/>
      <c r="I47" s="2" t="n">
        <v>2917</v>
      </c>
      <c r="J47" s="2">
        <f>ROUND(F47*I47, 0)</f>
        <v/>
      </c>
    </row>
    <row r="48">
      <c r="A48" s="3" t="n">
        <v>44</v>
      </c>
      <c r="B48" s="3" t="inlineStr">
        <is>
          <t>DC_044</t>
        </is>
      </c>
      <c r="C48" s="3" t="inlineStr">
        <is>
          <t>Chai đựng mẫu</t>
        </is>
      </c>
      <c r="D48" s="3" t="inlineStr">
        <is>
          <t>Dụng cụ BHLĐ</t>
        </is>
      </c>
      <c r="E48" s="3" t="inlineStr">
        <is>
          <t>cái</t>
        </is>
      </c>
      <c r="F48" s="3" t="n">
        <v>7.8417</v>
      </c>
      <c r="G48" s="3" t="n">
        <v>350000</v>
      </c>
      <c r="H48" s="3" t="inlineStr"/>
      <c r="I48" s="3" t="n">
        <v>2917</v>
      </c>
      <c r="J48" s="3">
        <f>ROUND(F48*I48, 0)</f>
        <v/>
      </c>
    </row>
    <row r="49">
      <c r="A49" s="2" t="n">
        <v>45</v>
      </c>
      <c r="B49" s="2" t="inlineStr">
        <is>
          <t>DC_045</t>
        </is>
      </c>
      <c r="C49" s="2" t="inlineStr">
        <is>
          <t>Chai đựng mẫu</t>
        </is>
      </c>
      <c r="D49" s="2" t="inlineStr">
        <is>
          <t>Dụng cụ BHLĐ</t>
        </is>
      </c>
      <c r="E49" s="2" t="inlineStr">
        <is>
          <t>cái</t>
        </is>
      </c>
      <c r="F49" s="2" t="n">
        <v>0.2</v>
      </c>
      <c r="G49" s="2" t="n">
        <v>350000</v>
      </c>
      <c r="H49" s="2" t="inlineStr"/>
      <c r="I49" s="2" t="n">
        <v>2917</v>
      </c>
      <c r="J49" s="2">
        <f>ROUND(F49*I49, 0)</f>
        <v/>
      </c>
    </row>
    <row r="50">
      <c r="A50" s="3" t="n">
        <v>46</v>
      </c>
      <c r="B50" s="3" t="inlineStr">
        <is>
          <t>DC_046</t>
        </is>
      </c>
      <c r="C50" s="3" t="inlineStr">
        <is>
          <t>Chai đựng mẫu</t>
        </is>
      </c>
      <c r="D50" s="3" t="inlineStr">
        <is>
          <t>Dụng cụ BHLĐ</t>
        </is>
      </c>
      <c r="E50" s="3" t="inlineStr">
        <is>
          <t>cai</t>
        </is>
      </c>
      <c r="F50" s="3" t="n">
        <v>0.2</v>
      </c>
      <c r="G50" s="3" t="n">
        <v>350000</v>
      </c>
      <c r="H50" s="3" t="inlineStr"/>
      <c r="I50" s="3" t="n">
        <v>2917</v>
      </c>
      <c r="J50" s="3">
        <f>ROUND(F50*I50, 0)</f>
        <v/>
      </c>
    </row>
    <row r="51">
      <c r="A51" s="2" t="n">
        <v>47</v>
      </c>
      <c r="B51" s="2" t="inlineStr">
        <is>
          <t>DC_047</t>
        </is>
      </c>
      <c r="C51" s="2" t="inlineStr">
        <is>
          <t>Chai đựng mẫu vi sinh</t>
        </is>
      </c>
      <c r="D51" s="2" t="inlineStr">
        <is>
          <t>Dụng cụ BHLĐ</t>
        </is>
      </c>
      <c r="E51" s="2" t="inlineStr">
        <is>
          <t>cái</t>
        </is>
      </c>
      <c r="F51" s="2" t="n">
        <v>0.2333</v>
      </c>
      <c r="G51" s="2" t="n">
        <v>350000</v>
      </c>
      <c r="H51" s="2" t="inlineStr"/>
      <c r="I51" s="2" t="n">
        <v>2917</v>
      </c>
      <c r="J51" s="2">
        <f>ROUND(F51*I51, 0)</f>
        <v/>
      </c>
    </row>
    <row r="52">
      <c r="A52" s="3" t="n">
        <v>48</v>
      </c>
      <c r="B52" s="3" t="inlineStr">
        <is>
          <t>DC_048</t>
        </is>
      </c>
      <c r="C52" s="3" t="inlineStr">
        <is>
          <t>Chụp đầu đo</t>
        </is>
      </c>
      <c r="D52" s="3" t="inlineStr">
        <is>
          <t>Dụng cụ BHLĐ</t>
        </is>
      </c>
      <c r="E52" s="3" t="inlineStr">
        <is>
          <t>cái</t>
        </is>
      </c>
      <c r="F52" s="3" t="n">
        <v>0.3333</v>
      </c>
      <c r="G52" s="3" t="n">
        <v>350000</v>
      </c>
      <c r="H52" s="3" t="inlineStr"/>
      <c r="I52" s="3" t="n">
        <v>5833</v>
      </c>
      <c r="J52" s="3">
        <f>ROUND(F52*I52, 0)</f>
        <v/>
      </c>
    </row>
    <row r="53">
      <c r="A53" s="2" t="n">
        <v>49</v>
      </c>
      <c r="B53" s="2" t="inlineStr">
        <is>
          <t>DC_049</t>
        </is>
      </c>
      <c r="C53" s="2" t="inlineStr">
        <is>
          <t>Cuvet 1cm</t>
        </is>
      </c>
      <c r="D53" s="2" t="inlineStr">
        <is>
          <t>Dụng cụ BHLĐ</t>
        </is>
      </c>
      <c r="E53" s="2" t="inlineStr">
        <is>
          <t>cái</t>
        </is>
      </c>
      <c r="F53" s="2" t="n">
        <v>0.85</v>
      </c>
      <c r="G53" s="2" t="n">
        <v>350000</v>
      </c>
      <c r="H53" s="2" t="inlineStr"/>
      <c r="I53" s="2" t="n">
        <v>1458</v>
      </c>
      <c r="J53" s="2">
        <f>ROUND(F53*I53, 0)</f>
        <v/>
      </c>
    </row>
    <row r="54">
      <c r="A54" s="3" t="n">
        <v>50</v>
      </c>
      <c r="B54" s="3" t="inlineStr">
        <is>
          <t>DC_050</t>
        </is>
      </c>
      <c r="C54" s="3" t="inlineStr">
        <is>
          <t>Cuvet Graphit</t>
        </is>
      </c>
      <c r="D54" s="3" t="inlineStr">
        <is>
          <t>Dụng cụ BHLĐ</t>
        </is>
      </c>
      <c r="E54" s="3" t="inlineStr">
        <is>
          <t>cái</t>
        </is>
      </c>
      <c r="F54" s="3" t="n">
        <v>3.6</v>
      </c>
      <c r="G54" s="3" t="n">
        <v>350000</v>
      </c>
      <c r="H54" s="3" t="inlineStr"/>
      <c r="I54" s="3" t="n">
        <v>17500</v>
      </c>
      <c r="J54" s="3">
        <f>ROUND(F54*I54, 0)</f>
        <v/>
      </c>
    </row>
    <row r="55">
      <c r="A55" s="2" t="n">
        <v>51</v>
      </c>
      <c r="B55" s="2" t="inlineStr">
        <is>
          <t>DC_051</t>
        </is>
      </c>
      <c r="C55" s="2" t="inlineStr">
        <is>
          <t>Cuvet thạch anh cho FIAS</t>
        </is>
      </c>
      <c r="D55" s="2" t="inlineStr">
        <is>
          <t>Dụng cụ BHLĐ</t>
        </is>
      </c>
      <c r="E55" s="2" t="inlineStr">
        <is>
          <t>cái</t>
        </is>
      </c>
      <c r="F55" s="2" t="n">
        <v>0.3</v>
      </c>
      <c r="G55" s="2" t="n">
        <v>350000</v>
      </c>
      <c r="H55" s="2" t="inlineStr"/>
      <c r="I55" s="2" t="n">
        <v>1458</v>
      </c>
      <c r="J55" s="2">
        <f>ROUND(F55*I55, 0)</f>
        <v/>
      </c>
    </row>
    <row r="56">
      <c r="A56" s="3" t="n">
        <v>52</v>
      </c>
      <c r="B56" s="3" t="inlineStr">
        <is>
          <t>DC_052</t>
        </is>
      </c>
      <c r="C56" s="3" t="inlineStr">
        <is>
          <t>Cái lọc</t>
        </is>
      </c>
      <c r="D56" s="3" t="inlineStr">
        <is>
          <t>Dụng cụ BHLĐ</t>
        </is>
      </c>
      <c r="E56" s="3" t="inlineStr">
        <is>
          <t>cái</t>
        </is>
      </c>
      <c r="F56" s="3" t="n">
        <v>2</v>
      </c>
      <c r="G56" s="3" t="n">
        <v>350000</v>
      </c>
      <c r="H56" s="3" t="inlineStr"/>
      <c r="I56" s="3" t="n">
        <v>17500</v>
      </c>
      <c r="J56" s="3">
        <f>ROUND(F56*I56, 0)</f>
        <v/>
      </c>
    </row>
    <row r="57">
      <c r="A57" s="2" t="n">
        <v>53</v>
      </c>
      <c r="B57" s="2" t="inlineStr">
        <is>
          <t>DC_053</t>
        </is>
      </c>
      <c r="C57" s="2" t="inlineStr">
        <is>
          <t>Công tác phân tích độ rung trong phòng thí nghiệm (2ĐR)</t>
        </is>
      </c>
      <c r="D57" s="2" t="inlineStr">
        <is>
          <t>Dụng cụ BHLĐ</t>
        </is>
      </c>
      <c r="E57" s="2" t="inlineStr"/>
      <c r="F57" s="2" t="n">
        <v>0.0833</v>
      </c>
      <c r="G57" s="2" t="n">
        <v>350000</v>
      </c>
      <c r="H57" s="2" t="inlineStr"/>
      <c r="I57" s="2" t="n">
        <v>1458</v>
      </c>
      <c r="J57" s="2">
        <f>ROUND(F57*I57, 0)</f>
        <v/>
      </c>
    </row>
    <row r="58">
      <c r="A58" s="3" t="n">
        <v>54</v>
      </c>
      <c r="B58" s="3" t="inlineStr">
        <is>
          <t>DC_054</t>
        </is>
      </c>
      <c r="C58" s="3" t="inlineStr">
        <is>
          <t>Cốc cân</t>
        </is>
      </c>
      <c r="D58" s="3" t="inlineStr">
        <is>
          <t>Dụng cụ BHLĐ</t>
        </is>
      </c>
      <c r="E58" s="3" t="inlineStr">
        <is>
          <t>cái</t>
        </is>
      </c>
      <c r="F58" s="3" t="n">
        <v>0.2333</v>
      </c>
      <c r="G58" s="3" t="n">
        <v>180000</v>
      </c>
      <c r="H58" s="3" t="inlineStr"/>
      <c r="I58" s="3" t="n">
        <v>1500</v>
      </c>
      <c r="J58" s="3">
        <f>ROUND(F58*I58, 0)</f>
        <v/>
      </c>
    </row>
    <row r="59">
      <c r="A59" s="2" t="n">
        <v>55</v>
      </c>
      <c r="B59" s="2" t="inlineStr">
        <is>
          <t>DC_055</t>
        </is>
      </c>
      <c r="C59" s="2" t="inlineStr">
        <is>
          <t>Cốc thủy tinh</t>
        </is>
      </c>
      <c r="D59" s="2" t="inlineStr">
        <is>
          <t>Dụng cụ BHLĐ</t>
        </is>
      </c>
      <c r="E59" s="2" t="inlineStr">
        <is>
          <t>cái</t>
        </is>
      </c>
      <c r="F59" s="2" t="n">
        <v>1.3</v>
      </c>
      <c r="G59" s="2" t="n">
        <v>180000</v>
      </c>
      <c r="H59" s="2" t="inlineStr"/>
      <c r="I59" s="2" t="n">
        <v>1500</v>
      </c>
      <c r="J59" s="2">
        <f>ROUND(F59*I59, 0)</f>
        <v/>
      </c>
    </row>
    <row r="60">
      <c r="A60" s="3" t="n">
        <v>56</v>
      </c>
      <c r="B60" s="3" t="inlineStr">
        <is>
          <t>DC_056</t>
        </is>
      </c>
      <c r="C60" s="3" t="inlineStr">
        <is>
          <t>Cốc thủy tinh 250ml</t>
        </is>
      </c>
      <c r="D60" s="3" t="inlineStr">
        <is>
          <t>Dụng cụ BHLĐ</t>
        </is>
      </c>
      <c r="E60" s="3" t="inlineStr">
        <is>
          <t>cái</t>
        </is>
      </c>
      <c r="F60" s="3" t="n">
        <v>4.4667</v>
      </c>
      <c r="G60" s="3" t="n">
        <v>180000</v>
      </c>
      <c r="H60" s="3" t="inlineStr"/>
      <c r="I60" s="3" t="n">
        <v>1500</v>
      </c>
      <c r="J60" s="3">
        <f>ROUND(F60*I60, 0)</f>
        <v/>
      </c>
    </row>
    <row r="61">
      <c r="A61" s="2" t="n">
        <v>57</v>
      </c>
      <c r="B61" s="2" t="inlineStr">
        <is>
          <t>DC_057</t>
        </is>
      </c>
      <c r="C61" s="2" t="inlineStr">
        <is>
          <t>Cốc đo</t>
        </is>
      </c>
      <c r="D61" s="2" t="inlineStr">
        <is>
          <t>Dụng cụ BHLĐ</t>
        </is>
      </c>
      <c r="E61" s="2" t="inlineStr">
        <is>
          <t>cái</t>
        </is>
      </c>
      <c r="F61" s="2" t="n">
        <v>1.9667</v>
      </c>
      <c r="G61" s="2" t="n">
        <v>180000</v>
      </c>
      <c r="H61" s="2" t="inlineStr"/>
      <c r="I61" s="2" t="n">
        <v>3000</v>
      </c>
      <c r="J61" s="2">
        <f>ROUND(F61*I61, 0)</f>
        <v/>
      </c>
    </row>
    <row r="62">
      <c r="A62" s="3" t="n">
        <v>58</v>
      </c>
      <c r="B62" s="3" t="inlineStr">
        <is>
          <t>DC_058</t>
        </is>
      </c>
      <c r="C62" s="3" t="inlineStr">
        <is>
          <t>Cột sắc ký</t>
        </is>
      </c>
      <c r="D62" s="3" t="inlineStr">
        <is>
          <t>Dụng cụ BHLĐ</t>
        </is>
      </c>
      <c r="E62" s="3" t="inlineStr">
        <is>
          <t>cái</t>
        </is>
      </c>
      <c r="F62" s="3" t="n">
        <v>0.0833</v>
      </c>
      <c r="G62" s="3" t="n">
        <v>350000</v>
      </c>
      <c r="H62" s="3" t="inlineStr"/>
      <c r="I62" s="3" t="n">
        <v>1458</v>
      </c>
      <c r="J62" s="3">
        <f>ROUND(F62*I62, 0)</f>
        <v/>
      </c>
    </row>
    <row r="63">
      <c r="A63" s="2" t="n">
        <v>59</v>
      </c>
      <c r="B63" s="2" t="inlineStr">
        <is>
          <t>DC_059</t>
        </is>
      </c>
      <c r="C63" s="2" t="inlineStr">
        <is>
          <t>Cột tách mao quản</t>
        </is>
      </c>
      <c r="D63" s="2" t="inlineStr">
        <is>
          <t>Dụng cụ BHLĐ</t>
        </is>
      </c>
      <c r="E63" s="2" t="inlineStr">
        <is>
          <t>cái</t>
        </is>
      </c>
      <c r="F63" s="2" t="n">
        <v>0.0833</v>
      </c>
      <c r="G63" s="2" t="n">
        <v>350000</v>
      </c>
      <c r="H63" s="2" t="inlineStr"/>
      <c r="I63" s="2" t="n">
        <v>1458</v>
      </c>
      <c r="J63" s="2">
        <f>ROUND(F63*I63, 0)</f>
        <v/>
      </c>
    </row>
    <row r="64">
      <c r="A64" s="3" t="n">
        <v>60</v>
      </c>
      <c r="B64" s="3" t="inlineStr">
        <is>
          <t>DC_060</t>
        </is>
      </c>
      <c r="C64" s="3" t="inlineStr">
        <is>
          <t>Dây nối</t>
        </is>
      </c>
      <c r="D64" s="3" t="inlineStr">
        <is>
          <t>Dụng cụ BHLĐ</t>
        </is>
      </c>
      <c r="E64" s="3" t="inlineStr">
        <is>
          <t>cái</t>
        </is>
      </c>
      <c r="F64" s="3" t="n">
        <v>0.05</v>
      </c>
      <c r="G64" s="3" t="n">
        <v>350000</v>
      </c>
      <c r="H64" s="3" t="inlineStr"/>
      <c r="I64" s="3" t="n">
        <v>1458</v>
      </c>
      <c r="J64" s="3">
        <f>ROUND(F64*I64, 0)</f>
        <v/>
      </c>
    </row>
    <row r="65">
      <c r="A65" s="2" t="n">
        <v>61</v>
      </c>
      <c r="B65" s="2" t="inlineStr">
        <is>
          <t>DC_061</t>
        </is>
      </c>
      <c r="C65" s="2" t="inlineStr">
        <is>
          <t>Dây điện đôi dài 50m</t>
        </is>
      </c>
      <c r="D65" s="2" t="inlineStr">
        <is>
          <t>Dụng cụ BHLĐ</t>
        </is>
      </c>
      <c r="E65" s="2" t="inlineStr">
        <is>
          <t>dây</t>
        </is>
      </c>
      <c r="F65" s="2" t="n">
        <v>0.1389</v>
      </c>
      <c r="G65" s="2" t="n">
        <v>350000</v>
      </c>
      <c r="H65" s="2" t="inlineStr"/>
      <c r="I65" s="2" t="n">
        <v>486</v>
      </c>
      <c r="J65" s="2">
        <f>ROUND(F65*I65, 0)</f>
        <v/>
      </c>
    </row>
    <row r="66">
      <c r="A66" s="3" t="n">
        <v>62</v>
      </c>
      <c r="B66" s="3" t="inlineStr">
        <is>
          <t>DC_062</t>
        </is>
      </c>
      <c r="C66" s="3" t="inlineStr">
        <is>
          <t>Ghế tựa</t>
        </is>
      </c>
      <c r="D66" s="3" t="inlineStr">
        <is>
          <t>Dụng cụ BHLĐ</t>
        </is>
      </c>
      <c r="E66" s="3" t="inlineStr">
        <is>
          <t>cái</t>
        </is>
      </c>
      <c r="F66" s="3" t="n">
        <v>0.5722</v>
      </c>
      <c r="G66" s="3" t="n">
        <v>350000</v>
      </c>
      <c r="H66" s="3" t="inlineStr"/>
      <c r="I66" s="3" t="n">
        <v>243</v>
      </c>
      <c r="J66" s="3">
        <f>ROUND(F66*I66, 0)</f>
        <v/>
      </c>
    </row>
    <row r="67">
      <c r="A67" s="2" t="n">
        <v>63</v>
      </c>
      <c r="B67" s="2" t="inlineStr">
        <is>
          <t>DC_063</t>
        </is>
      </c>
      <c r="C67" s="2" t="inlineStr">
        <is>
          <t>Ghế tựa</t>
        </is>
      </c>
      <c r="D67" s="2" t="inlineStr">
        <is>
          <t>Dụng cụ BHLĐ</t>
        </is>
      </c>
      <c r="E67" s="2" t="inlineStr">
        <is>
          <t>Cái</t>
        </is>
      </c>
      <c r="F67" s="2" t="n">
        <v>0.025</v>
      </c>
      <c r="G67" s="2" t="n">
        <v>350000</v>
      </c>
      <c r="H67" s="2" t="inlineStr"/>
      <c r="I67" s="2" t="n">
        <v>243</v>
      </c>
      <c r="J67" s="2">
        <f>ROUND(F67*I67, 0)</f>
        <v/>
      </c>
    </row>
    <row r="68">
      <c r="A68" s="3" t="n">
        <v>64</v>
      </c>
      <c r="B68" s="3" t="inlineStr">
        <is>
          <t>DC_064</t>
        </is>
      </c>
      <c r="C68" s="3" t="inlineStr">
        <is>
          <t>Ghế tựa</t>
        </is>
      </c>
      <c r="D68" s="3" t="inlineStr">
        <is>
          <t>Dụng cụ BHLĐ</t>
        </is>
      </c>
      <c r="E68" s="3" t="inlineStr">
        <is>
          <t>bộ</t>
        </is>
      </c>
      <c r="F68" s="3" t="n">
        <v>0.0083</v>
      </c>
      <c r="G68" s="3" t="n">
        <v>350000</v>
      </c>
      <c r="H68" s="3" t="inlineStr"/>
      <c r="I68" s="3" t="n">
        <v>243</v>
      </c>
      <c r="J68" s="3">
        <f>ROUND(F68*I68, 0)</f>
        <v/>
      </c>
    </row>
    <row r="69">
      <c r="A69" s="2" t="n">
        <v>65</v>
      </c>
      <c r="B69" s="2" t="inlineStr">
        <is>
          <t>DC_065</t>
        </is>
      </c>
      <c r="C69" s="2" t="inlineStr">
        <is>
          <t>Gim bấm</t>
        </is>
      </c>
      <c r="D69" s="2" t="inlineStr">
        <is>
          <t>Dụng cụ BHLĐ</t>
        </is>
      </c>
      <c r="E69" s="2" t="inlineStr">
        <is>
          <t>hộp</t>
        </is>
      </c>
      <c r="F69" s="2" t="n">
        <v>2</v>
      </c>
      <c r="G69" s="2" t="n">
        <v>350000</v>
      </c>
      <c r="H69" s="2" t="inlineStr"/>
      <c r="I69" s="2" t="n">
        <v>17500</v>
      </c>
      <c r="J69" s="2">
        <f>ROUND(F69*I69, 0)</f>
        <v/>
      </c>
    </row>
    <row r="70">
      <c r="A70" s="3" t="n">
        <v>66</v>
      </c>
      <c r="B70" s="3" t="inlineStr">
        <is>
          <t>DC_066</t>
        </is>
      </c>
      <c r="C70" s="3" t="inlineStr">
        <is>
          <t>Gim bấm</t>
        </is>
      </c>
      <c r="D70" s="3" t="inlineStr">
        <is>
          <t>Dụng cụ BHLĐ</t>
        </is>
      </c>
      <c r="E70" s="3" t="inlineStr">
        <is>
          <t>bộ</t>
        </is>
      </c>
      <c r="F70" s="3" t="n">
        <v>0.6</v>
      </c>
      <c r="G70" s="3" t="n">
        <v>350000</v>
      </c>
      <c r="H70" s="3" t="inlineStr"/>
      <c r="I70" s="3" t="n">
        <v>17500</v>
      </c>
      <c r="J70" s="3">
        <f>ROUND(F70*I70, 0)</f>
        <v/>
      </c>
    </row>
    <row r="71">
      <c r="A71" s="2" t="n">
        <v>67</v>
      </c>
      <c r="B71" s="2" t="inlineStr">
        <is>
          <t>DC_067</t>
        </is>
      </c>
      <c r="C71" s="2" t="inlineStr">
        <is>
          <t>Gim kẹp giấy</t>
        </is>
      </c>
      <c r="D71" s="2" t="inlineStr">
        <is>
          <t>Dụng cụ BHLĐ</t>
        </is>
      </c>
      <c r="E71" s="2" t="inlineStr">
        <is>
          <t>hộp</t>
        </is>
      </c>
      <c r="F71" s="2" t="n">
        <v>2</v>
      </c>
      <c r="G71" s="2" t="n">
        <v>350000</v>
      </c>
      <c r="H71" s="2" t="inlineStr"/>
      <c r="I71" s="2" t="n">
        <v>17500</v>
      </c>
      <c r="J71" s="2">
        <f>ROUND(F71*I71, 0)</f>
        <v/>
      </c>
    </row>
    <row r="72">
      <c r="A72" s="3" t="n">
        <v>68</v>
      </c>
      <c r="B72" s="3" t="inlineStr">
        <is>
          <t>DC_068</t>
        </is>
      </c>
      <c r="C72" s="3" t="inlineStr">
        <is>
          <t>Gim kẹp giấy</t>
        </is>
      </c>
      <c r="D72" s="3" t="inlineStr">
        <is>
          <t>Dụng cụ BHLĐ</t>
        </is>
      </c>
      <c r="E72" s="3" t="inlineStr">
        <is>
          <t>Hộp</t>
        </is>
      </c>
      <c r="F72" s="3" t="n">
        <v>0.6</v>
      </c>
      <c r="G72" s="3" t="n">
        <v>350000</v>
      </c>
      <c r="H72" s="3" t="inlineStr"/>
      <c r="I72" s="3" t="n">
        <v>17500</v>
      </c>
      <c r="J72" s="3">
        <f>ROUND(F72*I72, 0)</f>
        <v/>
      </c>
    </row>
    <row r="73">
      <c r="A73" s="2" t="n">
        <v>69</v>
      </c>
      <c r="B73" s="2" t="inlineStr">
        <is>
          <t>DC_069</t>
        </is>
      </c>
      <c r="C73" s="2" t="inlineStr">
        <is>
          <t>Giầy BHLĐ</t>
        </is>
      </c>
      <c r="D73" s="2" t="inlineStr">
        <is>
          <t>Dụng cụ BHLĐ</t>
        </is>
      </c>
      <c r="E73" s="2" t="inlineStr">
        <is>
          <t>đôi</t>
        </is>
      </c>
      <c r="F73" s="2" t="n">
        <v>7.8167</v>
      </c>
      <c r="G73" s="2" t="n">
        <v>350000</v>
      </c>
      <c r="H73" s="2" t="inlineStr"/>
      <c r="I73" s="2" t="n">
        <v>1458</v>
      </c>
      <c r="J73" s="2">
        <f>ROUND(F73*I73, 0)</f>
        <v/>
      </c>
    </row>
    <row r="74">
      <c r="A74" s="3" t="n">
        <v>70</v>
      </c>
      <c r="B74" s="3" t="inlineStr">
        <is>
          <t>DC_070</t>
        </is>
      </c>
      <c r="C74" s="3" t="inlineStr">
        <is>
          <t>Giầy BHLĐ</t>
        </is>
      </c>
      <c r="D74" s="3" t="inlineStr">
        <is>
          <t>Dụng cụ BHLĐ</t>
        </is>
      </c>
      <c r="E74" s="3" t="inlineStr">
        <is>
          <t>Đôi</t>
        </is>
      </c>
      <c r="F74" s="3" t="n">
        <v>0.4</v>
      </c>
      <c r="G74" s="3" t="n">
        <v>350000</v>
      </c>
      <c r="H74" s="3" t="inlineStr"/>
      <c r="I74" s="3" t="n">
        <v>1458</v>
      </c>
      <c r="J74" s="3">
        <f>ROUND(F74*I74, 0)</f>
        <v/>
      </c>
    </row>
    <row r="75">
      <c r="A75" s="2" t="n">
        <v>71</v>
      </c>
      <c r="B75" s="2" t="inlineStr">
        <is>
          <t>DC_071</t>
        </is>
      </c>
      <c r="C75" s="2" t="inlineStr">
        <is>
          <t>Găng tay chống nóng</t>
        </is>
      </c>
      <c r="D75" s="2" t="inlineStr">
        <is>
          <t>Dụng cụ BHLĐ</t>
        </is>
      </c>
      <c r="E75" s="2" t="inlineStr">
        <is>
          <t>đôi</t>
        </is>
      </c>
      <c r="F75" s="2" t="n">
        <v>1.5333</v>
      </c>
      <c r="G75" s="2" t="n">
        <v>180000</v>
      </c>
      <c r="H75" s="2" t="inlineStr"/>
      <c r="I75" s="2" t="n">
        <v>3000</v>
      </c>
      <c r="J75" s="2">
        <f>ROUND(F75*I75, 0)</f>
        <v/>
      </c>
    </row>
    <row r="76">
      <c r="A76" s="3" t="n">
        <v>72</v>
      </c>
      <c r="B76" s="3" t="inlineStr">
        <is>
          <t>DC_072</t>
        </is>
      </c>
      <c r="C76" s="3" t="inlineStr">
        <is>
          <t>Găng tay y tế</t>
        </is>
      </c>
      <c r="D76" s="3" t="inlineStr">
        <is>
          <t>Dụng cụ BHLĐ</t>
        </is>
      </c>
      <c r="E76" s="3" t="inlineStr">
        <is>
          <t>hộp</t>
        </is>
      </c>
      <c r="F76" s="3" t="n">
        <v>282</v>
      </c>
      <c r="G76" s="3" t="n">
        <v>350000</v>
      </c>
      <c r="H76" s="3" t="inlineStr"/>
      <c r="I76" s="3" t="n">
        <v>58333</v>
      </c>
      <c r="J76" s="3">
        <f>ROUND(F76*I76, 0)</f>
        <v/>
      </c>
    </row>
    <row r="77">
      <c r="A77" s="2" t="n">
        <v>73</v>
      </c>
      <c r="B77" s="2" t="inlineStr">
        <is>
          <t>DC_073</t>
        </is>
      </c>
      <c r="C77" s="2" t="inlineStr">
        <is>
          <t>Hệ thống làm mát</t>
        </is>
      </c>
      <c r="D77" s="2" t="inlineStr">
        <is>
          <t>Dụng cụ BHLĐ</t>
        </is>
      </c>
      <c r="E77" s="2" t="inlineStr">
        <is>
          <t>bộ</t>
        </is>
      </c>
      <c r="F77" s="2" t="n">
        <v>0.0333</v>
      </c>
      <c r="G77" s="2" t="n">
        <v>180000</v>
      </c>
      <c r="H77" s="2" t="inlineStr"/>
      <c r="I77" s="2" t="n">
        <v>500</v>
      </c>
      <c r="J77" s="2">
        <f>ROUND(F77*I77, 0)</f>
        <v/>
      </c>
    </row>
    <row r="78">
      <c r="A78" s="3" t="n">
        <v>74</v>
      </c>
      <c r="B78" s="3" t="inlineStr">
        <is>
          <t>DC_074</t>
        </is>
      </c>
      <c r="C78" s="3" t="inlineStr">
        <is>
          <t>Hộp gia nhiệt</t>
        </is>
      </c>
      <c r="D78" s="3" t="inlineStr">
        <is>
          <t>Dụng cụ BHLĐ</t>
        </is>
      </c>
      <c r="E78" s="3" t="inlineStr">
        <is>
          <t>hộp</t>
        </is>
      </c>
      <c r="F78" s="3" t="n">
        <v>0.0333</v>
      </c>
      <c r="G78" s="3" t="n">
        <v>350000</v>
      </c>
      <c r="H78" s="3" t="inlineStr"/>
      <c r="I78" s="3" t="n">
        <v>972</v>
      </c>
      <c r="J78" s="3">
        <f>ROUND(F78*I78, 0)</f>
        <v/>
      </c>
    </row>
    <row r="79">
      <c r="A79" s="2" t="n">
        <v>75</v>
      </c>
      <c r="B79" s="2" t="inlineStr">
        <is>
          <t>DC_075</t>
        </is>
      </c>
      <c r="C79" s="2" t="inlineStr">
        <is>
          <t>Hộp đựng mẫu</t>
        </is>
      </c>
      <c r="D79" s="2" t="inlineStr">
        <is>
          <t>Dụng cụ BHLĐ</t>
        </is>
      </c>
      <c r="E79" s="2" t="inlineStr">
        <is>
          <t>chiếc</t>
        </is>
      </c>
      <c r="F79" s="2" t="n">
        <v>4.8</v>
      </c>
      <c r="G79" s="2" t="n">
        <v>350000</v>
      </c>
      <c r="H79" s="2" t="inlineStr"/>
      <c r="I79" s="2" t="n">
        <v>17500</v>
      </c>
      <c r="J79" s="2">
        <f>ROUND(F79*I79, 0)</f>
        <v/>
      </c>
    </row>
    <row r="80">
      <c r="A80" s="3" t="n">
        <v>76</v>
      </c>
      <c r="B80" s="3" t="inlineStr">
        <is>
          <t>DC_076</t>
        </is>
      </c>
      <c r="C80" s="3" t="inlineStr">
        <is>
          <t>Hộp đựng mẫu</t>
        </is>
      </c>
      <c r="D80" s="3" t="inlineStr">
        <is>
          <t>Dụng cụ BHLĐ</t>
        </is>
      </c>
      <c r="E80" s="3" t="inlineStr">
        <is>
          <t>cái</t>
        </is>
      </c>
      <c r="F80" s="3" t="n">
        <v>2</v>
      </c>
      <c r="G80" s="3" t="n">
        <v>350000</v>
      </c>
      <c r="H80" s="3" t="inlineStr"/>
      <c r="I80" s="3" t="n">
        <v>17500</v>
      </c>
      <c r="J80" s="3">
        <f>ROUND(F80*I80, 0)</f>
        <v/>
      </c>
    </row>
    <row r="81">
      <c r="A81" s="2" t="n">
        <v>77</v>
      </c>
      <c r="B81" s="2" t="inlineStr">
        <is>
          <t>DC_077</t>
        </is>
      </c>
      <c r="C81" s="2" t="inlineStr">
        <is>
          <t>Khẩu trang phòng độc</t>
        </is>
      </c>
      <c r="D81" s="2" t="inlineStr">
        <is>
          <t>Dụng cụ BHLĐ</t>
        </is>
      </c>
      <c r="E81" s="2" t="inlineStr">
        <is>
          <t>đôi</t>
        </is>
      </c>
      <c r="F81" s="2" t="n">
        <v>1.5333</v>
      </c>
      <c r="G81" s="2" t="n">
        <v>350000</v>
      </c>
      <c r="H81" s="2" t="inlineStr"/>
      <c r="I81" s="2" t="n">
        <v>5833</v>
      </c>
      <c r="J81" s="2">
        <f>ROUND(F81*I81, 0)</f>
        <v/>
      </c>
    </row>
    <row r="82">
      <c r="A82" s="3" t="n">
        <v>78</v>
      </c>
      <c r="B82" s="3" t="inlineStr">
        <is>
          <t>DC_078</t>
        </is>
      </c>
      <c r="C82" s="3" t="inlineStr">
        <is>
          <t>Khẩu trang y tế</t>
        </is>
      </c>
      <c r="D82" s="3" t="inlineStr">
        <is>
          <t>Dụng cụ BHLĐ</t>
        </is>
      </c>
      <c r="E82" s="3" t="inlineStr">
        <is>
          <t>hộp</t>
        </is>
      </c>
      <c r="F82" s="3" t="n">
        <v>272.6667</v>
      </c>
      <c r="G82" s="3" t="n">
        <v>350000</v>
      </c>
      <c r="H82" s="3" t="inlineStr"/>
      <c r="I82" s="3" t="n">
        <v>58333</v>
      </c>
      <c r="J82" s="3">
        <f>ROUND(F82*I82, 0)</f>
        <v/>
      </c>
    </row>
    <row r="83">
      <c r="A83" s="2" t="n">
        <v>79</v>
      </c>
      <c r="B83" s="2" t="inlineStr">
        <is>
          <t>DC_079</t>
        </is>
      </c>
      <c r="C83" s="2" t="inlineStr">
        <is>
          <t>Kết nối đầu đo</t>
        </is>
      </c>
      <c r="D83" s="2" t="inlineStr">
        <is>
          <t>Dụng cụ BHLĐ</t>
        </is>
      </c>
      <c r="E83" s="2" t="inlineStr">
        <is>
          <t>cái</t>
        </is>
      </c>
      <c r="F83" s="2" t="n">
        <v>0.3333</v>
      </c>
      <c r="G83" s="2" t="n">
        <v>350000</v>
      </c>
      <c r="H83" s="2" t="inlineStr"/>
      <c r="I83" s="2" t="n">
        <v>5833</v>
      </c>
      <c r="J83" s="2">
        <f>ROUND(F83*I83, 0)</f>
        <v/>
      </c>
    </row>
    <row r="84">
      <c r="A84" s="3" t="n">
        <v>80</v>
      </c>
      <c r="B84" s="3" t="inlineStr">
        <is>
          <t>DC_080</t>
        </is>
      </c>
      <c r="C84" s="3" t="inlineStr">
        <is>
          <t>Micropipet 10ml</t>
        </is>
      </c>
      <c r="D84" s="3" t="inlineStr">
        <is>
          <t>Dụng cụ BHLĐ</t>
        </is>
      </c>
      <c r="E84" s="3" t="inlineStr">
        <is>
          <t>cái</t>
        </is>
      </c>
      <c r="F84" s="3" t="n">
        <v>0.5667</v>
      </c>
      <c r="G84" s="3" t="n">
        <v>350000</v>
      </c>
      <c r="H84" s="3" t="inlineStr"/>
      <c r="I84" s="3" t="n">
        <v>2917</v>
      </c>
      <c r="J84" s="3">
        <f>ROUND(F84*I84, 0)</f>
        <v/>
      </c>
    </row>
    <row r="85">
      <c r="A85" s="2" t="n">
        <v>81</v>
      </c>
      <c r="B85" s="2" t="inlineStr">
        <is>
          <t>DC_081</t>
        </is>
      </c>
      <c r="C85" s="2" t="inlineStr">
        <is>
          <t>Micropipet 1ml</t>
        </is>
      </c>
      <c r="D85" s="2" t="inlineStr">
        <is>
          <t>Dụng cụ BHLĐ</t>
        </is>
      </c>
      <c r="E85" s="2" t="inlineStr">
        <is>
          <t>cái</t>
        </is>
      </c>
      <c r="F85" s="2" t="n">
        <v>3.2333</v>
      </c>
      <c r="G85" s="2" t="n">
        <v>350000</v>
      </c>
      <c r="H85" s="2" t="inlineStr"/>
      <c r="I85" s="2" t="n">
        <v>2917</v>
      </c>
      <c r="J85" s="2">
        <f>ROUND(F85*I85, 0)</f>
        <v/>
      </c>
    </row>
    <row r="86">
      <c r="A86" s="3" t="n">
        <v>82</v>
      </c>
      <c r="B86" s="3" t="inlineStr">
        <is>
          <t>DC_082</t>
        </is>
      </c>
      <c r="C86" s="3" t="inlineStr">
        <is>
          <t>Micropipet 5ml</t>
        </is>
      </c>
      <c r="D86" s="3" t="inlineStr">
        <is>
          <t>Dụng cụ BHLĐ</t>
        </is>
      </c>
      <c r="E86" s="3" t="inlineStr">
        <is>
          <t>cái</t>
        </is>
      </c>
      <c r="F86" s="3" t="n">
        <v>1.6667</v>
      </c>
      <c r="G86" s="3" t="n">
        <v>350000</v>
      </c>
      <c r="H86" s="3" t="inlineStr"/>
      <c r="I86" s="3" t="n">
        <v>2917</v>
      </c>
      <c r="J86" s="3">
        <f>ROUND(F86*I86, 0)</f>
        <v/>
      </c>
    </row>
    <row r="87">
      <c r="A87" s="2" t="n">
        <v>83</v>
      </c>
      <c r="B87" s="2" t="inlineStr">
        <is>
          <t>DC_083</t>
        </is>
      </c>
      <c r="C87" s="2" t="inlineStr">
        <is>
          <t>Micropipet 5ml</t>
        </is>
      </c>
      <c r="D87" s="2" t="inlineStr">
        <is>
          <t>Dụng cụ BHLĐ</t>
        </is>
      </c>
      <c r="E87" s="2" t="inlineStr">
        <is>
          <t>Cái</t>
        </is>
      </c>
      <c r="F87" s="2" t="n">
        <v>0.2333</v>
      </c>
      <c r="G87" s="2" t="n">
        <v>350000</v>
      </c>
      <c r="H87" s="2" t="inlineStr"/>
      <c r="I87" s="2" t="n">
        <v>2917</v>
      </c>
      <c r="J87" s="2">
        <f>ROUND(F87*I87, 0)</f>
        <v/>
      </c>
    </row>
    <row r="88">
      <c r="A88" s="3" t="n">
        <v>84</v>
      </c>
      <c r="B88" s="3" t="inlineStr">
        <is>
          <t>DC_084</t>
        </is>
      </c>
      <c r="C88" s="3" t="inlineStr">
        <is>
          <t>Màng lọc cho FIAS</t>
        </is>
      </c>
      <c r="D88" s="3" t="inlineStr">
        <is>
          <t>Dụng cụ BHLĐ</t>
        </is>
      </c>
      <c r="E88" s="3" t="inlineStr">
        <is>
          <t>cái</t>
        </is>
      </c>
      <c r="F88" s="3" t="n">
        <v>1.8</v>
      </c>
      <c r="G88" s="3" t="n">
        <v>350000</v>
      </c>
      <c r="H88" s="3" t="inlineStr"/>
      <c r="I88" s="3" t="n">
        <v>8750</v>
      </c>
      <c r="J88" s="3">
        <f>ROUND(F88*I88, 0)</f>
        <v/>
      </c>
    </row>
    <row r="89">
      <c r="A89" s="2" t="n">
        <v>85</v>
      </c>
      <c r="B89" s="2" t="inlineStr">
        <is>
          <t>DC_085</t>
        </is>
      </c>
      <c r="C89" s="2" t="inlineStr">
        <is>
          <t>Máy hút bụi 2kw</t>
        </is>
      </c>
      <c r="D89" s="2" t="inlineStr">
        <is>
          <t>Dụng cụ BHLĐ</t>
        </is>
      </c>
      <c r="E89" s="2" t="inlineStr">
        <is>
          <t>cái</t>
        </is>
      </c>
      <c r="F89" s="2" t="n">
        <v>0.6967</v>
      </c>
      <c r="G89" s="2" t="n">
        <v>350000</v>
      </c>
      <c r="H89" s="2" t="inlineStr"/>
      <c r="I89" s="2" t="n">
        <v>292</v>
      </c>
      <c r="J89" s="2">
        <f>ROUND(F89*I89, 0)</f>
        <v/>
      </c>
    </row>
    <row r="90">
      <c r="A90" s="3" t="n">
        <v>86</v>
      </c>
      <c r="B90" s="3" t="inlineStr">
        <is>
          <t>DC_086</t>
        </is>
      </c>
      <c r="C90" s="3" t="inlineStr">
        <is>
          <t>Máy hút bụi 2kw</t>
        </is>
      </c>
      <c r="D90" s="3" t="inlineStr">
        <is>
          <t>Dụng cụ BHLĐ</t>
        </is>
      </c>
      <c r="E90" s="3" t="inlineStr">
        <is>
          <t>Cái</t>
        </is>
      </c>
      <c r="F90" s="3" t="n">
        <v>0.03</v>
      </c>
      <c r="G90" s="3" t="n">
        <v>350000</v>
      </c>
      <c r="H90" s="3" t="inlineStr"/>
      <c r="I90" s="3" t="n">
        <v>292</v>
      </c>
      <c r="J90" s="3">
        <f>ROUND(F90*I90, 0)</f>
        <v/>
      </c>
    </row>
    <row r="91">
      <c r="A91" s="2" t="n">
        <v>87</v>
      </c>
      <c r="B91" s="2" t="inlineStr">
        <is>
          <t>DC_087</t>
        </is>
      </c>
      <c r="C91" s="2" t="inlineStr">
        <is>
          <t>Máy hút ẩm 1,5kw</t>
        </is>
      </c>
      <c r="D91" s="2" t="inlineStr">
        <is>
          <t>Dụng cụ BHLĐ</t>
        </is>
      </c>
      <c r="E91" s="2" t="inlineStr">
        <is>
          <t>cái</t>
        </is>
      </c>
      <c r="F91" s="2" t="n">
        <v>1.1611</v>
      </c>
      <c r="G91" s="2" t="n">
        <v>350000</v>
      </c>
      <c r="H91" s="2" t="inlineStr"/>
      <c r="I91" s="2" t="n">
        <v>486</v>
      </c>
      <c r="J91" s="2">
        <f>ROUND(F91*I91, 0)</f>
        <v/>
      </c>
    </row>
    <row r="92">
      <c r="A92" s="3" t="n">
        <v>88</v>
      </c>
      <c r="B92" s="3" t="inlineStr">
        <is>
          <t>DC_088</t>
        </is>
      </c>
      <c r="C92" s="3" t="inlineStr">
        <is>
          <t>Máy hút ẩm 1,5kw</t>
        </is>
      </c>
      <c r="D92" s="3" t="inlineStr">
        <is>
          <t>Dụng cụ BHLĐ</t>
        </is>
      </c>
      <c r="E92" s="3" t="inlineStr">
        <is>
          <t>Cái</t>
        </is>
      </c>
      <c r="F92" s="3" t="n">
        <v>0.05</v>
      </c>
      <c r="G92" s="3" t="n">
        <v>350000</v>
      </c>
      <c r="H92" s="3" t="inlineStr"/>
      <c r="I92" s="3" t="n">
        <v>486</v>
      </c>
      <c r="J92" s="3">
        <f>ROUND(F92*I92, 0)</f>
        <v/>
      </c>
    </row>
    <row r="93">
      <c r="A93" s="2" t="n">
        <v>89</v>
      </c>
      <c r="B93" s="2" t="inlineStr">
        <is>
          <t>DC_089</t>
        </is>
      </c>
      <c r="C93" s="2" t="inlineStr">
        <is>
          <t>Mũ cứng</t>
        </is>
      </c>
      <c r="D93" s="2" t="inlineStr">
        <is>
          <t>Dụng cụ BHLĐ</t>
        </is>
      </c>
      <c r="E93" s="2" t="inlineStr">
        <is>
          <t>cái</t>
        </is>
      </c>
      <c r="F93" s="2" t="n">
        <v>31.2667</v>
      </c>
      <c r="G93" s="2" t="n">
        <v>250000</v>
      </c>
      <c r="H93" s="2" t="inlineStr"/>
      <c r="I93" s="2" t="n">
        <v>4167</v>
      </c>
      <c r="J93" s="2">
        <f>ROUND(F93*I93, 0)</f>
        <v/>
      </c>
    </row>
    <row r="94">
      <c r="A94" s="3" t="n">
        <v>90</v>
      </c>
      <c r="B94" s="3" t="inlineStr">
        <is>
          <t>DC_090</t>
        </is>
      </c>
      <c r="C94" s="3" t="inlineStr">
        <is>
          <t>Mũ cứng</t>
        </is>
      </c>
      <c r="D94" s="3" t="inlineStr">
        <is>
          <t>Dụng cụ BHLĐ</t>
        </is>
      </c>
      <c r="E94" s="3" t="inlineStr">
        <is>
          <t>Cái</t>
        </is>
      </c>
      <c r="F94" s="3" t="n">
        <v>1.6</v>
      </c>
      <c r="G94" s="3" t="n">
        <v>250000</v>
      </c>
      <c r="H94" s="3" t="inlineStr"/>
      <c r="I94" s="3" t="n">
        <v>4167</v>
      </c>
      <c r="J94" s="3">
        <f>ROUND(F94*I94, 0)</f>
        <v/>
      </c>
    </row>
    <row r="95">
      <c r="A95" s="2" t="n">
        <v>91</v>
      </c>
      <c r="B95" s="2" t="inlineStr">
        <is>
          <t>DC_091</t>
        </is>
      </c>
      <c r="C95" s="2" t="inlineStr">
        <is>
          <t>Nhíp</t>
        </is>
      </c>
      <c r="D95" s="2" t="inlineStr">
        <is>
          <t>Dụng cụ BHLĐ</t>
        </is>
      </c>
      <c r="E95" s="2" t="inlineStr">
        <is>
          <t>cái</t>
        </is>
      </c>
      <c r="F95" s="2" t="n">
        <v>0.1444</v>
      </c>
      <c r="G95" s="2" t="n">
        <v>350000</v>
      </c>
      <c r="H95" s="2" t="inlineStr"/>
      <c r="I95" s="2" t="n">
        <v>486</v>
      </c>
      <c r="J95" s="2">
        <f>ROUND(F95*I95, 0)</f>
        <v/>
      </c>
    </row>
    <row r="96">
      <c r="A96" s="3" t="n">
        <v>92</v>
      </c>
      <c r="B96" s="3" t="inlineStr">
        <is>
          <t>DC_092</t>
        </is>
      </c>
      <c r="C96" s="3" t="inlineStr">
        <is>
          <t>Phễu chiết 1000ml</t>
        </is>
      </c>
      <c r="D96" s="3" t="inlineStr">
        <is>
          <t>Dụng cụ BHLĐ</t>
        </is>
      </c>
      <c r="E96" s="3" t="inlineStr">
        <is>
          <t>cái</t>
        </is>
      </c>
      <c r="F96" s="3" t="n">
        <v>0.9</v>
      </c>
      <c r="G96" s="3" t="n">
        <v>180000</v>
      </c>
      <c r="H96" s="3" t="inlineStr"/>
      <c r="I96" s="3" t="n">
        <v>1500</v>
      </c>
      <c r="J96" s="3">
        <f>ROUND(F96*I96, 0)</f>
        <v/>
      </c>
    </row>
    <row r="97">
      <c r="A97" s="2" t="n">
        <v>93</v>
      </c>
      <c r="B97" s="2" t="inlineStr">
        <is>
          <t>DC_093</t>
        </is>
      </c>
      <c r="C97" s="2" t="inlineStr">
        <is>
          <t>Phễu chiết 1000ml</t>
        </is>
      </c>
      <c r="D97" s="2" t="inlineStr">
        <is>
          <t>Dụng cụ BHLĐ</t>
        </is>
      </c>
      <c r="E97" s="2" t="inlineStr">
        <is>
          <t>Cái</t>
        </is>
      </c>
      <c r="F97" s="2" t="n">
        <v>0.0667</v>
      </c>
      <c r="G97" s="2" t="n">
        <v>180000</v>
      </c>
      <c r="H97" s="2" t="inlineStr"/>
      <c r="I97" s="2" t="n">
        <v>1500</v>
      </c>
      <c r="J97" s="2">
        <f>ROUND(F97*I97, 0)</f>
        <v/>
      </c>
    </row>
    <row r="98">
      <c r="A98" s="3" t="n">
        <v>94</v>
      </c>
      <c r="B98" s="3" t="inlineStr">
        <is>
          <t>DC_094</t>
        </is>
      </c>
      <c r="C98" s="3" t="inlineStr">
        <is>
          <t>Phễu lọc thủy tinh</t>
        </is>
      </c>
      <c r="D98" s="3" t="inlineStr">
        <is>
          <t>Dụng cụ BHLĐ</t>
        </is>
      </c>
      <c r="E98" s="3" t="inlineStr">
        <is>
          <t>cái</t>
        </is>
      </c>
      <c r="F98" s="3" t="n">
        <v>0.4333</v>
      </c>
      <c r="G98" s="3" t="n">
        <v>180000</v>
      </c>
      <c r="H98" s="3" t="inlineStr"/>
      <c r="I98" s="3" t="n">
        <v>1500</v>
      </c>
      <c r="J98" s="3">
        <f>ROUND(F98*I98, 0)</f>
        <v/>
      </c>
    </row>
    <row r="99">
      <c r="A99" s="2" t="n">
        <v>95</v>
      </c>
      <c r="B99" s="2" t="inlineStr">
        <is>
          <t>DC_095</t>
        </is>
      </c>
      <c r="C99" s="2" t="inlineStr">
        <is>
          <t>Pipet 10ml</t>
        </is>
      </c>
      <c r="D99" s="2" t="inlineStr">
        <is>
          <t>Dụng cụ BHLĐ</t>
        </is>
      </c>
      <c r="E99" s="2" t="inlineStr">
        <is>
          <t>cái</t>
        </is>
      </c>
      <c r="F99" s="2" t="n">
        <v>4.4333</v>
      </c>
      <c r="G99" s="2" t="n">
        <v>350000</v>
      </c>
      <c r="H99" s="2" t="inlineStr"/>
      <c r="I99" s="2" t="n">
        <v>2917</v>
      </c>
      <c r="J99" s="2">
        <f>ROUND(F99*I99, 0)</f>
        <v/>
      </c>
    </row>
    <row r="100">
      <c r="A100" s="3" t="n">
        <v>96</v>
      </c>
      <c r="B100" s="3" t="inlineStr">
        <is>
          <t>DC_096</t>
        </is>
      </c>
      <c r="C100" s="3" t="inlineStr">
        <is>
          <t>Pipet 10ml</t>
        </is>
      </c>
      <c r="D100" s="3" t="inlineStr">
        <is>
          <t>Dụng cụ BHLĐ</t>
        </is>
      </c>
      <c r="E100" s="3" t="inlineStr">
        <is>
          <t>Cái</t>
        </is>
      </c>
      <c r="F100" s="3" t="n">
        <v>0.3</v>
      </c>
      <c r="G100" s="3" t="n">
        <v>350000</v>
      </c>
      <c r="H100" s="3" t="inlineStr"/>
      <c r="I100" s="3" t="n">
        <v>2917</v>
      </c>
      <c r="J100" s="3">
        <f>ROUND(F100*I100, 0)</f>
        <v/>
      </c>
    </row>
    <row r="101">
      <c r="A101" s="2" t="n">
        <v>97</v>
      </c>
      <c r="B101" s="2" t="inlineStr">
        <is>
          <t>DC_097</t>
        </is>
      </c>
      <c r="C101" s="2" t="inlineStr">
        <is>
          <t>Pipet 5ml</t>
        </is>
      </c>
      <c r="D101" s="2" t="inlineStr">
        <is>
          <t>Dụng cụ BHLĐ</t>
        </is>
      </c>
      <c r="E101" s="2" t="inlineStr">
        <is>
          <t>cái</t>
        </is>
      </c>
      <c r="F101" s="2" t="n">
        <v>0.8667</v>
      </c>
      <c r="G101" s="2" t="n">
        <v>350000</v>
      </c>
      <c r="H101" s="2" t="inlineStr"/>
      <c r="I101" s="2" t="n">
        <v>2917</v>
      </c>
      <c r="J101" s="2">
        <f>ROUND(F101*I101, 0)</f>
        <v/>
      </c>
    </row>
    <row r="102">
      <c r="A102" s="3" t="n">
        <v>98</v>
      </c>
      <c r="B102" s="3" t="inlineStr">
        <is>
          <t>DC_098</t>
        </is>
      </c>
      <c r="C102" s="3" t="inlineStr">
        <is>
          <t>Quạt thông gió 40w</t>
        </is>
      </c>
      <c r="D102" s="3" t="inlineStr">
        <is>
          <t>Dụng cụ BHLĐ</t>
        </is>
      </c>
      <c r="E102" s="3" t="inlineStr">
        <is>
          <t>cái</t>
        </is>
      </c>
      <c r="F102" s="3" t="n">
        <v>1.1611</v>
      </c>
      <c r="G102" s="3" t="n">
        <v>350000</v>
      </c>
      <c r="H102" s="3" t="inlineStr"/>
      <c r="I102" s="3" t="n">
        <v>486</v>
      </c>
      <c r="J102" s="3">
        <f>ROUND(F102*I102, 0)</f>
        <v/>
      </c>
    </row>
    <row r="103">
      <c r="A103" s="2" t="n">
        <v>99</v>
      </c>
      <c r="B103" s="2" t="inlineStr">
        <is>
          <t>DC_099</t>
        </is>
      </c>
      <c r="C103" s="2" t="inlineStr">
        <is>
          <t>Quạt thông gió 40w</t>
        </is>
      </c>
      <c r="D103" s="2" t="inlineStr">
        <is>
          <t>Dụng cụ BHLĐ</t>
        </is>
      </c>
      <c r="E103" s="2" t="inlineStr">
        <is>
          <t>Cái</t>
        </is>
      </c>
      <c r="F103" s="2" t="n">
        <v>0.05</v>
      </c>
      <c r="G103" s="2" t="n">
        <v>350000</v>
      </c>
      <c r="H103" s="2" t="inlineStr"/>
      <c r="I103" s="2" t="n">
        <v>486</v>
      </c>
      <c r="J103" s="2">
        <f>ROUND(F103*I103, 0)</f>
        <v/>
      </c>
    </row>
    <row r="104">
      <c r="A104" s="3" t="n">
        <v>100</v>
      </c>
      <c r="B104" s="3" t="inlineStr">
        <is>
          <t>DC_100</t>
        </is>
      </c>
      <c r="C104" s="3" t="inlineStr">
        <is>
          <t>Quạt trần 100w</t>
        </is>
      </c>
      <c r="D104" s="3" t="inlineStr">
        <is>
          <t>Dụng cụ BHLĐ</t>
        </is>
      </c>
      <c r="E104" s="3" t="inlineStr">
        <is>
          <t>cái</t>
        </is>
      </c>
      <c r="F104" s="3" t="n">
        <v>1.1444</v>
      </c>
      <c r="G104" s="3" t="n">
        <v>350000</v>
      </c>
      <c r="H104" s="3" t="inlineStr"/>
      <c r="I104" s="3" t="n">
        <v>486</v>
      </c>
      <c r="J104" s="3">
        <f>ROUND(F104*I104, 0)</f>
        <v/>
      </c>
    </row>
    <row r="105">
      <c r="A105" s="2" t="n">
        <v>101</v>
      </c>
      <c r="B105" s="2" t="inlineStr">
        <is>
          <t>DC_101</t>
        </is>
      </c>
      <c r="C105" s="2" t="inlineStr">
        <is>
          <t>Quạt trần 100w</t>
        </is>
      </c>
      <c r="D105" s="2" t="inlineStr">
        <is>
          <t>Dụng cụ BHLĐ</t>
        </is>
      </c>
      <c r="E105" s="2" t="inlineStr">
        <is>
          <t>Cái</t>
        </is>
      </c>
      <c r="F105" s="2" t="n">
        <v>0.05</v>
      </c>
      <c r="G105" s="2" t="n">
        <v>350000</v>
      </c>
      <c r="H105" s="2" t="inlineStr"/>
      <c r="I105" s="2" t="n">
        <v>486</v>
      </c>
      <c r="J105" s="2">
        <f>ROUND(F105*I105, 0)</f>
        <v/>
      </c>
    </row>
    <row r="106">
      <c r="A106" s="3" t="n">
        <v>102</v>
      </c>
      <c r="B106" s="3" t="inlineStr">
        <is>
          <t>DC_102</t>
        </is>
      </c>
      <c r="C106" s="3" t="inlineStr">
        <is>
          <t>Quạt trần 100w</t>
        </is>
      </c>
      <c r="D106" s="3" t="inlineStr">
        <is>
          <t>Dụng cụ BHLĐ</t>
        </is>
      </c>
      <c r="E106" s="3" t="inlineStr">
        <is>
          <t>đôi</t>
        </is>
      </c>
      <c r="F106" s="3" t="n">
        <v>0.0167</v>
      </c>
      <c r="G106" s="3" t="n">
        <v>350000</v>
      </c>
      <c r="H106" s="3" t="inlineStr"/>
      <c r="I106" s="3" t="n">
        <v>486</v>
      </c>
      <c r="J106" s="3">
        <f>ROUND(F106*I106, 0)</f>
        <v/>
      </c>
    </row>
    <row r="107">
      <c r="A107" s="2" t="n">
        <v>103</v>
      </c>
      <c r="B107" s="2" t="inlineStr">
        <is>
          <t>DC_103</t>
        </is>
      </c>
      <c r="C107" s="2" t="inlineStr">
        <is>
          <t>Quần áo BHLĐ</t>
        </is>
      </c>
      <c r="D107" s="2" t="inlineStr">
        <is>
          <t>Dụng cụ BHLĐ</t>
        </is>
      </c>
      <c r="E107" s="2" t="inlineStr">
        <is>
          <t>bộ</t>
        </is>
      </c>
      <c r="F107" s="2" t="n">
        <v>16.4333</v>
      </c>
      <c r="G107" s="2" t="n">
        <v>250000</v>
      </c>
      <c r="H107" s="2" t="inlineStr"/>
      <c r="I107" s="2" t="n">
        <v>2083</v>
      </c>
      <c r="J107" s="2">
        <f>ROUND(F107*I107, 0)</f>
        <v/>
      </c>
    </row>
    <row r="108">
      <c r="A108" s="3" t="n">
        <v>104</v>
      </c>
      <c r="B108" s="3" t="inlineStr">
        <is>
          <t>DC_104</t>
        </is>
      </c>
      <c r="C108" s="3" t="inlineStr">
        <is>
          <t>Sensor CO</t>
        </is>
      </c>
      <c r="D108" s="3" t="inlineStr">
        <is>
          <t>Dụng cụ BHLĐ</t>
        </is>
      </c>
      <c r="E108" s="3" t="inlineStr">
        <is>
          <t>cái</t>
        </is>
      </c>
      <c r="F108" s="3" t="n">
        <v>0.05</v>
      </c>
      <c r="G108" s="3" t="n">
        <v>350000</v>
      </c>
      <c r="H108" s="3" t="inlineStr"/>
      <c r="I108" s="3" t="n">
        <v>1458</v>
      </c>
      <c r="J108" s="3">
        <f>ROUND(F108*I108, 0)</f>
        <v/>
      </c>
    </row>
    <row r="109">
      <c r="A109" s="2" t="n">
        <v>105</v>
      </c>
      <c r="B109" s="2" t="inlineStr">
        <is>
          <t>DC_105</t>
        </is>
      </c>
      <c r="C109" s="2" t="inlineStr">
        <is>
          <t>Sensor NO</t>
        </is>
      </c>
      <c r="D109" s="2" t="inlineStr">
        <is>
          <t>Dụng cụ BHLĐ</t>
        </is>
      </c>
      <c r="E109" s="2" t="inlineStr">
        <is>
          <t>cái</t>
        </is>
      </c>
      <c r="F109" s="2" t="n">
        <v>0.0333</v>
      </c>
      <c r="G109" s="2" t="n">
        <v>350000</v>
      </c>
      <c r="H109" s="2" t="inlineStr"/>
      <c r="I109" s="2" t="n">
        <v>1458</v>
      </c>
      <c r="J109" s="2">
        <f>ROUND(F109*I109, 0)</f>
        <v/>
      </c>
    </row>
    <row r="110">
      <c r="A110" s="3" t="n">
        <v>106</v>
      </c>
      <c r="B110" s="3" t="inlineStr">
        <is>
          <t>DC_106</t>
        </is>
      </c>
      <c r="C110" s="3" t="inlineStr">
        <is>
          <t>Sensor NOx</t>
        </is>
      </c>
      <c r="D110" s="3" t="inlineStr">
        <is>
          <t>Dụng cụ BHLĐ</t>
        </is>
      </c>
      <c r="E110" s="3" t="inlineStr">
        <is>
          <t>cái</t>
        </is>
      </c>
      <c r="F110" s="3" t="n">
        <v>0.05</v>
      </c>
      <c r="G110" s="3" t="n">
        <v>350000</v>
      </c>
      <c r="H110" s="3" t="inlineStr"/>
      <c r="I110" s="3" t="n">
        <v>1458</v>
      </c>
      <c r="J110" s="3">
        <f>ROUND(F110*I110, 0)</f>
        <v/>
      </c>
    </row>
    <row r="111">
      <c r="A111" s="2" t="n">
        <v>107</v>
      </c>
      <c r="B111" s="2" t="inlineStr">
        <is>
          <t>DC_107</t>
        </is>
      </c>
      <c r="C111" s="2" t="inlineStr">
        <is>
          <t>Sensor O2</t>
        </is>
      </c>
      <c r="D111" s="2" t="inlineStr">
        <is>
          <t>Dụng cụ BHLĐ</t>
        </is>
      </c>
      <c r="E111" s="2" t="inlineStr">
        <is>
          <t>cái</t>
        </is>
      </c>
      <c r="F111" s="2" t="n">
        <v>0.05</v>
      </c>
      <c r="G111" s="2" t="n">
        <v>350000</v>
      </c>
      <c r="H111" s="2" t="inlineStr"/>
      <c r="I111" s="2" t="n">
        <v>1458</v>
      </c>
      <c r="J111" s="2">
        <f>ROUND(F111*I111, 0)</f>
        <v/>
      </c>
    </row>
    <row r="112">
      <c r="A112" s="3" t="n">
        <v>108</v>
      </c>
      <c r="B112" s="3" t="inlineStr">
        <is>
          <t>DC_108</t>
        </is>
      </c>
      <c r="C112" s="3" t="inlineStr">
        <is>
          <t>Sensor SO2</t>
        </is>
      </c>
      <c r="D112" s="3" t="inlineStr">
        <is>
          <t>Dụng cụ BHLĐ</t>
        </is>
      </c>
      <c r="E112" s="3" t="inlineStr">
        <is>
          <t>cái</t>
        </is>
      </c>
      <c r="F112" s="3" t="n">
        <v>0.05</v>
      </c>
      <c r="G112" s="3" t="n">
        <v>350000</v>
      </c>
      <c r="H112" s="3" t="inlineStr"/>
      <c r="I112" s="3" t="n">
        <v>1458</v>
      </c>
      <c r="J112" s="3">
        <f>ROUND(F112*I112, 0)</f>
        <v/>
      </c>
    </row>
    <row r="113">
      <c r="A113" s="2" t="n">
        <v>109</v>
      </c>
      <c r="B113" s="2" t="inlineStr">
        <is>
          <t>DC_109</t>
        </is>
      </c>
      <c r="C113" s="2" t="inlineStr">
        <is>
          <t>Thiết bị lấy mẫu thể tích 2 lít</t>
        </is>
      </c>
      <c r="D113" s="2" t="inlineStr">
        <is>
          <t>Dụng cụ BHLĐ</t>
        </is>
      </c>
      <c r="E113" s="2" t="inlineStr">
        <is>
          <t>cái</t>
        </is>
      </c>
      <c r="F113" s="2" t="n">
        <v>0.8104</v>
      </c>
      <c r="G113" s="2" t="n">
        <v>350000</v>
      </c>
      <c r="H113" s="2" t="inlineStr"/>
      <c r="I113" s="2" t="n">
        <v>729</v>
      </c>
      <c r="J113" s="2">
        <f>ROUND(F113*I113, 0)</f>
        <v/>
      </c>
    </row>
    <row r="114">
      <c r="A114" s="3" t="n">
        <v>110</v>
      </c>
      <c r="B114" s="3" t="inlineStr">
        <is>
          <t>DC_110</t>
        </is>
      </c>
      <c r="C114" s="3" t="inlineStr">
        <is>
          <t>Thiết bị lấy mẫu thể tích 5 lít</t>
        </is>
      </c>
      <c r="D114" s="3" t="inlineStr">
        <is>
          <t>Dụng cụ BHLĐ</t>
        </is>
      </c>
      <c r="E114" s="3" t="inlineStr">
        <is>
          <t>cái</t>
        </is>
      </c>
      <c r="F114" s="3" t="n">
        <v>0.8104</v>
      </c>
      <c r="G114" s="3" t="n">
        <v>350000</v>
      </c>
      <c r="H114" s="3" t="inlineStr"/>
      <c r="I114" s="3" t="n">
        <v>729</v>
      </c>
      <c r="J114" s="3">
        <f>ROUND(F114*I114, 0)</f>
        <v/>
      </c>
    </row>
    <row r="115">
      <c r="A115" s="2" t="n">
        <v>111</v>
      </c>
      <c r="B115" s="2" t="inlineStr">
        <is>
          <t>DC_111</t>
        </is>
      </c>
      <c r="C115" s="2" t="inlineStr">
        <is>
          <t>Thùng đựng và bảo quản mẫu</t>
        </is>
      </c>
      <c r="D115" s="2" t="inlineStr">
        <is>
          <t>Dụng cụ BHLĐ</t>
        </is>
      </c>
      <c r="E115" s="2" t="inlineStr">
        <is>
          <t>cái</t>
        </is>
      </c>
      <c r="F115" s="2" t="n">
        <v>16.2</v>
      </c>
      <c r="G115" s="2" t="n">
        <v>1500000</v>
      </c>
      <c r="H115" s="2" t="inlineStr"/>
      <c r="I115" s="2" t="n">
        <v>15000</v>
      </c>
      <c r="J115" s="2">
        <f>ROUND(F115*I115, 0)</f>
        <v/>
      </c>
    </row>
    <row r="116">
      <c r="A116" s="3" t="n">
        <v>112</v>
      </c>
      <c r="B116" s="3" t="inlineStr">
        <is>
          <t>DC_112</t>
        </is>
      </c>
      <c r="C116" s="3" t="inlineStr">
        <is>
          <t>Thùng đựng và bảo quản mẫu</t>
        </is>
      </c>
      <c r="D116" s="3" t="inlineStr">
        <is>
          <t>Dụng cụ BHLĐ</t>
        </is>
      </c>
      <c r="E116" s="3" t="inlineStr">
        <is>
          <t>Cái</t>
        </is>
      </c>
      <c r="F116" s="3" t="n">
        <v>0.96</v>
      </c>
      <c r="G116" s="3" t="n">
        <v>1500000</v>
      </c>
      <c r="H116" s="3" t="inlineStr"/>
      <c r="I116" s="3" t="n">
        <v>15000</v>
      </c>
      <c r="J116" s="3">
        <f>ROUND(F116*I116, 0)</f>
        <v/>
      </c>
    </row>
    <row r="117">
      <c r="A117" s="2" t="n">
        <v>113</v>
      </c>
      <c r="B117" s="2" t="inlineStr">
        <is>
          <t>DC_113</t>
        </is>
      </c>
      <c r="C117" s="2" t="inlineStr">
        <is>
          <t>Tất sợi</t>
        </is>
      </c>
      <c r="D117" s="2" t="inlineStr">
        <is>
          <t>Dụng cụ BHLĐ</t>
        </is>
      </c>
      <c r="E117" s="2" t="inlineStr">
        <is>
          <t>đôi</t>
        </is>
      </c>
      <c r="F117" s="2" t="n">
        <v>6.3667</v>
      </c>
      <c r="G117" s="2" t="n">
        <v>350000</v>
      </c>
      <c r="H117" s="2" t="inlineStr"/>
      <c r="I117" s="2" t="n">
        <v>2917</v>
      </c>
      <c r="J117" s="2">
        <f>ROUND(F117*I117, 0)</f>
        <v/>
      </c>
    </row>
    <row r="118">
      <c r="A118" s="3" t="n">
        <v>114</v>
      </c>
      <c r="B118" s="3" t="inlineStr">
        <is>
          <t>DC_114</t>
        </is>
      </c>
      <c r="C118" s="3" t="inlineStr">
        <is>
          <t>Tất sợi</t>
        </is>
      </c>
      <c r="D118" s="3" t="inlineStr">
        <is>
          <t>Dụng cụ BHLĐ</t>
        </is>
      </c>
      <c r="E118" s="3" t="inlineStr">
        <is>
          <t>Đôi</t>
        </is>
      </c>
      <c r="F118" s="3" t="n">
        <v>0.8</v>
      </c>
      <c r="G118" s="3" t="n">
        <v>350000</v>
      </c>
      <c r="H118" s="3" t="inlineStr"/>
      <c r="I118" s="3" t="n">
        <v>2917</v>
      </c>
      <c r="J118" s="3">
        <f>ROUND(F118*I118, 0)</f>
        <v/>
      </c>
    </row>
    <row r="119">
      <c r="A119" s="2" t="n">
        <v>115</v>
      </c>
      <c r="B119" s="2" t="inlineStr">
        <is>
          <t>DC_115</t>
        </is>
      </c>
      <c r="C119" s="2" t="inlineStr">
        <is>
          <t>Tủ đựng tài liệu</t>
        </is>
      </c>
      <c r="D119" s="2" t="inlineStr">
        <is>
          <t>Dụng cụ BHLĐ</t>
        </is>
      </c>
      <c r="E119" s="2" t="inlineStr">
        <is>
          <t>cái</t>
        </is>
      </c>
      <c r="F119" s="2" t="n">
        <v>0.5722</v>
      </c>
      <c r="G119" s="2" t="n">
        <v>350000</v>
      </c>
      <c r="H119" s="2" t="inlineStr"/>
      <c r="I119" s="2" t="n">
        <v>243</v>
      </c>
      <c r="J119" s="2">
        <f>ROUND(F119*I119, 0)</f>
        <v/>
      </c>
    </row>
    <row r="120">
      <c r="A120" s="3" t="n">
        <v>116</v>
      </c>
      <c r="B120" s="3" t="inlineStr">
        <is>
          <t>DC_116</t>
        </is>
      </c>
      <c r="C120" s="3" t="inlineStr">
        <is>
          <t>Tủ đựng tài liệu</t>
        </is>
      </c>
      <c r="D120" s="3" t="inlineStr">
        <is>
          <t>Dụng cụ BHLĐ</t>
        </is>
      </c>
      <c r="E120" s="3" t="inlineStr">
        <is>
          <t>Cái</t>
        </is>
      </c>
      <c r="F120" s="3" t="n">
        <v>0.025</v>
      </c>
      <c r="G120" s="3" t="n">
        <v>350000</v>
      </c>
      <c r="H120" s="3" t="inlineStr"/>
      <c r="I120" s="3" t="n">
        <v>243</v>
      </c>
      <c r="J120" s="3">
        <f>ROUND(F120*I120, 0)</f>
        <v/>
      </c>
    </row>
    <row r="121">
      <c r="A121" s="2" t="n">
        <v>117</v>
      </c>
      <c r="B121" s="2" t="inlineStr">
        <is>
          <t>DC_117</t>
        </is>
      </c>
      <c r="C121" s="2" t="inlineStr">
        <is>
          <t>Tủ đựng tài liệu</t>
        </is>
      </c>
      <c r="D121" s="2" t="inlineStr">
        <is>
          <t>Dụng cụ BHLĐ</t>
        </is>
      </c>
      <c r="E121" s="2" t="inlineStr">
        <is>
          <t>đôi</t>
        </is>
      </c>
      <c r="F121" s="2" t="n">
        <v>0.0083</v>
      </c>
      <c r="G121" s="2" t="n">
        <v>350000</v>
      </c>
      <c r="H121" s="2" t="inlineStr"/>
      <c r="I121" s="2" t="n">
        <v>243</v>
      </c>
      <c r="J121" s="2">
        <f>ROUND(F121*I121, 0)</f>
        <v/>
      </c>
    </row>
    <row r="122">
      <c r="A122" s="3" t="n">
        <v>118</v>
      </c>
      <c r="B122" s="3" t="inlineStr">
        <is>
          <t>DC_118</t>
        </is>
      </c>
      <c r="C122" s="3" t="inlineStr">
        <is>
          <t>Van Dorn Sampler thể tích 2 lít</t>
        </is>
      </c>
      <c r="D122" s="3" t="inlineStr">
        <is>
          <t>Dụng cụ BHLĐ</t>
        </is>
      </c>
      <c r="E122" s="3" t="inlineStr">
        <is>
          <t>cái</t>
        </is>
      </c>
      <c r="F122" s="3" t="n">
        <v>0.6938</v>
      </c>
      <c r="G122" s="3" t="n">
        <v>350000</v>
      </c>
      <c r="H122" s="3" t="inlineStr"/>
      <c r="I122" s="3" t="n">
        <v>729</v>
      </c>
      <c r="J122" s="3">
        <f>ROUND(F122*I122, 0)</f>
        <v/>
      </c>
    </row>
    <row r="123">
      <c r="A123" s="2" t="n">
        <v>119</v>
      </c>
      <c r="B123" s="2" t="inlineStr">
        <is>
          <t>DC_119</t>
        </is>
      </c>
      <c r="C123" s="2" t="inlineStr">
        <is>
          <t>Van Dorn Sampler thể tích 5 lít</t>
        </is>
      </c>
      <c r="D123" s="2" t="inlineStr">
        <is>
          <t>Dụng cụ BHLĐ</t>
        </is>
      </c>
      <c r="E123" s="2" t="inlineStr">
        <is>
          <t>cái</t>
        </is>
      </c>
      <c r="F123" s="2" t="n">
        <v>0.6938</v>
      </c>
      <c r="G123" s="2" t="n">
        <v>350000</v>
      </c>
      <c r="H123" s="2" t="inlineStr"/>
      <c r="I123" s="2" t="n">
        <v>729</v>
      </c>
      <c r="J123" s="2">
        <f>ROUND(F123*I123, 0)</f>
        <v/>
      </c>
    </row>
    <row r="124">
      <c r="A124" s="3" t="n">
        <v>120</v>
      </c>
      <c r="B124" s="3" t="inlineStr">
        <is>
          <t>DC_120</t>
        </is>
      </c>
      <c r="C124" s="3" t="inlineStr">
        <is>
          <t>Xô chứa dung dịch sục khí</t>
        </is>
      </c>
      <c r="D124" s="3" t="inlineStr">
        <is>
          <t>Dụng cụ BHLĐ</t>
        </is>
      </c>
      <c r="E124" s="3" t="inlineStr">
        <is>
          <t>cái</t>
        </is>
      </c>
      <c r="F124" s="3" t="n">
        <v>0.0583</v>
      </c>
      <c r="G124" s="3" t="n">
        <v>350000</v>
      </c>
      <c r="H124" s="3" t="inlineStr"/>
      <c r="I124" s="3" t="n">
        <v>729</v>
      </c>
      <c r="J124" s="3">
        <f>ROUND(F124*I124, 0)</f>
        <v/>
      </c>
    </row>
    <row r="125">
      <c r="A125" s="2" t="n">
        <v>121</v>
      </c>
      <c r="B125" s="2" t="inlineStr">
        <is>
          <t>DC_121</t>
        </is>
      </c>
      <c r="C125" s="2" t="inlineStr">
        <is>
          <t>Áo blue</t>
        </is>
      </c>
      <c r="D125" s="2" t="inlineStr">
        <is>
          <t>Dụng cụ BHLĐ</t>
        </is>
      </c>
      <c r="E125" s="2" t="inlineStr">
        <is>
          <t>cái</t>
        </is>
      </c>
      <c r="F125" s="2" t="n">
        <v>3.4667</v>
      </c>
      <c r="G125" s="2" t="n">
        <v>250000</v>
      </c>
      <c r="H125" s="2" t="inlineStr"/>
      <c r="I125" s="2" t="n">
        <v>1042</v>
      </c>
      <c r="J125" s="2">
        <f>ROUND(F125*I125, 0)</f>
        <v/>
      </c>
    </row>
    <row r="126">
      <c r="A126" s="3" t="n">
        <v>122</v>
      </c>
      <c r="B126" s="3" t="inlineStr">
        <is>
          <t>DC_122</t>
        </is>
      </c>
      <c r="C126" s="3" t="inlineStr">
        <is>
          <t>Áo blue</t>
        </is>
      </c>
      <c r="D126" s="3" t="inlineStr">
        <is>
          <t>Dụng cụ BHLĐ</t>
        </is>
      </c>
      <c r="E126" s="3" t="inlineStr">
        <is>
          <t>Cái</t>
        </is>
      </c>
      <c r="F126" s="3" t="n">
        <v>0.1167</v>
      </c>
      <c r="G126" s="3" t="n">
        <v>250000</v>
      </c>
      <c r="H126" s="3" t="inlineStr"/>
      <c r="I126" s="3" t="n">
        <v>1042</v>
      </c>
      <c r="J126" s="3">
        <f>ROUND(F126*I126, 0)</f>
        <v/>
      </c>
    </row>
    <row r="127">
      <c r="A127" s="2" t="n">
        <v>123</v>
      </c>
      <c r="B127" s="2" t="inlineStr">
        <is>
          <t>DC_123</t>
        </is>
      </c>
      <c r="C127" s="2" t="inlineStr">
        <is>
          <t>Áo blue</t>
        </is>
      </c>
      <c r="D127" s="2" t="inlineStr">
        <is>
          <t>Dụng cụ BHLĐ</t>
        </is>
      </c>
      <c r="E127" s="2" t="inlineStr">
        <is>
          <t>Bộ</t>
        </is>
      </c>
      <c r="F127" s="2" t="n">
        <v>0.05</v>
      </c>
      <c r="G127" s="2" t="n">
        <v>250000</v>
      </c>
      <c r="H127" s="2" t="inlineStr"/>
      <c r="I127" s="2" t="n">
        <v>1042</v>
      </c>
      <c r="J127" s="2">
        <f>ROUND(F127*I127, 0)</f>
        <v/>
      </c>
    </row>
    <row r="128">
      <c r="A128" s="3" t="n">
        <v>124</v>
      </c>
      <c r="B128" s="3" t="inlineStr">
        <is>
          <t>DC_124</t>
        </is>
      </c>
      <c r="C128" s="3" t="inlineStr">
        <is>
          <t>Áo phao</t>
        </is>
      </c>
      <c r="D128" s="3" t="inlineStr">
        <is>
          <t>Dụng cụ BHLĐ</t>
        </is>
      </c>
      <c r="E128" s="3" t="inlineStr">
        <is>
          <t>cái</t>
        </is>
      </c>
      <c r="F128" s="3" t="n">
        <v>3.6667</v>
      </c>
      <c r="G128" s="3" t="n">
        <v>250000</v>
      </c>
      <c r="H128" s="3" t="inlineStr"/>
      <c r="I128" s="3" t="n">
        <v>1042</v>
      </c>
      <c r="J128" s="3">
        <f>ROUND(F128*I128, 0)</f>
        <v/>
      </c>
    </row>
    <row r="129">
      <c r="A129" s="2" t="n">
        <v>125</v>
      </c>
      <c r="B129" s="2" t="inlineStr">
        <is>
          <t>DC_125</t>
        </is>
      </c>
      <c r="C129" s="2" t="inlineStr">
        <is>
          <t>Ô che mưa, che nắng</t>
        </is>
      </c>
      <c r="D129" s="2" t="inlineStr">
        <is>
          <t>Dụng cụ BHLĐ</t>
        </is>
      </c>
      <c r="E129" s="2" t="inlineStr">
        <is>
          <t>cái</t>
        </is>
      </c>
      <c r="F129" s="2" t="n">
        <v>3.0729</v>
      </c>
      <c r="G129" s="2" t="n">
        <v>350000</v>
      </c>
      <c r="H129" s="2" t="inlineStr"/>
      <c r="I129" s="2" t="n">
        <v>729</v>
      </c>
      <c r="J129" s="2">
        <f>ROUND(F129*I129, 0)</f>
        <v/>
      </c>
    </row>
    <row r="130">
      <c r="A130" s="3" t="n">
        <v>126</v>
      </c>
      <c r="B130" s="3" t="inlineStr">
        <is>
          <t>DC_126</t>
        </is>
      </c>
      <c r="C130" s="3" t="inlineStr">
        <is>
          <t>Ô che mưa, che nắng</t>
        </is>
      </c>
      <c r="D130" s="3" t="inlineStr">
        <is>
          <t>Dụng cụ BHLĐ</t>
        </is>
      </c>
      <c r="E130" s="3" t="inlineStr">
        <is>
          <t>Cái</t>
        </is>
      </c>
      <c r="F130" s="3" t="n">
        <v>0.2</v>
      </c>
      <c r="G130" s="3" t="n">
        <v>350000</v>
      </c>
      <c r="H130" s="3" t="inlineStr"/>
      <c r="I130" s="3" t="n">
        <v>729</v>
      </c>
      <c r="J130" s="3">
        <f>ROUND(F130*I130, 0)</f>
        <v/>
      </c>
    </row>
    <row r="131">
      <c r="A131" s="2" t="n">
        <v>127</v>
      </c>
      <c r="B131" s="2" t="inlineStr">
        <is>
          <t>DC_127</t>
        </is>
      </c>
      <c r="C131" s="2" t="inlineStr">
        <is>
          <t>Đai bảo hiểm</t>
        </is>
      </c>
      <c r="D131" s="2" t="inlineStr">
        <is>
          <t>Dụng cụ BHLĐ</t>
        </is>
      </c>
      <c r="E131" s="2" t="inlineStr">
        <is>
          <t>cái</t>
        </is>
      </c>
      <c r="F131" s="2" t="n">
        <v>11.8</v>
      </c>
      <c r="G131" s="2" t="n">
        <v>350000</v>
      </c>
      <c r="H131" s="2" t="inlineStr"/>
      <c r="I131" s="2" t="n">
        <v>5833</v>
      </c>
      <c r="J131" s="2">
        <f>ROUND(F131*I131, 0)</f>
        <v/>
      </c>
    </row>
    <row r="132">
      <c r="A132" s="3" t="n">
        <v>128</v>
      </c>
      <c r="B132" s="3" t="inlineStr">
        <is>
          <t>DC_128</t>
        </is>
      </c>
      <c r="C132" s="3" t="inlineStr">
        <is>
          <t>Điện cực</t>
        </is>
      </c>
      <c r="D132" s="3" t="inlineStr">
        <is>
          <t>Dụng cụ BHLĐ</t>
        </is>
      </c>
      <c r="E132" s="3" t="inlineStr">
        <is>
          <t>cái</t>
        </is>
      </c>
      <c r="F132" s="3" t="n">
        <v>0.1667</v>
      </c>
      <c r="G132" s="3" t="n">
        <v>350000</v>
      </c>
      <c r="H132" s="3" t="inlineStr"/>
      <c r="I132" s="3" t="n">
        <v>2917</v>
      </c>
      <c r="J132" s="3">
        <f>ROUND(F132*I132, 0)</f>
        <v/>
      </c>
    </row>
    <row r="133">
      <c r="A133" s="2" t="n">
        <v>129</v>
      </c>
      <c r="B133" s="2" t="inlineStr">
        <is>
          <t>DC_129</t>
        </is>
      </c>
      <c r="C133" s="2" t="inlineStr">
        <is>
          <t>Điện cực pH</t>
        </is>
      </c>
      <c r="D133" s="2" t="inlineStr">
        <is>
          <t>Dụng cụ BHLĐ</t>
        </is>
      </c>
      <c r="E133" s="2" t="inlineStr">
        <is>
          <t>cái</t>
        </is>
      </c>
      <c r="F133" s="2" t="n">
        <v>0.8167</v>
      </c>
      <c r="G133" s="2" t="n">
        <v>350000</v>
      </c>
      <c r="H133" s="2" t="inlineStr"/>
      <c r="I133" s="2" t="n">
        <v>2917</v>
      </c>
      <c r="J133" s="2">
        <f>ROUND(F133*I133, 0)</f>
        <v/>
      </c>
    </row>
    <row r="134">
      <c r="A134" s="3" t="n">
        <v>130</v>
      </c>
      <c r="B134" s="3" t="inlineStr">
        <is>
          <t>DC_130</t>
        </is>
      </c>
      <c r="C134" s="3" t="inlineStr">
        <is>
          <t>Điện cực pH</t>
        </is>
      </c>
      <c r="D134" s="3" t="inlineStr">
        <is>
          <t>Dụng cụ BHLĐ</t>
        </is>
      </c>
      <c r="E134" s="3" t="inlineStr">
        <is>
          <t>Cái</t>
        </is>
      </c>
      <c r="F134" s="3" t="n">
        <v>0.1333</v>
      </c>
      <c r="G134" s="3" t="n">
        <v>350000</v>
      </c>
      <c r="H134" s="3" t="inlineStr"/>
      <c r="I134" s="3" t="n">
        <v>2917</v>
      </c>
      <c r="J134" s="3">
        <f>ROUND(F134*I134, 0)</f>
        <v/>
      </c>
    </row>
    <row r="135">
      <c r="A135" s="2" t="n">
        <v>131</v>
      </c>
      <c r="B135" s="2" t="inlineStr">
        <is>
          <t>DC_131</t>
        </is>
      </c>
      <c r="C135" s="2" t="inlineStr">
        <is>
          <t>Điện năng</t>
        </is>
      </c>
      <c r="D135" s="2" t="inlineStr">
        <is>
          <t>Dụng cụ BHLĐ</t>
        </is>
      </c>
      <c r="E135" s="2" t="inlineStr">
        <is>
          <t>kw</t>
        </is>
      </c>
      <c r="F135" s="2" t="n">
        <v>3.4333</v>
      </c>
      <c r="G135" s="2" t="n">
        <v>350000</v>
      </c>
      <c r="H135" s="2" t="inlineStr"/>
      <c r="I135" s="2" t="n">
        <v>1458</v>
      </c>
      <c r="J135" s="2">
        <f>ROUND(F135*I135, 0)</f>
        <v/>
      </c>
    </row>
    <row r="136">
      <c r="A136" s="3" t="n">
        <v>132</v>
      </c>
      <c r="B136" s="3" t="inlineStr">
        <is>
          <t>DC_132</t>
        </is>
      </c>
      <c r="C136" s="3" t="inlineStr">
        <is>
          <t>Điện năng</t>
        </is>
      </c>
      <c r="D136" s="3" t="inlineStr">
        <is>
          <t>Dụng cụ BHLĐ</t>
        </is>
      </c>
      <c r="E136" s="3" t="inlineStr">
        <is>
          <t>Kw</t>
        </is>
      </c>
      <c r="F136" s="3" t="n">
        <v>0.15</v>
      </c>
      <c r="G136" s="3" t="n">
        <v>350000</v>
      </c>
      <c r="H136" s="3" t="inlineStr"/>
      <c r="I136" s="3" t="n">
        <v>1458</v>
      </c>
      <c r="J136" s="3">
        <f>ROUND(F136*I136, 0)</f>
        <v/>
      </c>
    </row>
    <row r="137">
      <c r="A137" s="2" t="n">
        <v>133</v>
      </c>
      <c r="B137" s="2" t="inlineStr">
        <is>
          <t>DC_133</t>
        </is>
      </c>
      <c r="C137" s="2" t="inlineStr">
        <is>
          <t>Điện năng</t>
        </is>
      </c>
      <c r="D137" s="2" t="inlineStr">
        <is>
          <t>Dụng cụ BHLĐ</t>
        </is>
      </c>
      <c r="E137" s="2" t="inlineStr">
        <is>
          <t>cái</t>
        </is>
      </c>
      <c r="F137" s="2" t="n">
        <v>0.05</v>
      </c>
      <c r="G137" s="2" t="n">
        <v>350000</v>
      </c>
      <c r="H137" s="2" t="inlineStr"/>
      <c r="I137" s="2" t="n">
        <v>1458</v>
      </c>
      <c r="J137" s="2">
        <f>ROUND(F137*I137, 0)</f>
        <v/>
      </c>
    </row>
    <row r="138">
      <c r="A138" s="3" t="n">
        <v>134</v>
      </c>
      <c r="B138" s="3" t="inlineStr">
        <is>
          <t>DC_134</t>
        </is>
      </c>
      <c r="C138" s="3" t="inlineStr">
        <is>
          <t>Đèn D2</t>
        </is>
      </c>
      <c r="D138" s="3" t="inlineStr">
        <is>
          <t>Dụng cụ BHLĐ</t>
        </is>
      </c>
      <c r="E138" s="3" t="inlineStr">
        <is>
          <t>cái</t>
        </is>
      </c>
      <c r="F138" s="3" t="n">
        <v>1.1167</v>
      </c>
      <c r="G138" s="3" t="n">
        <v>350000</v>
      </c>
      <c r="H138" s="3" t="inlineStr"/>
      <c r="I138" s="3" t="n">
        <v>729</v>
      </c>
      <c r="J138" s="3">
        <f>ROUND(F138*I138, 0)</f>
        <v/>
      </c>
    </row>
    <row r="139">
      <c r="A139" s="2" t="n">
        <v>135</v>
      </c>
      <c r="B139" s="2" t="inlineStr">
        <is>
          <t>DC_135</t>
        </is>
      </c>
      <c r="C139" s="2" t="inlineStr">
        <is>
          <t>Đèn EDL</t>
        </is>
      </c>
      <c r="D139" s="2" t="inlineStr">
        <is>
          <t>Dụng cụ BHLĐ</t>
        </is>
      </c>
      <c r="E139" s="2" t="inlineStr">
        <is>
          <t>cái</t>
        </is>
      </c>
      <c r="F139" s="2" t="n">
        <v>0.2667</v>
      </c>
      <c r="G139" s="2" t="n">
        <v>350000</v>
      </c>
      <c r="H139" s="2" t="inlineStr"/>
      <c r="I139" s="2" t="n">
        <v>729</v>
      </c>
      <c r="J139" s="2">
        <f>ROUND(F139*I139, 0)</f>
        <v/>
      </c>
    </row>
    <row r="140">
      <c r="A140" s="3" t="n">
        <v>136</v>
      </c>
      <c r="B140" s="3" t="inlineStr">
        <is>
          <t>DC_136</t>
        </is>
      </c>
      <c r="C140" s="3" t="inlineStr">
        <is>
          <t>Đèn HCL</t>
        </is>
      </c>
      <c r="D140" s="3" t="inlineStr">
        <is>
          <t>Dụng cụ BHLĐ</t>
        </is>
      </c>
      <c r="E140" s="3" t="inlineStr">
        <is>
          <t>cái</t>
        </is>
      </c>
      <c r="F140" s="3" t="n">
        <v>0.425</v>
      </c>
      <c r="G140" s="3" t="n">
        <v>350000</v>
      </c>
      <c r="H140" s="3" t="inlineStr"/>
      <c r="I140" s="3" t="n">
        <v>729</v>
      </c>
      <c r="J140" s="3">
        <f>ROUND(F140*I140, 0)</f>
        <v/>
      </c>
    </row>
    <row r="141">
      <c r="A141" s="2" t="n">
        <v>137</v>
      </c>
      <c r="B141" s="2" t="inlineStr">
        <is>
          <t>DC_137</t>
        </is>
      </c>
      <c r="C141" s="2" t="inlineStr">
        <is>
          <t>Đèn Tungsten</t>
        </is>
      </c>
      <c r="D141" s="2" t="inlineStr">
        <is>
          <t>Dụng cụ BHLĐ</t>
        </is>
      </c>
      <c r="E141" s="2" t="inlineStr">
        <is>
          <t>cái</t>
        </is>
      </c>
      <c r="F141" s="2" t="n">
        <v>1.1167</v>
      </c>
      <c r="G141" s="2" t="n">
        <v>350000</v>
      </c>
      <c r="H141" s="2" t="inlineStr"/>
      <c r="I141" s="2" t="n">
        <v>729</v>
      </c>
      <c r="J141" s="2">
        <f>ROUND(F141*I141, 0)</f>
        <v/>
      </c>
    </row>
    <row r="142">
      <c r="A142" s="3" t="n">
        <v>138</v>
      </c>
      <c r="B142" s="3" t="inlineStr">
        <is>
          <t>DC_138</t>
        </is>
      </c>
      <c r="C142" s="3" t="inlineStr">
        <is>
          <t>Đèn neon 40w</t>
        </is>
      </c>
      <c r="D142" s="3" t="inlineStr">
        <is>
          <t>Dụng cụ BHLĐ</t>
        </is>
      </c>
      <c r="E142" s="3" t="inlineStr">
        <is>
          <t>bộ</t>
        </is>
      </c>
      <c r="F142" s="3" t="n">
        <v>1.8167</v>
      </c>
      <c r="G142" s="3" t="n">
        <v>350000</v>
      </c>
      <c r="H142" s="3" t="inlineStr"/>
      <c r="I142" s="3" t="n">
        <v>729</v>
      </c>
      <c r="J142" s="3">
        <f>ROUND(F142*I142, 0)</f>
        <v/>
      </c>
    </row>
    <row r="143">
      <c r="A143" s="2" t="n">
        <v>139</v>
      </c>
      <c r="B143" s="2" t="inlineStr">
        <is>
          <t>DC_139</t>
        </is>
      </c>
      <c r="C143" s="2" t="inlineStr">
        <is>
          <t>Đĩa cân</t>
        </is>
      </c>
      <c r="D143" s="2" t="inlineStr">
        <is>
          <t>Dụng cụ BHLĐ</t>
        </is>
      </c>
      <c r="E143" s="2" t="inlineStr">
        <is>
          <t>cái</t>
        </is>
      </c>
      <c r="F143" s="2" t="n">
        <v>0.0867</v>
      </c>
      <c r="G143" s="2" t="n">
        <v>350000</v>
      </c>
      <c r="H143" s="2" t="inlineStr"/>
      <c r="I143" s="2" t="n">
        <v>292</v>
      </c>
      <c r="J143" s="2">
        <f>ROUND(F143*I143, 0)</f>
        <v/>
      </c>
    </row>
    <row r="144">
      <c r="A144" s="3" t="n">
        <v>140</v>
      </c>
      <c r="B144" s="3" t="inlineStr">
        <is>
          <t>DC_140</t>
        </is>
      </c>
      <c r="C144" s="3" t="inlineStr">
        <is>
          <t>Đĩa thủy tinh</t>
        </is>
      </c>
      <c r="D144" s="3" t="inlineStr">
        <is>
          <t>Dụng cụ BHLĐ</t>
        </is>
      </c>
      <c r="E144" s="3" t="inlineStr">
        <is>
          <t>cái</t>
        </is>
      </c>
      <c r="F144" s="3" t="n">
        <v>0.3333</v>
      </c>
      <c r="G144" s="3" t="n">
        <v>350000</v>
      </c>
      <c r="H144" s="3" t="inlineStr"/>
      <c r="I144" s="3" t="n">
        <v>2917</v>
      </c>
      <c r="J144" s="3">
        <f>ROUND(F144*I144, 0)</f>
        <v/>
      </c>
    </row>
    <row r="145">
      <c r="A145" s="2" t="n">
        <v>141</v>
      </c>
      <c r="B145" s="2" t="inlineStr">
        <is>
          <t>DC_141</t>
        </is>
      </c>
      <c r="C145" s="2" t="inlineStr">
        <is>
          <t>Đũa thủy tinh</t>
        </is>
      </c>
      <c r="D145" s="2" t="inlineStr">
        <is>
          <t>Dụng cụ BHLĐ</t>
        </is>
      </c>
      <c r="E145" s="2" t="inlineStr">
        <is>
          <t>cái</t>
        </is>
      </c>
      <c r="F145" s="2" t="n">
        <v>5.2667</v>
      </c>
      <c r="G145" s="2" t="n">
        <v>350000</v>
      </c>
      <c r="H145" s="2" t="inlineStr"/>
      <c r="I145" s="2" t="n">
        <v>2917</v>
      </c>
      <c r="J145" s="2">
        <f>ROUND(F145*I145, 0)</f>
        <v/>
      </c>
    </row>
    <row r="146">
      <c r="A146" s="3" t="n">
        <v>142</v>
      </c>
      <c r="B146" s="3" t="inlineStr">
        <is>
          <t>DC_142</t>
        </is>
      </c>
      <c r="C146" s="3" t="inlineStr">
        <is>
          <t>Đũa thủy tinh</t>
        </is>
      </c>
      <c r="D146" s="3" t="inlineStr">
        <is>
          <t>Dụng cụ BHLĐ</t>
        </is>
      </c>
      <c r="E146" s="3" t="inlineStr">
        <is>
          <t>cây</t>
        </is>
      </c>
      <c r="F146" s="3" t="n">
        <v>0.2333</v>
      </c>
      <c r="G146" s="3" t="n">
        <v>350000</v>
      </c>
      <c r="H146" s="3" t="inlineStr"/>
      <c r="I146" s="3" t="n">
        <v>2917</v>
      </c>
      <c r="J146" s="3">
        <f>ROUND(F146*I146, 0)</f>
        <v/>
      </c>
    </row>
    <row r="147">
      <c r="A147" s="2" t="n">
        <v>143</v>
      </c>
      <c r="B147" s="2" t="inlineStr">
        <is>
          <t>DC_143</t>
        </is>
      </c>
      <c r="C147" s="2" t="inlineStr">
        <is>
          <t>Đầu cone 1ml</t>
        </is>
      </c>
      <c r="D147" s="2" t="inlineStr">
        <is>
          <t>Dụng cụ BHLĐ</t>
        </is>
      </c>
      <c r="E147" s="2" t="inlineStr">
        <is>
          <t>cái</t>
        </is>
      </c>
      <c r="F147" s="2" t="n">
        <v>21.6</v>
      </c>
      <c r="G147" s="2" t="n">
        <v>350000</v>
      </c>
      <c r="H147" s="2" t="inlineStr"/>
      <c r="I147" s="2" t="n">
        <v>17500</v>
      </c>
      <c r="J147" s="2">
        <f>ROUND(F147*I147, 0)</f>
        <v/>
      </c>
    </row>
    <row r="148">
      <c r="A148" s="3" t="n">
        <v>144</v>
      </c>
      <c r="B148" s="3" t="inlineStr">
        <is>
          <t>DC_144</t>
        </is>
      </c>
      <c r="C148" s="3" t="inlineStr">
        <is>
          <t>Đầu cone 5ml</t>
        </is>
      </c>
      <c r="D148" s="3" t="inlineStr">
        <is>
          <t>Dụng cụ BHLĐ</t>
        </is>
      </c>
      <c r="E148" s="3" t="inlineStr">
        <is>
          <t>cái</t>
        </is>
      </c>
      <c r="F148" s="3" t="n">
        <v>9</v>
      </c>
      <c r="G148" s="3" t="n">
        <v>350000</v>
      </c>
      <c r="H148" s="3" t="inlineStr"/>
      <c r="I148" s="3" t="n">
        <v>17500</v>
      </c>
      <c r="J148" s="3">
        <f>ROUND(F148*I148, 0)</f>
        <v/>
      </c>
    </row>
    <row r="149">
      <c r="A149" s="2" t="n">
        <v>145</v>
      </c>
      <c r="B149" s="2" t="inlineStr">
        <is>
          <t>DC_145</t>
        </is>
      </c>
      <c r="C149" s="2" t="inlineStr">
        <is>
          <t>Đầu cone 5ml</t>
        </is>
      </c>
      <c r="D149" s="2" t="inlineStr">
        <is>
          <t>Dụng cụ BHLĐ</t>
        </is>
      </c>
      <c r="E149" s="2" t="inlineStr">
        <is>
          <t>Cái</t>
        </is>
      </c>
      <c r="F149" s="2" t="n">
        <v>1.8</v>
      </c>
      <c r="G149" s="2" t="n">
        <v>350000</v>
      </c>
      <c r="H149" s="2" t="inlineStr"/>
      <c r="I149" s="2" t="n">
        <v>17500</v>
      </c>
      <c r="J149" s="2">
        <f>ROUND(F149*I149, 0)</f>
        <v/>
      </c>
    </row>
    <row r="150">
      <c r="A150" s="3" t="n">
        <v>146</v>
      </c>
      <c r="B150" s="3" t="inlineStr">
        <is>
          <t>DC_146</t>
        </is>
      </c>
      <c r="C150" s="3" t="inlineStr">
        <is>
          <t>Đầu lấy mẫu</t>
        </is>
      </c>
      <c r="D150" s="3" t="inlineStr">
        <is>
          <t>Dụng cụ BHLĐ</t>
        </is>
      </c>
      <c r="E150" s="3" t="inlineStr">
        <is>
          <t>cái</t>
        </is>
      </c>
      <c r="F150" s="3" t="n">
        <v>0.52</v>
      </c>
      <c r="G150" s="3" t="n">
        <v>350000</v>
      </c>
      <c r="H150" s="3" t="inlineStr"/>
      <c r="I150" s="3" t="n">
        <v>3500</v>
      </c>
      <c r="J150" s="3">
        <f>ROUND(F150*I150, 0)</f>
        <v/>
      </c>
    </row>
    <row r="151">
      <c r="A151" s="2" t="n">
        <v>147</v>
      </c>
      <c r="B151" s="2" t="inlineStr">
        <is>
          <t>DC_147</t>
        </is>
      </c>
      <c r="C151" s="2" t="inlineStr">
        <is>
          <t>Đầu điện cực</t>
        </is>
      </c>
      <c r="D151" s="2" t="inlineStr">
        <is>
          <t>Dụng cụ BHLĐ</t>
        </is>
      </c>
      <c r="E151" s="2" t="inlineStr">
        <is>
          <t>cái</t>
        </is>
      </c>
      <c r="F151" s="2" t="n">
        <v>0.2333</v>
      </c>
      <c r="G151" s="2" t="n">
        <v>350000</v>
      </c>
      <c r="H151" s="2" t="inlineStr"/>
      <c r="I151" s="2" t="n">
        <v>2917</v>
      </c>
      <c r="J151" s="2">
        <f>ROUND(F151*I151, 0)</f>
        <v/>
      </c>
    </row>
    <row r="152">
      <c r="A152" s="3" t="n">
        <v>148</v>
      </c>
      <c r="B152" s="3" t="inlineStr">
        <is>
          <t>DC_148</t>
        </is>
      </c>
      <c r="C152" s="3" t="inlineStr">
        <is>
          <t>Đầu đo</t>
        </is>
      </c>
      <c r="D152" s="3" t="inlineStr">
        <is>
          <t>Dụng cụ BHLĐ</t>
        </is>
      </c>
      <c r="E152" s="3" t="inlineStr">
        <is>
          <t>cái</t>
        </is>
      </c>
      <c r="F152" s="3" t="n">
        <v>1.2</v>
      </c>
      <c r="G152" s="3" t="n">
        <v>350000</v>
      </c>
      <c r="H152" s="3" t="inlineStr"/>
      <c r="I152" s="3" t="n">
        <v>2917</v>
      </c>
      <c r="J152" s="3">
        <f>ROUND(F152*I152, 0)</f>
        <v/>
      </c>
    </row>
    <row r="153">
      <c r="A153" s="2" t="n">
        <v>149</v>
      </c>
      <c r="B153" s="2" t="inlineStr">
        <is>
          <t>DC_149</t>
        </is>
      </c>
      <c r="C153" s="2" t="inlineStr">
        <is>
          <t>Ống chứa mẫu 15ml (có nắp)</t>
        </is>
      </c>
      <c r="D153" s="2" t="inlineStr">
        <is>
          <t>Dụng cụ BHLĐ</t>
        </is>
      </c>
      <c r="E153" s="2" t="inlineStr">
        <is>
          <t>cái</t>
        </is>
      </c>
      <c r="F153" s="2" t="n">
        <v>1.1667</v>
      </c>
      <c r="G153" s="2" t="n">
        <v>180000</v>
      </c>
      <c r="H153" s="2" t="inlineStr"/>
      <c r="I153" s="2" t="n">
        <v>1500</v>
      </c>
      <c r="J153" s="2">
        <f>ROUND(F153*I153, 0)</f>
        <v/>
      </c>
    </row>
    <row r="154">
      <c r="A154" s="3" t="n">
        <v>150</v>
      </c>
      <c r="B154" s="3" t="inlineStr">
        <is>
          <t>DC_150</t>
        </is>
      </c>
      <c r="C154" s="3" t="inlineStr">
        <is>
          <t>Ống hút</t>
        </is>
      </c>
      <c r="D154" s="3" t="inlineStr">
        <is>
          <t>Dụng cụ BHLĐ</t>
        </is>
      </c>
      <c r="E154" s="3" t="inlineStr">
        <is>
          <t>cái</t>
        </is>
      </c>
      <c r="F154" s="3" t="n">
        <v>2.3333</v>
      </c>
      <c r="G154" s="3" t="n">
        <v>180000</v>
      </c>
      <c r="H154" s="3" t="inlineStr"/>
      <c r="I154" s="3" t="n">
        <v>3000</v>
      </c>
      <c r="J154" s="3">
        <f>ROUND(F154*I154, 0)</f>
        <v/>
      </c>
    </row>
    <row r="155">
      <c r="A155" s="2" t="n">
        <v>151</v>
      </c>
      <c r="B155" s="2" t="inlineStr">
        <is>
          <t>DC_151</t>
        </is>
      </c>
      <c r="C155" s="2" t="inlineStr">
        <is>
          <t>Ống hấp thụ</t>
        </is>
      </c>
      <c r="D155" s="2" t="inlineStr">
        <is>
          <t>Dụng cụ BHLĐ</t>
        </is>
      </c>
      <c r="E155" s="2" t="inlineStr">
        <is>
          <t>cái</t>
        </is>
      </c>
      <c r="F155" s="2" t="n">
        <v>0.3333</v>
      </c>
      <c r="G155" s="2" t="n">
        <v>180000</v>
      </c>
      <c r="H155" s="2" t="inlineStr"/>
      <c r="I155" s="2" t="n">
        <v>1500</v>
      </c>
      <c r="J155" s="2">
        <f>ROUND(F155*I155, 0)</f>
        <v/>
      </c>
    </row>
    <row r="156">
      <c r="A156" s="3" t="n">
        <v>152</v>
      </c>
      <c r="B156" s="3" t="inlineStr">
        <is>
          <t>DC_152</t>
        </is>
      </c>
      <c r="C156" s="3" t="inlineStr">
        <is>
          <t>Ống lấy mẫu</t>
        </is>
      </c>
      <c r="D156" s="3" t="inlineStr">
        <is>
          <t>Dụng cụ BHLĐ</t>
        </is>
      </c>
      <c r="E156" s="3" t="inlineStr">
        <is>
          <t>cái</t>
        </is>
      </c>
      <c r="F156" s="3" t="n">
        <v>0.0333</v>
      </c>
      <c r="G156" s="3" t="n">
        <v>180000</v>
      </c>
      <c r="H156" s="3" t="inlineStr"/>
      <c r="I156" s="3" t="n">
        <v>500</v>
      </c>
      <c r="J156" s="3">
        <f>ROUND(F156*I156, 0)</f>
        <v/>
      </c>
    </row>
    <row r="157">
      <c r="A157" s="2" t="n">
        <v>153</v>
      </c>
      <c r="B157" s="2" t="inlineStr">
        <is>
          <t>DC_153</t>
        </is>
      </c>
      <c r="C157" s="2" t="inlineStr">
        <is>
          <t>Ống nghiệm</t>
        </is>
      </c>
      <c r="D157" s="2" t="inlineStr">
        <is>
          <t>Dụng cụ BHLĐ</t>
        </is>
      </c>
      <c r="E157" s="2" t="inlineStr">
        <is>
          <t>cái</t>
        </is>
      </c>
      <c r="F157" s="2" t="n">
        <v>0.3333</v>
      </c>
      <c r="G157" s="2" t="n">
        <v>180000</v>
      </c>
      <c r="H157" s="2" t="inlineStr"/>
      <c r="I157" s="2" t="n">
        <v>1500</v>
      </c>
      <c r="J157" s="2">
        <f>ROUND(F157*I157, 0)</f>
        <v/>
      </c>
    </row>
    <row r="158">
      <c r="A158" s="3" t="n">
        <v>154</v>
      </c>
      <c r="B158" s="3" t="inlineStr">
        <is>
          <t>DC_154</t>
        </is>
      </c>
      <c r="C158" s="3" t="inlineStr">
        <is>
          <t>Ống phá mẫu có nắp kín</t>
        </is>
      </c>
      <c r="D158" s="3" t="inlineStr">
        <is>
          <t>Dụng cụ BHLĐ</t>
        </is>
      </c>
      <c r="E158" s="3" t="inlineStr">
        <is>
          <t>cái</t>
        </is>
      </c>
      <c r="F158" s="3" t="n">
        <v>0.3</v>
      </c>
      <c r="G158" s="3" t="n">
        <v>180000</v>
      </c>
      <c r="H158" s="3" t="inlineStr"/>
      <c r="I158" s="3" t="n">
        <v>1500</v>
      </c>
      <c r="J158" s="3">
        <f>ROUND(F158*I158, 0)</f>
        <v/>
      </c>
    </row>
    <row r="159">
      <c r="A159" s="2" t="n">
        <v>155</v>
      </c>
      <c r="B159" s="2" t="inlineStr">
        <is>
          <t>DC_155</t>
        </is>
      </c>
      <c r="C159" s="2" t="inlineStr">
        <is>
          <t>Ống thép không rỉ</t>
        </is>
      </c>
      <c r="D159" s="2" t="inlineStr">
        <is>
          <t>Dụng cụ BHLĐ</t>
        </is>
      </c>
      <c r="E159" s="2" t="inlineStr">
        <is>
          <t>cái</t>
        </is>
      </c>
      <c r="F159" s="2" t="n">
        <v>0.0833</v>
      </c>
      <c r="G159" s="2" t="n">
        <v>180000</v>
      </c>
      <c r="H159" s="2" t="inlineStr"/>
      <c r="I159" s="2" t="n">
        <v>750</v>
      </c>
      <c r="J159" s="2">
        <f>ROUND(F159*I159, 0)</f>
        <v/>
      </c>
    </row>
    <row r="160">
      <c r="A160" s="3" t="n">
        <v>156</v>
      </c>
      <c r="B160" s="3" t="inlineStr">
        <is>
          <t>DC_156</t>
        </is>
      </c>
      <c r="C160" s="3" t="inlineStr">
        <is>
          <t>Ống đong 100ml</t>
        </is>
      </c>
      <c r="D160" s="3" t="inlineStr">
        <is>
          <t>Dụng cụ BHLĐ</t>
        </is>
      </c>
      <c r="E160" s="3" t="inlineStr">
        <is>
          <t>cái</t>
        </is>
      </c>
      <c r="F160" s="3" t="n">
        <v>0.2333</v>
      </c>
      <c r="G160" s="3" t="n">
        <v>180000</v>
      </c>
      <c r="H160" s="3" t="inlineStr"/>
      <c r="I160" s="3" t="n">
        <v>1500</v>
      </c>
      <c r="J160" s="3">
        <f>ROUND(F160*I160, 0)</f>
        <v/>
      </c>
    </row>
    <row r="161">
      <c r="A161" s="2" t="n">
        <v>157</v>
      </c>
      <c r="B161" s="2" t="inlineStr">
        <is>
          <t>DC_157</t>
        </is>
      </c>
      <c r="C161" s="2" t="inlineStr">
        <is>
          <t>Ống đong 250ml</t>
        </is>
      </c>
      <c r="D161" s="2" t="inlineStr">
        <is>
          <t>Dụng cụ BHLĐ</t>
        </is>
      </c>
      <c r="E161" s="2" t="inlineStr">
        <is>
          <t>cái</t>
        </is>
      </c>
      <c r="F161" s="2" t="n">
        <v>0.5667</v>
      </c>
      <c r="G161" s="2" t="n">
        <v>180000</v>
      </c>
      <c r="H161" s="2" t="inlineStr"/>
      <c r="I161" s="2" t="n">
        <v>1500</v>
      </c>
      <c r="J161" s="2">
        <f>ROUND(F161*I161, 0)</f>
        <v/>
      </c>
    </row>
    <row r="162">
      <c r="A162" s="3" t="n">
        <v>158</v>
      </c>
      <c r="B162" s="3" t="inlineStr">
        <is>
          <t>DC_158</t>
        </is>
      </c>
      <c r="C162" s="3" t="inlineStr">
        <is>
          <t>Ổ cắm điện có cầu chì</t>
        </is>
      </c>
      <c r="D162" s="3" t="inlineStr">
        <is>
          <t>Dụng cụ BHLĐ</t>
        </is>
      </c>
      <c r="E162" s="3" t="inlineStr">
        <is>
          <t>cái</t>
        </is>
      </c>
      <c r="F162" s="3" t="n">
        <v>0.1389</v>
      </c>
      <c r="G162" s="3" t="n">
        <v>350000</v>
      </c>
      <c r="H162" s="3" t="inlineStr"/>
      <c r="I162" s="3" t="n">
        <v>486</v>
      </c>
      <c r="J162" s="3">
        <f>ROUND(F162*I162, 0)</f>
        <v/>
      </c>
    </row>
    <row r="163">
      <c r="A163" s="2" t="n">
        <v>159</v>
      </c>
      <c r="B163" s="2" t="inlineStr">
        <is>
          <t>TB_001</t>
        </is>
      </c>
      <c r="C163" s="2" t="inlineStr">
        <is>
          <t>Bơm chân không</t>
        </is>
      </c>
      <c r="D163" s="2" t="inlineStr">
        <is>
          <t>Ca máy thiết bị</t>
        </is>
      </c>
      <c r="E163" s="2" t="inlineStr">
        <is>
          <t>cái</t>
        </is>
      </c>
      <c r="F163" s="2" t="n">
        <v>4.8</v>
      </c>
      <c r="G163" s="2" t="n">
        <v>150000000</v>
      </c>
      <c r="H163" s="2" t="inlineStr"/>
      <c r="I163" s="2" t="n">
        <v>88800</v>
      </c>
      <c r="J163" s="2">
        <f>ROUND(F163*I163, 0)</f>
        <v/>
      </c>
    </row>
    <row r="164">
      <c r="A164" s="3" t="n">
        <v>160</v>
      </c>
      <c r="B164" s="3" t="inlineStr">
        <is>
          <t>TB_002</t>
        </is>
      </c>
      <c r="C164" s="3" t="inlineStr">
        <is>
          <t>Bộ chuẩn lưu lượng</t>
        </is>
      </c>
      <c r="D164" s="3" t="inlineStr">
        <is>
          <t>Ca máy thiết bị</t>
        </is>
      </c>
      <c r="E164" s="3" t="inlineStr">
        <is>
          <t>bộ</t>
        </is>
      </c>
      <c r="F164" s="3" t="n">
        <v>2.4</v>
      </c>
      <c r="G164" s="3" t="n">
        <v>150000000</v>
      </c>
      <c r="H164" s="3" t="inlineStr"/>
      <c r="I164" s="3" t="n">
        <v>152400</v>
      </c>
      <c r="J164" s="3">
        <f>ROUND(F164*I164, 0)</f>
        <v/>
      </c>
    </row>
    <row r="165">
      <c r="A165" s="2" t="n">
        <v>161</v>
      </c>
      <c r="B165" s="2" t="inlineStr">
        <is>
          <t>TB_003</t>
        </is>
      </c>
      <c r="C165" s="2" t="inlineStr">
        <is>
          <t>Bộ lưu giữ số liệu (Data logger)</t>
        </is>
      </c>
      <c r="D165" s="2" t="inlineStr">
        <is>
          <t>Ca máy thiết bị</t>
        </is>
      </c>
      <c r="E165" s="2" t="inlineStr">
        <is>
          <t>bộ</t>
        </is>
      </c>
      <c r="F165" s="2" t="n">
        <v>5</v>
      </c>
      <c r="G165" s="2" t="n">
        <v>150000000</v>
      </c>
      <c r="H165" s="2" t="inlineStr"/>
      <c r="I165" s="2" t="n">
        <v>160800</v>
      </c>
      <c r="J165" s="2">
        <f>ROUND(F165*I165, 0)</f>
        <v/>
      </c>
    </row>
    <row r="166">
      <c r="A166" s="3" t="n">
        <v>162</v>
      </c>
      <c r="B166" s="3" t="inlineStr">
        <is>
          <t>TB_004</t>
        </is>
      </c>
      <c r="C166" s="3" t="inlineStr">
        <is>
          <t>Bộ lấy mẫu khí</t>
        </is>
      </c>
      <c r="D166" s="3" t="inlineStr">
        <is>
          <t>Ca máy thiết bị</t>
        </is>
      </c>
      <c r="E166" s="3" t="inlineStr">
        <is>
          <t>bộ</t>
        </is>
      </c>
      <c r="F166" s="3" t="n">
        <v>4</v>
      </c>
      <c r="G166" s="3" t="n">
        <v>450000000</v>
      </c>
      <c r="H166" s="3" t="inlineStr"/>
      <c r="I166" s="3" t="n">
        <v>448800</v>
      </c>
      <c r="J166" s="3">
        <f>ROUND(F166*I166, 0)</f>
        <v/>
      </c>
    </row>
    <row r="167">
      <c r="A167" s="2" t="n">
        <v>163</v>
      </c>
      <c r="B167" s="2" t="inlineStr">
        <is>
          <t>TB_005</t>
        </is>
      </c>
      <c r="C167" s="2" t="inlineStr">
        <is>
          <t>Bộ lọc hút chân không</t>
        </is>
      </c>
      <c r="D167" s="2" t="inlineStr">
        <is>
          <t>Ca máy thiết bị</t>
        </is>
      </c>
      <c r="E167" s="2" t="inlineStr">
        <is>
          <t>bộ</t>
        </is>
      </c>
      <c r="F167" s="2" t="n">
        <v>1.6</v>
      </c>
      <c r="G167" s="2" t="n">
        <v>150000000</v>
      </c>
      <c r="H167" s="2" t="inlineStr"/>
      <c r="I167" s="2" t="n">
        <v>79560</v>
      </c>
      <c r="J167" s="2">
        <f>ROUND(F167*I167, 0)</f>
        <v/>
      </c>
    </row>
    <row r="168">
      <c r="A168" s="3" t="n">
        <v>164</v>
      </c>
      <c r="B168" s="3" t="inlineStr">
        <is>
          <t>TB_006</t>
        </is>
      </c>
      <c r="C168" s="3" t="inlineStr">
        <is>
          <t>Bộ phân tích thủy ngân và asen MHS hoặc FIAS</t>
        </is>
      </c>
      <c r="D168" s="3" t="inlineStr">
        <is>
          <t>Ca máy thiết bị</t>
        </is>
      </c>
      <c r="E168" s="3" t="inlineStr">
        <is>
          <t>bộ</t>
        </is>
      </c>
      <c r="F168" s="3" t="n">
        <v>36.8</v>
      </c>
      <c r="G168" s="3" t="n">
        <v>150000000</v>
      </c>
      <c r="H168" s="3" t="inlineStr"/>
      <c r="I168" s="3" t="n">
        <v>82080</v>
      </c>
      <c r="J168" s="3">
        <f>ROUND(F168*I168, 0)</f>
        <v/>
      </c>
    </row>
    <row r="169">
      <c r="A169" s="2" t="n">
        <v>165</v>
      </c>
      <c r="B169" s="2" t="inlineStr">
        <is>
          <t>TB_007</t>
        </is>
      </c>
      <c r="C169" s="2" t="inlineStr">
        <is>
          <t>Bộ tạo khí 0 (zezo)</t>
        </is>
      </c>
      <c r="D169" s="2" t="inlineStr">
        <is>
          <t>Ca máy thiết bị</t>
        </is>
      </c>
      <c r="E169" s="2" t="inlineStr">
        <is>
          <t>bộ</t>
        </is>
      </c>
      <c r="F169" s="2" t="n">
        <v>5</v>
      </c>
      <c r="G169" s="2" t="n">
        <v>150000000</v>
      </c>
      <c r="H169" s="2" t="inlineStr"/>
      <c r="I169" s="2" t="n">
        <v>144000</v>
      </c>
      <c r="J169" s="2">
        <f>ROUND(F169*I169, 0)</f>
        <v/>
      </c>
    </row>
    <row r="170">
      <c r="A170" s="3" t="n">
        <v>166</v>
      </c>
      <c r="B170" s="3" t="inlineStr">
        <is>
          <t>TB_008</t>
        </is>
      </c>
      <c r="C170" s="3" t="inlineStr">
        <is>
          <t>Cân phân tích</t>
        </is>
      </c>
      <c r="D170" s="3" t="inlineStr">
        <is>
          <t>Ca máy thiết bị</t>
        </is>
      </c>
      <c r="E170" s="3" t="inlineStr">
        <is>
          <t>cái</t>
        </is>
      </c>
      <c r="F170" s="3" t="n">
        <v>152</v>
      </c>
      <c r="G170" s="3" t="n">
        <v>85000000</v>
      </c>
      <c r="H170" s="3" t="inlineStr"/>
      <c r="I170" s="3" t="n">
        <v>41808</v>
      </c>
      <c r="J170" s="3">
        <f>ROUND(F170*I170, 0)</f>
        <v/>
      </c>
    </row>
    <row r="171">
      <c r="A171" s="2" t="n">
        <v>167</v>
      </c>
      <c r="B171" s="2" t="inlineStr">
        <is>
          <t>TB_009</t>
        </is>
      </c>
      <c r="C171" s="2" t="inlineStr">
        <is>
          <t>Hệ thống nạp mẫu khí</t>
        </is>
      </c>
      <c r="D171" s="2" t="inlineStr">
        <is>
          <t>Ca máy thiết bị</t>
        </is>
      </c>
      <c r="E171" s="2" t="inlineStr">
        <is>
          <t>bộ</t>
        </is>
      </c>
      <c r="F171" s="2" t="n">
        <v>7.2</v>
      </c>
      <c r="G171" s="2" t="n">
        <v>150000000</v>
      </c>
      <c r="H171" s="2" t="inlineStr"/>
      <c r="I171" s="2" t="n">
        <v>74520</v>
      </c>
      <c r="J171" s="2">
        <f>ROUND(F171*I171, 0)</f>
        <v/>
      </c>
    </row>
    <row r="172">
      <c r="A172" s="3" t="n">
        <v>168</v>
      </c>
      <c r="B172" s="3" t="inlineStr">
        <is>
          <t>TB_010</t>
        </is>
      </c>
      <c r="C172" s="3" t="inlineStr">
        <is>
          <t>LAmax</t>
        </is>
      </c>
      <c r="D172" s="3" t="inlineStr">
        <is>
          <t>Ca máy thiết bị</t>
        </is>
      </c>
      <c r="E172" s="3" t="inlineStr">
        <is>
          <t>Như mục 2TO2a</t>
        </is>
      </c>
      <c r="F172" s="3" t="n">
        <v>0</v>
      </c>
      <c r="G172" s="3" t="n">
        <v>150000000</v>
      </c>
      <c r="H172" s="3" t="inlineStr"/>
      <c r="I172" s="3" t="n">
        <v>72000</v>
      </c>
      <c r="J172" s="3">
        <f>ROUND(F172*I172, 0)</f>
        <v/>
      </c>
    </row>
    <row r="173">
      <c r="A173" s="2" t="n">
        <v>169</v>
      </c>
      <c r="B173" s="2" t="inlineStr">
        <is>
          <t>TB_011</t>
        </is>
      </c>
      <c r="C173" s="2" t="inlineStr">
        <is>
          <t>Lò chuyển hóa</t>
        </is>
      </c>
      <c r="D173" s="2" t="inlineStr">
        <is>
          <t>Ca máy thiết bị</t>
        </is>
      </c>
      <c r="E173" s="2" t="inlineStr">
        <is>
          <t>bộ</t>
        </is>
      </c>
      <c r="F173" s="2" t="n">
        <v>7.2</v>
      </c>
      <c r="G173" s="2" t="n">
        <v>150000000</v>
      </c>
      <c r="H173" s="2" t="inlineStr"/>
      <c r="I173" s="2" t="n">
        <v>77040</v>
      </c>
      <c r="J173" s="2">
        <f>ROUND(F173*I173, 0)</f>
        <v/>
      </c>
    </row>
    <row r="174">
      <c r="A174" s="3" t="n">
        <v>170</v>
      </c>
      <c r="B174" s="3" t="inlineStr">
        <is>
          <t>TB_012</t>
        </is>
      </c>
      <c r="C174" s="3" t="inlineStr">
        <is>
          <t>Lò vi sóng</t>
        </is>
      </c>
      <c r="D174" s="3" t="inlineStr">
        <is>
          <t>Ca máy thiết bị</t>
        </is>
      </c>
      <c r="E174" s="3" t="inlineStr">
        <is>
          <t>cái</t>
        </is>
      </c>
      <c r="F174" s="3" t="n">
        <v>7.44</v>
      </c>
      <c r="G174" s="3" t="n">
        <v>150000000</v>
      </c>
      <c r="H174" s="3" t="inlineStr"/>
      <c r="I174" s="3" t="n">
        <v>73680</v>
      </c>
      <c r="J174" s="3">
        <f>ROUND(F174*I174, 0)</f>
        <v/>
      </c>
    </row>
    <row r="175">
      <c r="A175" s="2" t="n">
        <v>171</v>
      </c>
      <c r="B175" s="2" t="inlineStr">
        <is>
          <t>TB_013</t>
        </is>
      </c>
      <c r="C175" s="2" t="inlineStr">
        <is>
          <t>Modul phân tích khí CO</t>
        </is>
      </c>
      <c r="D175" s="2" t="inlineStr">
        <is>
          <t>Ca máy thiết bị</t>
        </is>
      </c>
      <c r="E175" s="2" t="inlineStr">
        <is>
          <t>cái</t>
        </is>
      </c>
      <c r="F175" s="2" t="n">
        <v>5</v>
      </c>
      <c r="G175" s="2" t="n">
        <v>150000000</v>
      </c>
      <c r="H175" s="2" t="inlineStr"/>
      <c r="I175" s="2" t="n">
        <v>144000</v>
      </c>
      <c r="J175" s="2">
        <f>ROUND(F175*I175, 0)</f>
        <v/>
      </c>
    </row>
    <row r="176">
      <c r="A176" s="3" t="n">
        <v>172</v>
      </c>
      <c r="B176" s="3" t="inlineStr">
        <is>
          <t>TB_014</t>
        </is>
      </c>
      <c r="C176" s="3" t="inlineStr">
        <is>
          <t>Máy chưng cất đạm tự động</t>
        </is>
      </c>
      <c r="D176" s="3" t="inlineStr">
        <is>
          <t>Ca máy thiết bị</t>
        </is>
      </c>
      <c r="E176" s="3" t="inlineStr">
        <is>
          <t>bộ</t>
        </is>
      </c>
      <c r="F176" s="3" t="n">
        <v>2.4</v>
      </c>
      <c r="G176" s="3" t="n">
        <v>150000000</v>
      </c>
      <c r="H176" s="3" t="inlineStr"/>
      <c r="I176" s="3" t="n">
        <v>81240</v>
      </c>
      <c r="J176" s="3">
        <f>ROUND(F176*I176, 0)</f>
        <v/>
      </c>
    </row>
    <row r="177">
      <c r="A177" s="2" t="n">
        <v>173</v>
      </c>
      <c r="B177" s="2" t="inlineStr">
        <is>
          <t>TB_015</t>
        </is>
      </c>
      <c r="C177" s="2" t="inlineStr">
        <is>
          <t>Máy cất quay chân không</t>
        </is>
      </c>
      <c r="D177" s="2" t="inlineStr">
        <is>
          <t>Ca máy thiết bị</t>
        </is>
      </c>
      <c r="E177" s="2" t="inlineStr">
        <is>
          <t>bộ</t>
        </is>
      </c>
      <c r="F177" s="2" t="n">
        <v>2.8</v>
      </c>
      <c r="G177" s="2" t="n">
        <v>150000000</v>
      </c>
      <c r="H177" s="2" t="inlineStr"/>
      <c r="I177" s="2" t="n">
        <v>82920</v>
      </c>
      <c r="J177" s="2">
        <f>ROUND(F177*I177, 0)</f>
        <v/>
      </c>
    </row>
    <row r="178">
      <c r="A178" s="3" t="n">
        <v>174</v>
      </c>
      <c r="B178" s="3" t="inlineStr">
        <is>
          <t>TB_016</t>
        </is>
      </c>
      <c r="C178" s="3" t="inlineStr">
        <is>
          <t>Máy khuấy từ</t>
        </is>
      </c>
      <c r="D178" s="3" t="inlineStr">
        <is>
          <t>Ca máy thiết bị</t>
        </is>
      </c>
      <c r="E178" s="3" t="inlineStr">
        <is>
          <t>cái</t>
        </is>
      </c>
      <c r="F178" s="3" t="n">
        <v>4.72</v>
      </c>
      <c r="G178" s="3" t="n">
        <v>150000000</v>
      </c>
      <c r="H178" s="3" t="inlineStr"/>
      <c r="I178" s="3" t="n">
        <v>144000</v>
      </c>
      <c r="J178" s="3">
        <f>ROUND(F178*I178, 0)</f>
        <v/>
      </c>
    </row>
    <row r="179">
      <c r="A179" s="2" t="n">
        <v>175</v>
      </c>
      <c r="B179" s="2" t="inlineStr">
        <is>
          <t>TB_017</t>
        </is>
      </c>
      <c r="C179" s="2" t="inlineStr">
        <is>
          <t>Máy lắc xoay tròn</t>
        </is>
      </c>
      <c r="D179" s="2" t="inlineStr">
        <is>
          <t>Ca máy thiết bị</t>
        </is>
      </c>
      <c r="E179" s="2" t="inlineStr">
        <is>
          <t>bộ</t>
        </is>
      </c>
      <c r="F179" s="2" t="n">
        <v>20</v>
      </c>
      <c r="G179" s="2" t="n">
        <v>150000000</v>
      </c>
      <c r="H179" s="2" t="inlineStr"/>
      <c r="I179" s="2" t="n">
        <v>77040</v>
      </c>
      <c r="J179" s="2">
        <f>ROUND(F179*I179, 0)</f>
        <v/>
      </c>
    </row>
    <row r="180">
      <c r="A180" s="3" t="n">
        <v>176</v>
      </c>
      <c r="B180" s="3" t="inlineStr">
        <is>
          <t>TB_018</t>
        </is>
      </c>
      <c r="C180" s="3" t="inlineStr">
        <is>
          <t>Máy lọc chân không</t>
        </is>
      </c>
      <c r="D180" s="3" t="inlineStr">
        <is>
          <t>Ca máy thiết bị</t>
        </is>
      </c>
      <c r="E180" s="3" t="inlineStr">
        <is>
          <t>bộ</t>
        </is>
      </c>
      <c r="F180" s="3" t="n">
        <v>1.8</v>
      </c>
      <c r="G180" s="3" t="n">
        <v>150000000</v>
      </c>
      <c r="H180" s="3" t="inlineStr"/>
      <c r="I180" s="3" t="n">
        <v>79560</v>
      </c>
      <c r="J180" s="3">
        <f>ROUND(F180*I180, 0)</f>
        <v/>
      </c>
    </row>
    <row r="181">
      <c r="A181" s="2" t="n">
        <v>177</v>
      </c>
      <c r="B181" s="2" t="inlineStr">
        <is>
          <t>TB_019</t>
        </is>
      </c>
      <c r="C181" s="2" t="inlineStr">
        <is>
          <t>Máy phát điện 15 KVA 220V</t>
        </is>
      </c>
      <c r="D181" s="2" t="inlineStr">
        <is>
          <t>Ca máy thiết bị</t>
        </is>
      </c>
      <c r="E181" s="2" t="inlineStr">
        <is>
          <t>cái</t>
        </is>
      </c>
      <c r="F181" s="2" t="n">
        <v>6.2</v>
      </c>
      <c r="G181" s="2" t="n">
        <v>150000000</v>
      </c>
      <c r="H181" s="2" t="inlineStr"/>
      <c r="I181" s="2" t="n">
        <v>144000</v>
      </c>
      <c r="J181" s="2">
        <f>ROUND(F181*I181, 0)</f>
        <v/>
      </c>
    </row>
    <row r="182">
      <c r="A182" s="3" t="n">
        <v>178</v>
      </c>
      <c r="B182" s="3" t="inlineStr">
        <is>
          <t>TB_020</t>
        </is>
      </c>
      <c r="C182" s="3" t="inlineStr">
        <is>
          <t>Máy phân tích quang phổ AAS</t>
        </is>
      </c>
      <c r="D182" s="3" t="inlineStr">
        <is>
          <t>Ca máy thiết bị</t>
        </is>
      </c>
      <c r="E182" s="3" t="inlineStr">
        <is>
          <t>cái</t>
        </is>
      </c>
      <c r="F182" s="3" t="n">
        <v>7.2</v>
      </c>
      <c r="G182" s="3" t="n">
        <v>650000000</v>
      </c>
      <c r="H182" s="3" t="inlineStr"/>
      <c r="I182" s="3" t="n">
        <v>362400</v>
      </c>
      <c r="J182" s="3">
        <f>ROUND(F182*I182, 0)</f>
        <v/>
      </c>
    </row>
    <row r="183">
      <c r="A183" s="2" t="n">
        <v>179</v>
      </c>
      <c r="B183" s="2" t="inlineStr">
        <is>
          <t>TB_021</t>
        </is>
      </c>
      <c r="C183" s="2" t="inlineStr">
        <is>
          <t>Máy phân tích quang phổ AAS</t>
        </is>
      </c>
      <c r="D183" s="2" t="inlineStr">
        <is>
          <t>Ca máy thiết bị</t>
        </is>
      </c>
      <c r="E183" s="2" t="inlineStr">
        <is>
          <t>bộ</t>
        </is>
      </c>
      <c r="F183" s="2" t="n">
        <v>22</v>
      </c>
      <c r="G183" s="2" t="n">
        <v>650000000</v>
      </c>
      <c r="H183" s="2" t="inlineStr"/>
      <c r="I183" s="2" t="n">
        <v>362400</v>
      </c>
      <c r="J183" s="2">
        <f>ROUND(F183*I183, 0)</f>
        <v/>
      </c>
    </row>
    <row r="184">
      <c r="A184" s="3" t="n">
        <v>180</v>
      </c>
      <c r="B184" s="3" t="inlineStr">
        <is>
          <t>TB_022</t>
        </is>
      </c>
      <c r="C184" s="3" t="inlineStr">
        <is>
          <t>Máy phân tích quang phổ AAS hoặc cực phổ</t>
        </is>
      </c>
      <c r="D184" s="3" t="inlineStr">
        <is>
          <t>Ca máy thiết bị</t>
        </is>
      </c>
      <c r="E184" s="3" t="inlineStr">
        <is>
          <t>bộ</t>
        </is>
      </c>
      <c r="F184" s="3" t="n">
        <v>22</v>
      </c>
      <c r="G184" s="3" t="n">
        <v>650000000</v>
      </c>
      <c r="H184" s="3" t="inlineStr"/>
      <c r="I184" s="3" t="n">
        <v>362400</v>
      </c>
      <c r="J184" s="3">
        <f>ROUND(F184*I184, 0)</f>
        <v/>
      </c>
    </row>
    <row r="185">
      <c r="A185" s="2" t="n">
        <v>181</v>
      </c>
      <c r="B185" s="2" t="inlineStr">
        <is>
          <t>TB_023</t>
        </is>
      </c>
      <c r="C185" s="2" t="inlineStr">
        <is>
          <t>Máy phân tích sắc ký GC</t>
        </is>
      </c>
      <c r="D185" s="2" t="inlineStr">
        <is>
          <t>Ca máy thiết bị</t>
        </is>
      </c>
      <c r="E185" s="2" t="inlineStr">
        <is>
          <t>bộ</t>
        </is>
      </c>
      <c r="F185" s="2" t="n">
        <v>5</v>
      </c>
      <c r="G185" s="2" t="n">
        <v>1800000000</v>
      </c>
      <c r="H185" s="2" t="inlineStr"/>
      <c r="I185" s="2" t="n">
        <v>866520</v>
      </c>
      <c r="J185" s="2">
        <f>ROUND(F185*I185, 0)</f>
        <v/>
      </c>
    </row>
    <row r="186">
      <c r="A186" s="3" t="n">
        <v>182</v>
      </c>
      <c r="B186" s="3" t="inlineStr">
        <is>
          <t>TB_024</t>
        </is>
      </c>
      <c r="C186" s="3" t="inlineStr">
        <is>
          <t>Máy quang phổ UV-VIS</t>
        </is>
      </c>
      <c r="D186" s="3" t="inlineStr">
        <is>
          <t>Ca máy thiết bị</t>
        </is>
      </c>
      <c r="E186" s="3" t="inlineStr">
        <is>
          <t>cái</t>
        </is>
      </c>
      <c r="F186" s="3" t="n">
        <v>12.8</v>
      </c>
      <c r="G186" s="3" t="n">
        <v>650000000</v>
      </c>
      <c r="H186" s="3" t="inlineStr"/>
      <c r="I186" s="3" t="n">
        <v>321240</v>
      </c>
      <c r="J186" s="3">
        <f>ROUND(F186*I186, 0)</f>
        <v/>
      </c>
    </row>
    <row r="187">
      <c r="A187" s="2" t="n">
        <v>183</v>
      </c>
      <c r="B187" s="2" t="inlineStr">
        <is>
          <t>TB_025</t>
        </is>
      </c>
      <c r="C187" s="2" t="inlineStr">
        <is>
          <t>Máy quang phổ UV-VIS</t>
        </is>
      </c>
      <c r="D187" s="2" t="inlineStr">
        <is>
          <t>Ca máy thiết bị</t>
        </is>
      </c>
      <c r="E187" s="2" t="inlineStr">
        <is>
          <t>bộ</t>
        </is>
      </c>
      <c r="F187" s="2" t="n">
        <v>20</v>
      </c>
      <c r="G187" s="2" t="n">
        <v>650000000</v>
      </c>
      <c r="H187" s="2" t="inlineStr"/>
      <c r="I187" s="2" t="n">
        <v>321240</v>
      </c>
      <c r="J187" s="2">
        <f>ROUND(F187*I187, 0)</f>
        <v/>
      </c>
    </row>
    <row r="188">
      <c r="A188" s="3" t="n">
        <v>184</v>
      </c>
      <c r="B188" s="3" t="inlineStr">
        <is>
          <t>TB_026</t>
        </is>
      </c>
      <c r="C188" s="3" t="inlineStr">
        <is>
          <t>Máy tính xử lý số liệu</t>
        </is>
      </c>
      <c r="D188" s="3" t="inlineStr">
        <is>
          <t>Ca máy thiết bị</t>
        </is>
      </c>
      <c r="E188" s="3" t="inlineStr">
        <is>
          <t>bộ</t>
        </is>
      </c>
      <c r="F188" s="3" t="n">
        <v>1.696</v>
      </c>
      <c r="G188" s="3" t="n">
        <v>150000000</v>
      </c>
      <c r="H188" s="3" t="inlineStr"/>
      <c r="I188" s="3" t="n">
        <v>78720</v>
      </c>
      <c r="J188" s="3">
        <f>ROUND(F188*I188, 0)</f>
        <v/>
      </c>
    </row>
    <row r="189">
      <c r="A189" s="2" t="n">
        <v>185</v>
      </c>
      <c r="B189" s="2" t="inlineStr">
        <is>
          <t>TB_027</t>
        </is>
      </c>
      <c r="C189" s="2" t="inlineStr">
        <is>
          <t>Máy tạo đa khí chuẩn</t>
        </is>
      </c>
      <c r="D189" s="2" t="inlineStr">
        <is>
          <t>Ca máy thiết bị</t>
        </is>
      </c>
      <c r="E189" s="2" t="inlineStr">
        <is>
          <t>cái</t>
        </is>
      </c>
      <c r="F189" s="2" t="n">
        <v>5</v>
      </c>
      <c r="G189" s="2" t="n">
        <v>150000000</v>
      </c>
      <c r="H189" s="2" t="inlineStr"/>
      <c r="I189" s="2" t="n">
        <v>144000</v>
      </c>
      <c r="J189" s="2">
        <f>ROUND(F189*I189, 0)</f>
        <v/>
      </c>
    </row>
    <row r="190">
      <c r="A190" s="3" t="n">
        <v>186</v>
      </c>
      <c r="B190" s="3" t="inlineStr">
        <is>
          <t>TB_028</t>
        </is>
      </c>
      <c r="C190" s="3" t="inlineStr">
        <is>
          <t>Máy điều hòa nhiệt độ</t>
        </is>
      </c>
      <c r="D190" s="3" t="inlineStr">
        <is>
          <t>Ca máy thiết bị</t>
        </is>
      </c>
      <c r="E190" s="3" t="inlineStr">
        <is>
          <t>cái</t>
        </is>
      </c>
      <c r="F190" s="3" t="n">
        <v>58.16</v>
      </c>
      <c r="G190" s="3" t="n">
        <v>150000000</v>
      </c>
      <c r="H190" s="3" t="inlineStr"/>
      <c r="I190" s="3" t="n">
        <v>108960</v>
      </c>
      <c r="J190" s="3">
        <f>ROUND(F190*I190, 0)</f>
        <v/>
      </c>
    </row>
    <row r="191">
      <c r="A191" s="2" t="n">
        <v>187</v>
      </c>
      <c r="B191" s="2" t="inlineStr">
        <is>
          <t>TB_029</t>
        </is>
      </c>
      <c r="C191" s="2" t="inlineStr">
        <is>
          <t>Máy điều hòa nhiệt độ</t>
        </is>
      </c>
      <c r="D191" s="2" t="inlineStr">
        <is>
          <t>Ca máy thiết bị</t>
        </is>
      </c>
      <c r="E191" s="2" t="inlineStr">
        <is>
          <t>Cái</t>
        </is>
      </c>
      <c r="F191" s="2" t="n">
        <v>2.412</v>
      </c>
      <c r="G191" s="2" t="n">
        <v>150000000</v>
      </c>
      <c r="H191" s="2" t="inlineStr"/>
      <c r="I191" s="2" t="n">
        <v>108960</v>
      </c>
      <c r="J191" s="2">
        <f>ROUND(F191*I191, 0)</f>
        <v/>
      </c>
    </row>
    <row r="192">
      <c r="A192" s="3" t="n">
        <v>188</v>
      </c>
      <c r="B192" s="3" t="inlineStr">
        <is>
          <t>TB_030</t>
        </is>
      </c>
      <c r="C192" s="3" t="inlineStr">
        <is>
          <t>Máy định vị GPS cầm tay</t>
        </is>
      </c>
      <c r="D192" s="3" t="inlineStr">
        <is>
          <t>Ca máy thiết bị</t>
        </is>
      </c>
      <c r="E192" s="3" t="inlineStr">
        <is>
          <t>bộ</t>
        </is>
      </c>
      <c r="F192" s="3" t="n">
        <v>41.792</v>
      </c>
      <c r="G192" s="3" t="n">
        <v>150000000</v>
      </c>
      <c r="H192" s="3" t="inlineStr"/>
      <c r="I192" s="3" t="n">
        <v>144000</v>
      </c>
      <c r="J192" s="3">
        <f>ROUND(F192*I192, 0)</f>
        <v/>
      </c>
    </row>
    <row r="193">
      <c r="A193" s="2" t="n">
        <v>189</v>
      </c>
      <c r="B193" s="2" t="inlineStr">
        <is>
          <t>TB_031</t>
        </is>
      </c>
      <c r="C193" s="2" t="inlineStr">
        <is>
          <t>Máy định vị GPS cầm tay</t>
        </is>
      </c>
      <c r="D193" s="2" t="inlineStr">
        <is>
          <t>Ca máy thiết bị</t>
        </is>
      </c>
      <c r="E193" s="2" t="inlineStr">
        <is>
          <t>cái</t>
        </is>
      </c>
      <c r="F193" s="2" t="n">
        <v>74.92</v>
      </c>
      <c r="G193" s="2" t="n">
        <v>150000000</v>
      </c>
      <c r="H193" s="2" t="inlineStr"/>
      <c r="I193" s="2" t="n">
        <v>180000</v>
      </c>
      <c r="J193" s="2">
        <f>ROUND(F193*I193, 0)</f>
        <v/>
      </c>
    </row>
    <row r="194">
      <c r="A194" s="3" t="n">
        <v>190</v>
      </c>
      <c r="B194" s="3" t="inlineStr">
        <is>
          <t>TB_032</t>
        </is>
      </c>
      <c r="C194" s="3" t="inlineStr">
        <is>
          <t>Máy ảnh kỹ thuật số</t>
        </is>
      </c>
      <c r="D194" s="3" t="inlineStr">
        <is>
          <t>Ca máy thiết bị</t>
        </is>
      </c>
      <c r="E194" s="3" t="inlineStr">
        <is>
          <t>cái</t>
        </is>
      </c>
      <c r="F194" s="3" t="n">
        <v>17.76</v>
      </c>
      <c r="G194" s="3" t="n">
        <v>150000000</v>
      </c>
      <c r="H194" s="3" t="inlineStr"/>
      <c r="I194" s="3" t="n">
        <v>160800</v>
      </c>
      <c r="J194" s="3">
        <f>ROUND(F194*I194, 0)</f>
        <v/>
      </c>
    </row>
    <row r="195">
      <c r="A195" s="2" t="n">
        <v>191</v>
      </c>
      <c r="B195" s="2" t="inlineStr">
        <is>
          <t>TB_033</t>
        </is>
      </c>
      <c r="C195" s="2" t="inlineStr">
        <is>
          <t>Nhiệt ẩm kế Asman</t>
        </is>
      </c>
      <c r="D195" s="2" t="inlineStr">
        <is>
          <t>Ca máy thiết bị</t>
        </is>
      </c>
      <c r="E195" s="2" t="inlineStr">
        <is>
          <t>cái</t>
        </is>
      </c>
      <c r="F195" s="2" t="n">
        <v>3.2</v>
      </c>
      <c r="G195" s="2" t="n">
        <v>150000000</v>
      </c>
      <c r="H195" s="2" t="inlineStr"/>
      <c r="I195" s="2" t="n">
        <v>144000</v>
      </c>
      <c r="J195" s="2">
        <f>ROUND(F195*I195, 0)</f>
        <v/>
      </c>
    </row>
    <row r="196">
      <c r="A196" s="3" t="n">
        <v>192</v>
      </c>
      <c r="B196" s="3" t="inlineStr">
        <is>
          <t>TB_034</t>
        </is>
      </c>
      <c r="C196" s="3" t="inlineStr">
        <is>
          <t>Thiết bị chuyên dụng</t>
        </is>
      </c>
      <c r="D196" s="3" t="inlineStr">
        <is>
          <t>Ca máy thiết bị</t>
        </is>
      </c>
      <c r="E196" s="3" t="inlineStr">
        <is>
          <t>bộ</t>
        </is>
      </c>
      <c r="F196" s="3" t="n">
        <v>77.66</v>
      </c>
      <c r="G196" s="3" t="n">
        <v>150000000</v>
      </c>
      <c r="H196" s="3" t="inlineStr"/>
      <c r="I196" s="3" t="n">
        <v>180000</v>
      </c>
      <c r="J196" s="3">
        <f>ROUND(F196*I196, 0)</f>
        <v/>
      </c>
    </row>
    <row r="197">
      <c r="A197" s="2" t="n">
        <v>193</v>
      </c>
      <c r="B197" s="2" t="inlineStr">
        <is>
          <t>TB_035</t>
        </is>
      </c>
      <c r="C197" s="2" t="inlineStr">
        <is>
          <t>Thiết bị chuyên dụng</t>
        </is>
      </c>
      <c r="D197" s="2" t="inlineStr">
        <is>
          <t>Ca máy thiết bị</t>
        </is>
      </c>
      <c r="E197" s="2" t="inlineStr">
        <is>
          <t>cái</t>
        </is>
      </c>
      <c r="F197" s="2" t="n">
        <v>29.4</v>
      </c>
      <c r="G197" s="2" t="n">
        <v>150000000</v>
      </c>
      <c r="H197" s="2" t="inlineStr"/>
      <c r="I197" s="2" t="n">
        <v>180000</v>
      </c>
      <c r="J197" s="2">
        <f>ROUND(F197*I197, 0)</f>
        <v/>
      </c>
    </row>
    <row r="198">
      <c r="A198" s="3" t="n">
        <v>194</v>
      </c>
      <c r="B198" s="3" t="inlineStr">
        <is>
          <t>TB_036</t>
        </is>
      </c>
      <c r="C198" s="3" t="inlineStr">
        <is>
          <t>Thiết bị cất nước 2 lần</t>
        </is>
      </c>
      <c r="D198" s="3" t="inlineStr">
        <is>
          <t>Ca máy thiết bị</t>
        </is>
      </c>
      <c r="E198" s="3" t="inlineStr">
        <is>
          <t>bộ</t>
        </is>
      </c>
      <c r="F198" s="3" t="n">
        <v>152.48</v>
      </c>
      <c r="G198" s="3" t="n">
        <v>150000000</v>
      </c>
      <c r="H198" s="3" t="inlineStr"/>
      <c r="I198" s="3" t="n">
        <v>75024</v>
      </c>
      <c r="J198" s="3">
        <f>ROUND(F198*I198, 0)</f>
        <v/>
      </c>
    </row>
    <row r="199">
      <c r="A199" s="2" t="n">
        <v>195</v>
      </c>
      <c r="B199" s="2" t="inlineStr">
        <is>
          <t>TB_037</t>
        </is>
      </c>
      <c r="C199" s="2" t="inlineStr">
        <is>
          <t>Thiết bị hiệu chuẩn lưu lượng</t>
        </is>
      </c>
      <c r="D199" s="2" t="inlineStr">
        <is>
          <t>Ca máy thiết bị</t>
        </is>
      </c>
      <c r="E199" s="2" t="inlineStr">
        <is>
          <t>bộ</t>
        </is>
      </c>
      <c r="F199" s="2" t="n">
        <v>22.4</v>
      </c>
      <c r="G199" s="2" t="n">
        <v>150000000</v>
      </c>
      <c r="H199" s="2" t="inlineStr"/>
      <c r="I199" s="2" t="n">
        <v>144000</v>
      </c>
      <c r="J199" s="2">
        <f>ROUND(F199*I199, 0)</f>
        <v/>
      </c>
    </row>
    <row r="200">
      <c r="A200" s="3" t="n">
        <v>196</v>
      </c>
      <c r="B200" s="3" t="inlineStr">
        <is>
          <t>TB_038</t>
        </is>
      </c>
      <c r="C200" s="3" t="inlineStr">
        <is>
          <t>Thiết bị hiệu chuẩn lưu lượng</t>
        </is>
      </c>
      <c r="D200" s="3" t="inlineStr">
        <is>
          <t>Ca máy thiết bị</t>
        </is>
      </c>
      <c r="E200" s="3" t="inlineStr">
        <is>
          <t>Bộ</t>
        </is>
      </c>
      <c r="F200" s="3" t="n">
        <v>4.8</v>
      </c>
      <c r="G200" s="3" t="n">
        <v>150000000</v>
      </c>
      <c r="H200" s="3" t="inlineStr"/>
      <c r="I200" s="3" t="n">
        <v>144000</v>
      </c>
      <c r="J200" s="3">
        <f>ROUND(F200*I200, 0)</f>
        <v/>
      </c>
    </row>
    <row r="201">
      <c r="A201" s="2" t="n">
        <v>197</v>
      </c>
      <c r="B201" s="2" t="inlineStr">
        <is>
          <t>TB_039</t>
        </is>
      </c>
      <c r="C201" s="2" t="inlineStr">
        <is>
          <t>Thiết bị lấy mẫu</t>
        </is>
      </c>
      <c r="D201" s="2" t="inlineStr">
        <is>
          <t>Ca máy thiết bị</t>
        </is>
      </c>
      <c r="E201" s="2" t="inlineStr">
        <is>
          <t>bộ</t>
        </is>
      </c>
      <c r="F201" s="2" t="n">
        <v>10.56</v>
      </c>
      <c r="G201" s="2" t="n">
        <v>150000000</v>
      </c>
      <c r="H201" s="2" t="inlineStr"/>
      <c r="I201" s="2" t="n">
        <v>144000</v>
      </c>
      <c r="J201" s="2">
        <f>ROUND(F201*I201, 0)</f>
        <v/>
      </c>
    </row>
    <row r="202">
      <c r="A202" s="3" t="n">
        <v>198</v>
      </c>
      <c r="B202" s="3" t="inlineStr">
        <is>
          <t>TB_040</t>
        </is>
      </c>
      <c r="C202" s="3" t="inlineStr">
        <is>
          <t>Thiết bị lấy mẫu bụi</t>
        </is>
      </c>
      <c r="D202" s="3" t="inlineStr">
        <is>
          <t>Ca máy thiết bị</t>
        </is>
      </c>
      <c r="E202" s="3" t="inlineStr">
        <is>
          <t>bộ</t>
        </is>
      </c>
      <c r="F202" s="3" t="n">
        <v>5.6</v>
      </c>
      <c r="G202" s="3" t="n">
        <v>150000000</v>
      </c>
      <c r="H202" s="3" t="inlineStr"/>
      <c r="I202" s="3" t="n">
        <v>160800</v>
      </c>
      <c r="J202" s="3">
        <f>ROUND(F202*I202, 0)</f>
        <v/>
      </c>
    </row>
    <row r="203">
      <c r="A203" s="2" t="n">
        <v>199</v>
      </c>
      <c r="B203" s="2" t="inlineStr">
        <is>
          <t>TB_041</t>
        </is>
      </c>
      <c r="C203" s="2" t="inlineStr">
        <is>
          <t>Thiết bị lấy mẫu khí</t>
        </is>
      </c>
      <c r="D203" s="2" t="inlineStr">
        <is>
          <t>Ca máy thiết bị</t>
        </is>
      </c>
      <c r="E203" s="2" t="inlineStr">
        <is>
          <t>bộ</t>
        </is>
      </c>
      <c r="F203" s="2" t="n">
        <v>4</v>
      </c>
      <c r="G203" s="2" t="n">
        <v>450000000</v>
      </c>
      <c r="H203" s="2" t="inlineStr"/>
      <c r="I203" s="2" t="n">
        <v>448800</v>
      </c>
      <c r="J203" s="2">
        <f>ROUND(F203*I203, 0)</f>
        <v/>
      </c>
    </row>
    <row r="204">
      <c r="A204" s="3" t="n">
        <v>200</v>
      </c>
      <c r="B204" s="3" t="inlineStr">
        <is>
          <t>TB_042</t>
        </is>
      </c>
      <c r="C204" s="3" t="inlineStr">
        <is>
          <t>Thiết bị lấy mẫu khí NOx</t>
        </is>
      </c>
      <c r="D204" s="3" t="inlineStr">
        <is>
          <t>Ca máy thiết bị</t>
        </is>
      </c>
      <c r="E204" s="3" t="inlineStr">
        <is>
          <t>bộ</t>
        </is>
      </c>
      <c r="F204" s="3" t="n">
        <v>4.8</v>
      </c>
      <c r="G204" s="3" t="n">
        <v>450000000</v>
      </c>
      <c r="H204" s="3" t="inlineStr"/>
      <c r="I204" s="3" t="n">
        <v>432000</v>
      </c>
      <c r="J204" s="3">
        <f>ROUND(F204*I204, 0)</f>
        <v/>
      </c>
    </row>
    <row r="205">
      <c r="A205" s="2" t="n">
        <v>201</v>
      </c>
      <c r="B205" s="2" t="inlineStr">
        <is>
          <t>TB_043</t>
        </is>
      </c>
      <c r="C205" s="2" t="inlineStr">
        <is>
          <t>Thiết bị lấy mẫu khí Oxy</t>
        </is>
      </c>
      <c r="D205" s="2" t="inlineStr">
        <is>
          <t>Ca máy thiết bị</t>
        </is>
      </c>
      <c r="E205" s="2" t="inlineStr">
        <is>
          <t>cái</t>
        </is>
      </c>
      <c r="F205" s="2" t="n">
        <v>0.216</v>
      </c>
      <c r="G205" s="2" t="n">
        <v>450000000</v>
      </c>
      <c r="H205" s="2" t="inlineStr"/>
      <c r="I205" s="2" t="n">
        <v>216000</v>
      </c>
      <c r="J205" s="2">
        <f>ROUND(F205*I205, 0)</f>
        <v/>
      </c>
    </row>
    <row r="206">
      <c r="A206" s="3" t="n">
        <v>202</v>
      </c>
      <c r="B206" s="3" t="inlineStr">
        <is>
          <t>TB_044</t>
        </is>
      </c>
      <c r="C206" s="3" t="inlineStr">
        <is>
          <t>Thiết bị lấy mẫu khí thải</t>
        </is>
      </c>
      <c r="D206" s="3" t="inlineStr">
        <is>
          <t>Ca máy thiết bị</t>
        </is>
      </c>
      <c r="E206" s="3" t="inlineStr">
        <is>
          <t>Bộ</t>
        </is>
      </c>
      <c r="F206" s="3" t="n">
        <v>4.8</v>
      </c>
      <c r="G206" s="3" t="n">
        <v>450000000</v>
      </c>
      <c r="H206" s="3" t="inlineStr"/>
      <c r="I206" s="3" t="n">
        <v>583200</v>
      </c>
      <c r="J206" s="3">
        <f>ROUND(F206*I206, 0)</f>
        <v/>
      </c>
    </row>
    <row r="207">
      <c r="A207" s="2" t="n">
        <v>203</v>
      </c>
      <c r="B207" s="2" t="inlineStr">
        <is>
          <t>TB_045</t>
        </is>
      </c>
      <c r="C207" s="2" t="inlineStr">
        <is>
          <t>Thiết bị lấy mẫu nước</t>
        </is>
      </c>
      <c r="D207" s="2" t="inlineStr">
        <is>
          <t>Ca máy thiết bị</t>
        </is>
      </c>
      <c r="E207" s="2" t="inlineStr">
        <is>
          <t>bộ</t>
        </is>
      </c>
      <c r="F207" s="2" t="n">
        <v>61.584</v>
      </c>
      <c r="G207" s="2" t="n">
        <v>150000000</v>
      </c>
      <c r="H207" s="2" t="inlineStr"/>
      <c r="I207" s="2" t="n">
        <v>144000</v>
      </c>
      <c r="J207" s="2">
        <f>ROUND(F207*I207, 0)</f>
        <v/>
      </c>
    </row>
    <row r="208">
      <c r="A208" s="3" t="n">
        <v>204</v>
      </c>
      <c r="B208" s="3" t="inlineStr">
        <is>
          <t>TB_046</t>
        </is>
      </c>
      <c r="C208" s="3" t="inlineStr">
        <is>
          <t>Thiết bị lọc nước siêu sạch</t>
        </is>
      </c>
      <c r="D208" s="3" t="inlineStr">
        <is>
          <t>Ca máy thiết bị</t>
        </is>
      </c>
      <c r="E208" s="3" t="inlineStr">
        <is>
          <t>bộ</t>
        </is>
      </c>
      <c r="F208" s="3" t="n">
        <v>20.8</v>
      </c>
      <c r="G208" s="3" t="n">
        <v>150000000</v>
      </c>
      <c r="H208" s="3" t="inlineStr"/>
      <c r="I208" s="3" t="n">
        <v>75024</v>
      </c>
      <c r="J208" s="3">
        <f>ROUND(F208*I208, 0)</f>
        <v/>
      </c>
    </row>
    <row r="209">
      <c r="A209" s="2" t="n">
        <v>205</v>
      </c>
      <c r="B209" s="2" t="inlineStr">
        <is>
          <t>TB_047</t>
        </is>
      </c>
      <c r="C209" s="2" t="inlineStr">
        <is>
          <t>Thiết bị phá mẫu</t>
        </is>
      </c>
      <c r="D209" s="2" t="inlineStr">
        <is>
          <t>Ca máy thiết bị</t>
        </is>
      </c>
      <c r="E209" s="2" t="inlineStr">
        <is>
          <t>bộ</t>
        </is>
      </c>
      <c r="F209" s="2" t="n">
        <v>124.4</v>
      </c>
      <c r="G209" s="2" t="n">
        <v>150000000</v>
      </c>
      <c r="H209" s="2" t="inlineStr"/>
      <c r="I209" s="2" t="n">
        <v>110640</v>
      </c>
      <c r="J209" s="2">
        <f>ROUND(F209*I209, 0)</f>
        <v/>
      </c>
    </row>
    <row r="210">
      <c r="A210" s="3" t="n">
        <v>206</v>
      </c>
      <c r="B210" s="3" t="inlineStr">
        <is>
          <t>TB_048</t>
        </is>
      </c>
      <c r="C210" s="3" t="inlineStr">
        <is>
          <t>Thiết bị phản ứng COD</t>
        </is>
      </c>
      <c r="D210" s="3" t="inlineStr">
        <is>
          <t>Ca máy thiết bị</t>
        </is>
      </c>
      <c r="E210" s="3" t="inlineStr">
        <is>
          <t>bộ</t>
        </is>
      </c>
      <c r="F210" s="3" t="n">
        <v>12.32</v>
      </c>
      <c r="G210" s="3" t="n">
        <v>150000000</v>
      </c>
      <c r="H210" s="3" t="inlineStr"/>
      <c r="I210" s="3" t="n">
        <v>79560</v>
      </c>
      <c r="J210" s="3">
        <f>ROUND(F210*I210, 0)</f>
        <v/>
      </c>
    </row>
    <row r="211">
      <c r="A211" s="2" t="n">
        <v>207</v>
      </c>
      <c r="B211" s="2" t="inlineStr">
        <is>
          <t>TB_049</t>
        </is>
      </c>
      <c r="C211" s="2" t="inlineStr">
        <is>
          <t>Thiết bị điều khiển lấy mẫu bụi</t>
        </is>
      </c>
      <c r="D211" s="2" t="inlineStr">
        <is>
          <t>Ca máy thiết bị</t>
        </is>
      </c>
      <c r="E211" s="2" t="inlineStr">
        <is>
          <t>Bộ</t>
        </is>
      </c>
      <c r="F211" s="2" t="n">
        <v>4.8</v>
      </c>
      <c r="G211" s="2" t="n">
        <v>150000000</v>
      </c>
      <c r="H211" s="2" t="inlineStr"/>
      <c r="I211" s="2" t="n">
        <v>295200</v>
      </c>
      <c r="J211" s="2">
        <f>ROUND(F211*I211, 0)</f>
        <v/>
      </c>
    </row>
    <row r="212">
      <c r="A212" s="3" t="n">
        <v>208</v>
      </c>
      <c r="B212" s="3" t="inlineStr">
        <is>
          <t>TB_050</t>
        </is>
      </c>
      <c r="C212" s="3" t="inlineStr">
        <is>
          <t>Thiết bị đo</t>
        </is>
      </c>
      <c r="D212" s="3" t="inlineStr">
        <is>
          <t>Ca máy thiết bị</t>
        </is>
      </c>
      <c r="E212" s="3" t="inlineStr">
        <is>
          <t>bộ</t>
        </is>
      </c>
      <c r="F212" s="3" t="n">
        <v>17.6</v>
      </c>
      <c r="G212" s="3" t="n">
        <v>150000000</v>
      </c>
      <c r="H212" s="3" t="inlineStr"/>
      <c r="I212" s="3" t="n">
        <v>144000</v>
      </c>
      <c r="J212" s="3">
        <f>ROUND(F212*I212, 0)</f>
        <v/>
      </c>
    </row>
    <row r="213">
      <c r="A213" s="2" t="n">
        <v>209</v>
      </c>
      <c r="B213" s="2" t="inlineStr">
        <is>
          <t>TB_051</t>
        </is>
      </c>
      <c r="C213" s="2" t="inlineStr">
        <is>
          <t>Thiết bị đo chênh áp</t>
        </is>
      </c>
      <c r="D213" s="2" t="inlineStr">
        <is>
          <t>Ca máy thiết bị</t>
        </is>
      </c>
      <c r="E213" s="2" t="inlineStr">
        <is>
          <t>Bộ</t>
        </is>
      </c>
      <c r="F213" s="2" t="n">
        <v>4.8</v>
      </c>
      <c r="G213" s="2" t="n">
        <v>150000000</v>
      </c>
      <c r="H213" s="2" t="inlineStr"/>
      <c r="I213" s="2" t="n">
        <v>295200</v>
      </c>
      <c r="J213" s="2">
        <f>ROUND(F213*I213, 0)</f>
        <v/>
      </c>
    </row>
    <row r="214">
      <c r="A214" s="3" t="n">
        <v>210</v>
      </c>
      <c r="B214" s="3" t="inlineStr">
        <is>
          <t>TB_052</t>
        </is>
      </c>
      <c r="C214" s="3" t="inlineStr">
        <is>
          <t>Thiết bị đo hiện số</t>
        </is>
      </c>
      <c r="D214" s="3" t="inlineStr">
        <is>
          <t>Ca máy thiết bị</t>
        </is>
      </c>
      <c r="E214" s="3" t="inlineStr">
        <is>
          <t>bộ</t>
        </is>
      </c>
      <c r="F214" s="3" t="n">
        <v>13.52</v>
      </c>
      <c r="G214" s="3" t="n">
        <v>150000000</v>
      </c>
      <c r="H214" s="3" t="inlineStr"/>
      <c r="I214" s="3" t="n">
        <v>144000</v>
      </c>
      <c r="J214" s="3">
        <f>ROUND(F214*I214, 0)</f>
        <v/>
      </c>
    </row>
    <row r="215">
      <c r="A215" s="2" t="n">
        <v>211</v>
      </c>
      <c r="B215" s="2" t="inlineStr">
        <is>
          <t>TB_053</t>
        </is>
      </c>
      <c r="C215" s="2" t="inlineStr">
        <is>
          <t>Thiết bị đo hiện số</t>
        </is>
      </c>
      <c r="D215" s="2" t="inlineStr">
        <is>
          <t>Ca máy thiết bị</t>
        </is>
      </c>
      <c r="E215" s="2" t="inlineStr">
        <is>
          <t>cái</t>
        </is>
      </c>
      <c r="F215" s="2" t="n">
        <v>6.4</v>
      </c>
      <c r="G215" s="2" t="n">
        <v>150000000</v>
      </c>
      <c r="H215" s="2" t="inlineStr"/>
      <c r="I215" s="2" t="n">
        <v>72000</v>
      </c>
      <c r="J215" s="2">
        <f>ROUND(F215*I215, 0)</f>
        <v/>
      </c>
    </row>
    <row r="216">
      <c r="A216" s="3" t="n">
        <v>212</v>
      </c>
      <c r="B216" s="3" t="inlineStr">
        <is>
          <t>TB_054</t>
        </is>
      </c>
      <c r="C216" s="3" t="inlineStr">
        <is>
          <t>Thiết bị đo hiện số và lưu kết quả</t>
        </is>
      </c>
      <c r="D216" s="3" t="inlineStr">
        <is>
          <t>Ca máy thiết bị</t>
        </is>
      </c>
      <c r="E216" s="3" t="inlineStr">
        <is>
          <t>bộ</t>
        </is>
      </c>
      <c r="F216" s="3" t="n">
        <v>100.76</v>
      </c>
      <c r="G216" s="3" t="n">
        <v>150000000</v>
      </c>
      <c r="H216" s="3" t="inlineStr"/>
      <c r="I216" s="3" t="n">
        <v>180000</v>
      </c>
      <c r="J216" s="3">
        <f>ROUND(F216*I216, 0)</f>
        <v/>
      </c>
    </row>
    <row r="217">
      <c r="A217" s="2" t="n">
        <v>213</v>
      </c>
      <c r="B217" s="2" t="inlineStr">
        <is>
          <t>TB_055</t>
        </is>
      </c>
      <c r="C217" s="2" t="inlineStr">
        <is>
          <t>Thiết bị đo hiện số và lưu kết quả</t>
        </is>
      </c>
      <c r="D217" s="2" t="inlineStr">
        <is>
          <t>Ca máy thiết bị</t>
        </is>
      </c>
      <c r="E217" s="2" t="inlineStr">
        <is>
          <t>cái</t>
        </is>
      </c>
      <c r="F217" s="2" t="n">
        <v>20.28</v>
      </c>
      <c r="G217" s="2" t="n">
        <v>150000000</v>
      </c>
      <c r="H217" s="2" t="inlineStr"/>
      <c r="I217" s="2" t="n">
        <v>180000</v>
      </c>
      <c r="J217" s="2">
        <f>ROUND(F217*I217, 0)</f>
        <v/>
      </c>
    </row>
    <row r="218">
      <c r="A218" s="3" t="n">
        <v>214</v>
      </c>
      <c r="B218" s="3" t="inlineStr">
        <is>
          <t>TB_056</t>
        </is>
      </c>
      <c r="C218" s="3" t="inlineStr">
        <is>
          <t>Thiết bị đo tiếng ồn tích phân</t>
        </is>
      </c>
      <c r="D218" s="3" t="inlineStr">
        <is>
          <t>Ca máy thiết bị</t>
        </is>
      </c>
      <c r="E218" s="3" t="inlineStr">
        <is>
          <t>bộ</t>
        </is>
      </c>
      <c r="F218" s="3" t="n">
        <v>5</v>
      </c>
      <c r="G218" s="3" t="n">
        <v>150000000</v>
      </c>
      <c r="H218" s="3" t="inlineStr"/>
      <c r="I218" s="3" t="n">
        <v>144000</v>
      </c>
      <c r="J218" s="3">
        <f>ROUND(F218*I218, 0)</f>
        <v/>
      </c>
    </row>
    <row r="219">
      <c r="A219" s="2" t="n">
        <v>215</v>
      </c>
      <c r="B219" s="2" t="inlineStr">
        <is>
          <t>TB_057</t>
        </is>
      </c>
      <c r="C219" s="2" t="inlineStr">
        <is>
          <t>Thiết bị đo đa chỉ tiêu</t>
        </is>
      </c>
      <c r="D219" s="2" t="inlineStr">
        <is>
          <t>Ca máy thiết bị</t>
        </is>
      </c>
      <c r="E219" s="2" t="inlineStr">
        <is>
          <t>bộ</t>
        </is>
      </c>
      <c r="F219" s="2" t="n">
        <v>17.4</v>
      </c>
      <c r="G219" s="2" t="n">
        <v>150000000</v>
      </c>
      <c r="H219" s="2" t="inlineStr"/>
      <c r="I219" s="2" t="n">
        <v>72000</v>
      </c>
      <c r="J219" s="2">
        <f>ROUND(F219*I219, 0)</f>
        <v/>
      </c>
    </row>
    <row r="220">
      <c r="A220" s="3" t="n">
        <v>216</v>
      </c>
      <c r="B220" s="3" t="inlineStr">
        <is>
          <t>TB_058</t>
        </is>
      </c>
      <c r="C220" s="3" t="inlineStr">
        <is>
          <t>Thiết bị đo độ rung</t>
        </is>
      </c>
      <c r="D220" s="3" t="inlineStr">
        <is>
          <t>Ca máy thiết bị</t>
        </is>
      </c>
      <c r="E220" s="3" t="inlineStr">
        <is>
          <t>bộ</t>
        </is>
      </c>
      <c r="F220" s="3" t="n">
        <v>5</v>
      </c>
      <c r="G220" s="3" t="n">
        <v>150000000</v>
      </c>
      <c r="H220" s="3" t="inlineStr"/>
      <c r="I220" s="3" t="n">
        <v>144000</v>
      </c>
      <c r="J220" s="3">
        <f>ROUND(F220*I220, 0)</f>
        <v/>
      </c>
    </row>
    <row r="221">
      <c r="A221" s="2" t="n">
        <v>217</v>
      </c>
      <c r="B221" s="2" t="inlineStr">
        <is>
          <t>TB_059</t>
        </is>
      </c>
      <c r="C221" s="2" t="inlineStr">
        <is>
          <t>Thiết bị định vị GPS</t>
        </is>
      </c>
      <c r="D221" s="2" t="inlineStr">
        <is>
          <t>Ca máy thiết bị</t>
        </is>
      </c>
      <c r="E221" s="2" t="inlineStr">
        <is>
          <t>bộ</t>
        </is>
      </c>
      <c r="F221" s="2" t="n">
        <v>1.296</v>
      </c>
      <c r="G221" s="2" t="n">
        <v>150000000</v>
      </c>
      <c r="H221" s="2" t="inlineStr"/>
      <c r="I221" s="2" t="n">
        <v>144000</v>
      </c>
      <c r="J221" s="2">
        <f>ROUND(F221*I221, 0)</f>
        <v/>
      </c>
    </row>
    <row r="222">
      <c r="A222" s="3" t="n">
        <v>218</v>
      </c>
      <c r="B222" s="3" t="inlineStr">
        <is>
          <t>TB_060</t>
        </is>
      </c>
      <c r="C222" s="3" t="inlineStr">
        <is>
          <t>Tủ bảo quản mẫu</t>
        </is>
      </c>
      <c r="D222" s="3" t="inlineStr">
        <is>
          <t>Ca máy thiết bị</t>
        </is>
      </c>
      <c r="E222" s="3" t="inlineStr">
        <is>
          <t>cái</t>
        </is>
      </c>
      <c r="F222" s="3" t="n">
        <v>81.76000000000001</v>
      </c>
      <c r="G222" s="3" t="n">
        <v>150000000</v>
      </c>
      <c r="H222" s="3" t="inlineStr"/>
      <c r="I222" s="3" t="n">
        <v>74688</v>
      </c>
      <c r="J222" s="3">
        <f>ROUND(F222*I222, 0)</f>
        <v/>
      </c>
    </row>
    <row r="223">
      <c r="A223" s="2" t="n">
        <v>219</v>
      </c>
      <c r="B223" s="2" t="inlineStr">
        <is>
          <t>TB_061</t>
        </is>
      </c>
      <c r="C223" s="2" t="inlineStr">
        <is>
          <t>Tủ bảo quản mẫu</t>
        </is>
      </c>
      <c r="D223" s="2" t="inlineStr">
        <is>
          <t>Ca máy thiết bị</t>
        </is>
      </c>
      <c r="E223" s="2" t="inlineStr">
        <is>
          <t>Cái</t>
        </is>
      </c>
      <c r="F223" s="2" t="n">
        <v>2.72</v>
      </c>
      <c r="G223" s="2" t="n">
        <v>150000000</v>
      </c>
      <c r="H223" s="2" t="inlineStr"/>
      <c r="I223" s="2" t="n">
        <v>74688</v>
      </c>
      <c r="J223" s="2">
        <f>ROUND(F223*I223, 0)</f>
        <v/>
      </c>
    </row>
    <row r="224">
      <c r="A224" s="3" t="n">
        <v>220</v>
      </c>
      <c r="B224" s="3" t="inlineStr">
        <is>
          <t>TB_062</t>
        </is>
      </c>
      <c r="C224" s="3" t="inlineStr">
        <is>
          <t>Tủ hút</t>
        </is>
      </c>
      <c r="D224" s="3" t="inlineStr">
        <is>
          <t>Ca máy thiết bị</t>
        </is>
      </c>
      <c r="E224" s="3" t="inlineStr">
        <is>
          <t>cái</t>
        </is>
      </c>
      <c r="F224" s="3" t="n">
        <v>76</v>
      </c>
      <c r="G224" s="3" t="n">
        <v>150000000</v>
      </c>
      <c r="H224" s="3" t="inlineStr"/>
      <c r="I224" s="3" t="n">
        <v>73680</v>
      </c>
      <c r="J224" s="3">
        <f>ROUND(F224*I224, 0)</f>
        <v/>
      </c>
    </row>
    <row r="225">
      <c r="A225" s="2" t="n">
        <v>221</v>
      </c>
      <c r="B225" s="2" t="inlineStr">
        <is>
          <t>TB_063</t>
        </is>
      </c>
      <c r="C225" s="2" t="inlineStr">
        <is>
          <t>Tủ lưu hóa chất</t>
        </is>
      </c>
      <c r="D225" s="2" t="inlineStr">
        <is>
          <t>Ca máy thiết bị</t>
        </is>
      </c>
      <c r="E225" s="2" t="inlineStr">
        <is>
          <t>cái</t>
        </is>
      </c>
      <c r="F225" s="2" t="n">
        <v>236.16</v>
      </c>
      <c r="G225" s="2" t="n">
        <v>150000000</v>
      </c>
      <c r="H225" s="2" t="inlineStr"/>
      <c r="I225" s="2" t="n">
        <v>74688</v>
      </c>
      <c r="J225" s="2">
        <f>ROUND(F225*I225, 0)</f>
        <v/>
      </c>
    </row>
    <row r="226">
      <c r="A226" s="3" t="n">
        <v>222</v>
      </c>
      <c r="B226" s="3" t="inlineStr">
        <is>
          <t>TB_064</t>
        </is>
      </c>
      <c r="C226" s="3" t="inlineStr">
        <is>
          <t>Tủ lưu hóa chất</t>
        </is>
      </c>
      <c r="D226" s="3" t="inlineStr">
        <is>
          <t>Ca máy thiết bị</t>
        </is>
      </c>
      <c r="E226" s="3" t="inlineStr">
        <is>
          <t>Cái</t>
        </is>
      </c>
      <c r="F226" s="3" t="n">
        <v>12.8</v>
      </c>
      <c r="G226" s="3" t="n">
        <v>150000000</v>
      </c>
      <c r="H226" s="3" t="inlineStr"/>
      <c r="I226" s="3" t="n">
        <v>74688</v>
      </c>
      <c r="J226" s="3">
        <f>ROUND(F226*I226, 0)</f>
        <v/>
      </c>
    </row>
    <row r="227">
      <c r="A227" s="2" t="n">
        <v>223</v>
      </c>
      <c r="B227" s="2" t="inlineStr">
        <is>
          <t>TB_065</t>
        </is>
      </c>
      <c r="C227" s="2" t="inlineStr">
        <is>
          <t>Tủ sấy</t>
        </is>
      </c>
      <c r="D227" s="2" t="inlineStr">
        <is>
          <t>Ca máy thiết bị</t>
        </is>
      </c>
      <c r="E227" s="2" t="inlineStr">
        <is>
          <t>cái</t>
        </is>
      </c>
      <c r="F227" s="2" t="n">
        <v>219.68</v>
      </c>
      <c r="G227" s="2" t="n">
        <v>85000000</v>
      </c>
      <c r="H227" s="2" t="inlineStr"/>
      <c r="I227" s="2" t="n">
        <v>45840</v>
      </c>
      <c r="J227" s="2">
        <f>ROUND(F227*I227, 0)</f>
        <v/>
      </c>
    </row>
    <row r="228">
      <c r="A228" s="3" t="n">
        <v>224</v>
      </c>
      <c r="B228" s="3" t="inlineStr">
        <is>
          <t>TB_066</t>
        </is>
      </c>
      <c r="C228" s="3" t="inlineStr">
        <is>
          <t>Tủ sấy</t>
        </is>
      </c>
      <c r="D228" s="3" t="inlineStr">
        <is>
          <t>Ca máy thiết bị</t>
        </is>
      </c>
      <c r="E228" s="3" t="inlineStr">
        <is>
          <t>Cái</t>
        </is>
      </c>
      <c r="F228" s="3" t="n">
        <v>13</v>
      </c>
      <c r="G228" s="3" t="n">
        <v>85000000</v>
      </c>
      <c r="H228" s="3" t="inlineStr"/>
      <c r="I228" s="3" t="n">
        <v>45840</v>
      </c>
      <c r="J228" s="3">
        <f>ROUND(F228*I228, 0)</f>
        <v/>
      </c>
    </row>
    <row r="229">
      <c r="A229" s="2" t="n">
        <v>225</v>
      </c>
      <c r="B229" s="2" t="inlineStr">
        <is>
          <t>TB_067</t>
        </is>
      </c>
      <c r="C229" s="2" t="inlineStr">
        <is>
          <t>Tủ sấy mẫu</t>
        </is>
      </c>
      <c r="D229" s="2" t="inlineStr">
        <is>
          <t>Ca máy thiết bị</t>
        </is>
      </c>
      <c r="E229" s="2" t="inlineStr">
        <is>
          <t>cái</t>
        </is>
      </c>
      <c r="F229" s="2" t="n">
        <v>16</v>
      </c>
      <c r="G229" s="2" t="n">
        <v>85000000</v>
      </c>
      <c r="H229" s="2" t="inlineStr"/>
      <c r="I229" s="2" t="n">
        <v>45840</v>
      </c>
      <c r="J229" s="2">
        <f>ROUND(F229*I229, 0)</f>
        <v/>
      </c>
    </row>
    <row r="230">
      <c r="A230" s="3" t="n">
        <v>226</v>
      </c>
      <c r="B230" s="3" t="inlineStr">
        <is>
          <t>TB_068</t>
        </is>
      </c>
      <c r="C230" s="3" t="inlineStr">
        <is>
          <t>Tủ ủ BOD</t>
        </is>
      </c>
      <c r="D230" s="3" t="inlineStr">
        <is>
          <t>Ca máy thiết bị</t>
        </is>
      </c>
      <c r="E230" s="3" t="inlineStr">
        <is>
          <t>cái</t>
        </is>
      </c>
      <c r="F230" s="3" t="n">
        <v>4.8</v>
      </c>
      <c r="G230" s="3" t="n">
        <v>150000000</v>
      </c>
      <c r="H230" s="3" t="inlineStr"/>
      <c r="I230" s="3" t="n">
        <v>85440</v>
      </c>
      <c r="J230" s="3">
        <f>ROUND(F230*I230, 0)</f>
        <v/>
      </c>
    </row>
    <row r="231">
      <c r="A231" s="2" t="n">
        <v>227</v>
      </c>
      <c r="B231" s="2" t="inlineStr">
        <is>
          <t>TB_069</t>
        </is>
      </c>
      <c r="C231" s="2" t="inlineStr">
        <is>
          <t>Điện</t>
        </is>
      </c>
      <c r="D231" s="2" t="inlineStr">
        <is>
          <t>Ca máy thiết bị</t>
        </is>
      </c>
      <c r="E231" s="2" t="inlineStr">
        <is>
          <t>kw</t>
        </is>
      </c>
      <c r="F231" s="2" t="n">
        <v>187.44</v>
      </c>
      <c r="G231" s="2" t="n">
        <v>150000000</v>
      </c>
      <c r="H231" s="2" t="inlineStr"/>
      <c r="I231" s="2" t="n">
        <v>72000</v>
      </c>
      <c r="J231" s="2">
        <f>ROUND(F231*I231, 0)</f>
        <v/>
      </c>
    </row>
    <row r="232">
      <c r="A232" s="3" t="n">
        <v>228</v>
      </c>
      <c r="B232" s="3" t="inlineStr">
        <is>
          <t>TB_070</t>
        </is>
      </c>
      <c r="C232" s="3" t="inlineStr">
        <is>
          <t>Điện năng</t>
        </is>
      </c>
      <c r="D232" s="3" t="inlineStr">
        <is>
          <t>Ca máy thiết bị</t>
        </is>
      </c>
      <c r="E232" s="3" t="inlineStr">
        <is>
          <t>kw</t>
        </is>
      </c>
      <c r="F232" s="3" t="n">
        <v>10552.912</v>
      </c>
      <c r="G232" s="3" t="n">
        <v>150000000</v>
      </c>
      <c r="H232" s="3" t="inlineStr"/>
      <c r="I232" s="3" t="n">
        <v>72000</v>
      </c>
      <c r="J232" s="3">
        <f>ROUND(F232*I232, 0)</f>
        <v/>
      </c>
    </row>
    <row r="233">
      <c r="A233" s="2" t="n">
        <v>229</v>
      </c>
      <c r="B233" s="2" t="inlineStr">
        <is>
          <t>TB_071</t>
        </is>
      </c>
      <c r="C233" s="2" t="inlineStr">
        <is>
          <t>Điện năng</t>
        </is>
      </c>
      <c r="D233" s="2" t="inlineStr">
        <is>
          <t>Ca máy thiết bị</t>
        </is>
      </c>
      <c r="E233" s="2" t="inlineStr">
        <is>
          <t>Kw</t>
        </is>
      </c>
      <c r="F233" s="2" t="n">
        <v>1454.76</v>
      </c>
      <c r="G233" s="2" t="n">
        <v>150000000</v>
      </c>
      <c r="H233" s="2" t="inlineStr"/>
      <c r="I233" s="2" t="n">
        <v>72000</v>
      </c>
      <c r="J233" s="2">
        <f>ROUND(F233*I233, 0)</f>
        <v/>
      </c>
    </row>
    <row r="234">
      <c r="A234" s="3" t="n">
        <v>230</v>
      </c>
      <c r="B234" s="3" t="inlineStr">
        <is>
          <t>TB_072</t>
        </is>
      </c>
      <c r="C234" s="3" t="inlineStr">
        <is>
          <t>Đầu đo nhiệt độ</t>
        </is>
      </c>
      <c r="D234" s="3" t="inlineStr">
        <is>
          <t>Ca máy thiết bị</t>
        </is>
      </c>
      <c r="E234" s="3" t="inlineStr">
        <is>
          <t>Bộ</t>
        </is>
      </c>
      <c r="F234" s="3" t="n">
        <v>8.4</v>
      </c>
      <c r="G234" s="3" t="n">
        <v>150000000</v>
      </c>
      <c r="H234" s="3" t="inlineStr"/>
      <c r="I234" s="3" t="n">
        <v>144000</v>
      </c>
      <c r="J234" s="3">
        <f>ROUND(F234*I234, 0)</f>
        <v/>
      </c>
    </row>
    <row r="235">
      <c r="A235" s="2" t="inlineStr"/>
      <c r="B235" s="2" t="inlineStr"/>
      <c r="C235" s="8" t="inlineStr">
        <is>
          <t>TỔNG CỘNG CHI PHÍ DỤNG CỤ + CA MÁY (CDC + CTB):</t>
        </is>
      </c>
      <c r="D235" s="2" t="inlineStr"/>
      <c r="E235" s="2" t="inlineStr"/>
      <c r="F235" s="2" t="inlineStr"/>
      <c r="G235" s="2" t="inlineStr"/>
      <c r="H235" s="2" t="inlineStr"/>
      <c r="I235" s="2" t="inlineStr"/>
      <c r="J235" s="7">
        <f>SUM(J5:J234)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45" customWidth="1" min="4" max="4"/>
    <col width="21" customWidth="1" min="5" max="5"/>
    <col width="13" customWidth="1" min="6" max="6"/>
    <col width="14" customWidth="1" min="7" max="7"/>
    <col width="19" customWidth="1" min="8" max="8"/>
  </cols>
  <sheetData>
    <row r="1">
      <c r="A1" t="inlineStr">
        <is>
          <t>BẢNG CHI PHÍ GIÁN TIẾP &amp; CÁC KHOẢN NGOÀI ĐỊNH MỨC TÍNH RIÊNG</t>
        </is>
      </c>
    </row>
    <row r="2">
      <c r="A2" t="inlineStr">
        <is>
          <t>(Căn cứ: Khoản 4.5 TT 20/2017/TT-BTNMT; TT 12/2021/TT-BXD; TT 40/2017/TT-BTC; QĐ 80/2026/QĐ-UBND)</t>
        </is>
      </c>
    </row>
    <row r="3"/>
    <row r="4">
      <c r="A4" s="9" t="inlineStr">
        <is>
          <t>STT</t>
        </is>
      </c>
      <c r="B4" s="9" t="inlineStr">
        <is>
          <t>Mã Khoản</t>
        </is>
      </c>
      <c r="C4" s="9" t="inlineStr">
        <is>
          <t>Nội Dung Chi Phí Ngoài Định Mức Tính Riêng</t>
        </is>
      </c>
      <c r="D4" s="9" t="inlineStr">
        <is>
          <t>Căn Cứ Pháp Lý</t>
        </is>
      </c>
      <c r="E4" s="9" t="inlineStr">
        <is>
          <t>ĐVT</t>
        </is>
      </c>
      <c r="F4" s="9" t="inlineStr">
        <is>
          <t>Khối Lượng</t>
        </is>
      </c>
      <c r="G4" s="9" t="inlineStr">
        <is>
          <t>Đơn Giá (đ)</t>
        </is>
      </c>
      <c r="H4" s="9" t="inlineStr">
        <is>
          <t>Thành Tiền (đ)</t>
        </is>
      </c>
    </row>
    <row r="5">
      <c r="A5" s="2" t="n">
        <v>1</v>
      </c>
      <c r="B5" s="2" t="inlineStr">
        <is>
          <t>CPTR_001</t>
        </is>
      </c>
      <c r="C5" s="2" t="inlineStr">
        <is>
          <t>Giàn giáo, sàn thao tác &amp; lỗ lấy mẫu khí thải ống khói lò hơi VT4</t>
        </is>
      </c>
      <c r="D5" s="2" t="inlineStr">
        <is>
          <t>Thông tư số 12/2021/TT-BXD Bộ Xây dựng &amp; US-EPA Method 1</t>
        </is>
      </c>
      <c r="E5" s="2" t="inlineStr">
        <is>
          <t>trọn gói/năm</t>
        </is>
      </c>
      <c r="F5" s="2" t="n">
        <v>1</v>
      </c>
      <c r="G5" s="2" t="n">
        <v>280000000</v>
      </c>
      <c r="H5" s="2">
        <f>ROUND(F5*G5, 0)</f>
        <v/>
      </c>
    </row>
    <row r="6">
      <c r="A6" s="3" t="n">
        <v>2</v>
      </c>
      <c r="B6" s="3" t="inlineStr">
        <is>
          <t>CPTR_002</t>
        </is>
      </c>
      <c r="C6" s="3" t="inlineStr">
        <is>
          <t>Công tác phí, vé máy bay &amp; lưu trú chuyên gia quan trắc hiện trường</t>
        </is>
      </c>
      <c r="D6" s="3" t="inlineStr">
        <is>
          <t>Thông tư số 40/2017/TT-BTC Bộ Tài chính &amp; Quy chế EVN</t>
        </is>
      </c>
      <c r="E6" s="3" t="inlineStr">
        <is>
          <t>đợt quan trắc</t>
        </is>
      </c>
      <c r="F6" s="3" t="n">
        <v>16</v>
      </c>
      <c r="G6" s="3" t="n">
        <v>12500000</v>
      </c>
      <c r="H6" s="3">
        <f>ROUND(F6*G6, 0)</f>
        <v/>
      </c>
    </row>
    <row r="7">
      <c r="A7" s="2" t="n">
        <v>3</v>
      </c>
      <c r="B7" s="2" t="inlineStr">
        <is>
          <t>CPTR_003</t>
        </is>
      </c>
      <c r="C7" s="2" t="inlineStr">
        <is>
          <t>Thuê tàu biển chuyên dụng khảo sát nước biển xa bờ bãi xỉ Vĩnh Tân</t>
        </is>
      </c>
      <c r="D7" s="2" t="inlineStr">
        <is>
          <t>Khoản 2 Điều 16 Nghị định 24/2024/NĐ-CP (3 Báo giá cạnh tranh)</t>
        </is>
      </c>
      <c r="E7" s="2" t="inlineStr">
        <is>
          <t>ngày tàu</t>
        </is>
      </c>
      <c r="F7" s="2" t="n">
        <v>12</v>
      </c>
      <c r="G7" s="2" t="n">
        <v>12000000</v>
      </c>
      <c r="H7" s="2">
        <f>ROUND(F7*G7, 0)</f>
        <v/>
      </c>
    </row>
    <row r="8">
      <c r="A8" s="3" t="n">
        <v>4</v>
      </c>
      <c r="B8" s="3" t="inlineStr">
        <is>
          <t>CPTR_004</t>
        </is>
      </c>
      <c r="C8" s="3" t="inlineStr">
        <is>
          <t>Vận chuyển mẫu lạnh hỏa tốc bảo quản chuyên dụng về phòng lab Vilas/Vimcerts</t>
        </is>
      </c>
      <c r="D8" s="3" t="inlineStr">
        <is>
          <t>Tiêu chuẩn bảo quản TCVN 6663 / ISO 5667 &amp; Báo giá vận chuyển</t>
        </is>
      </c>
      <c r="E8" s="3" t="inlineStr">
        <is>
          <t>chuyến chuyển phát</t>
        </is>
      </c>
      <c r="F8" s="3" t="n">
        <v>32</v>
      </c>
      <c r="G8" s="3" t="n">
        <v>2500000</v>
      </c>
      <c r="H8" s="3">
        <f>ROUND(F8*G8, 0)</f>
        <v/>
      </c>
    </row>
    <row r="9">
      <c r="A9" s="2" t="inlineStr"/>
      <c r="B9" s="2" t="inlineStr"/>
      <c r="C9" s="8" t="inlineStr">
        <is>
          <t>TỔNG CHI PHÍ TÍNH RIÊNG (KHOẢN 4.5 TT20):</t>
        </is>
      </c>
      <c r="D9" s="2" t="inlineStr"/>
      <c r="E9" s="2" t="inlineStr"/>
      <c r="F9" s="2" t="inlineStr"/>
      <c r="G9" s="2" t="inlineStr"/>
      <c r="H9" s="7">
        <f>SUM(H5:H8)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45" customWidth="1" min="1" max="1"/>
    <col width="37" customWidth="1" min="2" max="2"/>
    <col width="39" customWidth="1" min="3" max="3"/>
    <col width="36" customWidth="1" min="4" max="4"/>
    <col width="36" customWidth="1" min="5" max="5"/>
    <col width="36" customWidth="1" min="6" max="6"/>
    <col width="28" customWidth="1" min="7" max="7"/>
    <col width="22" customWidth="1" min="8" max="8"/>
  </cols>
  <sheetData>
    <row r="1">
      <c r="A1" t="inlineStr">
        <is>
          <t>BẢNG TỔNG HỢP KINH PHÍ QUAN TRẮC MÔI TRƯỜNG &amp; SO SÁNH 3 PHƯƠNG ÁN</t>
        </is>
      </c>
    </row>
    <row r="2">
      <c r="A2" t="inlineStr">
        <is>
          <t>(Dự thảo trình Tổ Thẩm định &amp; Lãnh đạo phê duyệt trần dự toán gói thầu năm 2026)</t>
        </is>
      </c>
    </row>
    <row r="3"/>
    <row r="4">
      <c r="A4" s="10" t="inlineStr">
        <is>
          <t>STT</t>
        </is>
      </c>
      <c r="B4" s="10" t="inlineStr">
        <is>
          <t>Hạng Mục / Yếu Tố Chi Phí</t>
        </is>
      </c>
      <c r="C4" s="10" t="inlineStr">
        <is>
          <t>Phương Pháp Xác Định</t>
        </is>
      </c>
      <c r="D4" s="10" t="inlineStr">
        <is>
          <t>PA1: Chuẩn ĐM TT20 (đ)</t>
        </is>
      </c>
      <c r="E4" s="10" t="inlineStr">
        <is>
          <t>PA2: 3 Báo Giá TT (đ)</t>
        </is>
      </c>
      <c r="F4" s="10" t="inlineStr">
        <is>
          <t>PA3: HĐ 71 Kế Thừa (đ)</t>
        </is>
      </c>
      <c r="G4" s="10" t="inlineStr">
        <is>
          <t>Chênh Lệch PA1 vs PA2 (đ)</t>
        </is>
      </c>
      <c r="H4" s="10" t="inlineStr">
        <is>
          <t>Đề Xuất Duyệt</t>
        </is>
      </c>
    </row>
    <row r="5">
      <c r="A5" s="2" t="inlineStr">
        <is>
          <t>I</t>
        </is>
      </c>
      <c r="B5" s="2" t="inlineStr">
        <is>
          <t>CHI PHÍ TRỰC TIẾP (T)</t>
        </is>
      </c>
      <c r="C5" s="2" t="inlineStr"/>
      <c r="D5" s="2" t="inlineStr"/>
      <c r="E5" s="2" t="inlineStr"/>
      <c r="F5" s="2" t="inlineStr"/>
      <c r="G5" s="2" t="inlineStr"/>
      <c r="H5" s="2" t="inlineStr"/>
    </row>
    <row r="6">
      <c r="A6" s="3" t="inlineStr">
        <is>
          <t>1</t>
        </is>
      </c>
      <c r="B6" s="3" t="inlineStr">
        <is>
          <t>Chi phí Nhân công (CNC)</t>
        </is>
      </c>
      <c r="C6" s="3" t="inlineStr">
        <is>
          <t>Khoản 4.1.3 TT20 (+20% ngoại nghiệp)</t>
        </is>
      </c>
      <c r="D6" s="3" t="n">
        <v>825420000</v>
      </c>
      <c r="E6" s="3" t="n">
        <v>950000000</v>
      </c>
      <c r="F6" s="3" t="n">
        <v>890000000</v>
      </c>
      <c r="G6" s="3">
        <f>E6-D6</f>
        <v/>
      </c>
      <c r="H6" s="3" t="inlineStr">
        <is>
          <t>Kiến nghị duyệt PA1</t>
        </is>
      </c>
    </row>
    <row r="7">
      <c r="A7" s="2" t="inlineStr">
        <is>
          <t>2</t>
        </is>
      </c>
      <c r="B7" s="2" t="inlineStr">
        <is>
          <t>Chi phí Vật liệu, Hóa chất (CVL)</t>
        </is>
      </c>
      <c r="C7" s="2" t="inlineStr">
        <is>
          <t>Khoản 4.4 TT20 (+8% hao hụt)</t>
        </is>
      </c>
      <c r="D7" s="2" t="n">
        <v>625340000</v>
      </c>
      <c r="E7" s="2" t="n">
        <v>780000000</v>
      </c>
      <c r="F7" s="2" t="n">
        <v>710000000</v>
      </c>
      <c r="G7" s="2">
        <f>E7-D7</f>
        <v/>
      </c>
      <c r="H7" s="2" t="inlineStr">
        <is>
          <t>Kiến nghị duyệt PA1</t>
        </is>
      </c>
    </row>
    <row r="8">
      <c r="A8" s="3" t="inlineStr">
        <is>
          <t>3</t>
        </is>
      </c>
      <c r="B8" s="3" t="inlineStr">
        <is>
          <t>Chi phí Dụng cụ (CDC)</t>
        </is>
      </c>
      <c r="C8" s="3" t="inlineStr">
        <is>
          <t>Khoản 4.2 TT20 (22 ca + 10% phụ)</t>
        </is>
      </c>
      <c r="D8" s="3" t="n">
        <v>84520000</v>
      </c>
      <c r="E8" s="3" t="n">
        <v>110000000</v>
      </c>
      <c r="F8" s="3" t="n">
        <v>98000000</v>
      </c>
      <c r="G8" s="3">
        <f>E8-D8</f>
        <v/>
      </c>
      <c r="H8" s="3" t="inlineStr">
        <is>
          <t>Kiến nghị duyệt PA1</t>
        </is>
      </c>
    </row>
    <row r="9">
      <c r="A9" s="2" t="inlineStr">
        <is>
          <t>4</t>
        </is>
      </c>
      <c r="B9" s="2" t="inlineStr">
        <is>
          <t>Chi phí Thiết bị, Ca máy (CTB)</t>
        </is>
      </c>
      <c r="C9" s="2" t="inlineStr">
        <is>
          <t>Khoản 4.3 TT20 (250/200/500 ca)</t>
        </is>
      </c>
      <c r="D9" s="2" t="n">
        <v>685120000</v>
      </c>
      <c r="E9" s="2" t="n">
        <v>820000000</v>
      </c>
      <c r="F9" s="2" t="n">
        <v>750000000</v>
      </c>
      <c r="G9" s="2">
        <f>E9-D9</f>
        <v/>
      </c>
      <c r="H9" s="2" t="inlineStr">
        <is>
          <t>Kiến nghị duyệt PA1</t>
        </is>
      </c>
    </row>
    <row r="10">
      <c r="A10" s="3" t="inlineStr">
        <is>
          <t>5</t>
        </is>
      </c>
      <c r="B10" s="3" t="inlineStr">
        <is>
          <t>Chi phí Ngoài định mức tính riêng</t>
        </is>
      </c>
      <c r="C10" s="3" t="inlineStr">
        <is>
          <t>Khoản 4.5 TT20 (4 khoản đặc thù)</t>
        </is>
      </c>
      <c r="D10" s="3" t="n">
        <v>704000000</v>
      </c>
      <c r="E10" s="3" t="n">
        <v>704000000</v>
      </c>
      <c r="F10" s="3" t="n">
        <v>704000000</v>
      </c>
      <c r="G10" s="3">
        <f>E10-D10</f>
        <v/>
      </c>
      <c r="H10" s="3" t="inlineStr">
        <is>
          <t>Kiến nghị duyệt PA1</t>
        </is>
      </c>
    </row>
    <row r="11">
      <c r="A11" s="2" t="inlineStr">
        <is>
          <t>II</t>
        </is>
      </c>
      <c r="B11" s="8" t="inlineStr">
        <is>
          <t>TỔNG CHI PHÍ TRỰC TIẾP (T)</t>
        </is>
      </c>
      <c r="C11" s="2">
        <f>SUM(D6:D10)</f>
        <v/>
      </c>
      <c r="D11" s="7">
        <f>SUM(D6:D10)</f>
        <v/>
      </c>
      <c r="E11" s="2">
        <f>SUM(E6:E10)</f>
        <v/>
      </c>
      <c r="F11" s="2">
        <f>SUM(F6:F10)</f>
        <v/>
      </c>
      <c r="G11" s="2">
        <f>E11-D11</f>
        <v/>
      </c>
      <c r="H11" s="2" t="inlineStr">
        <is>
          <t>Kiến nghị duyệt PA1</t>
        </is>
      </c>
    </row>
    <row r="12">
      <c r="A12" s="3" t="inlineStr">
        <is>
          <t>III</t>
        </is>
      </c>
      <c r="B12" s="3" t="inlineStr">
        <is>
          <t>CHI PHÍ GIÁN TIẾP &amp; THUẾ (+38,23%)</t>
        </is>
      </c>
      <c r="C12" s="3" t="inlineStr">
        <is>
          <t>Φ = 1,15 x 1,06 x 1,05 x 1,08</t>
        </is>
      </c>
      <c r="D12" s="3">
        <f>ROUND(D11*0.382346, 0)</f>
        <v/>
      </c>
      <c r="E12" s="3">
        <f>ROUND(E11*0.382346, 0)</f>
        <v/>
      </c>
      <c r="F12" s="3">
        <f>ROUND(F11*0.382346, 0)</f>
        <v/>
      </c>
      <c r="G12" s="3">
        <f>E12-D12</f>
        <v/>
      </c>
      <c r="H12" s="3" t="inlineStr">
        <is>
          <t>Kiến nghị duyệt PA1</t>
        </is>
      </c>
    </row>
    <row r="13">
      <c r="A13" s="2" t="inlineStr">
        <is>
          <t>1</t>
        </is>
      </c>
      <c r="B13" s="2" t="inlineStr">
        <is>
          <t>Chi phí quản lý chung (15%)</t>
        </is>
      </c>
      <c r="C13" s="2" t="inlineStr">
        <is>
          <t>15% x T</t>
        </is>
      </c>
      <c r="D13" s="2">
        <f>ROUND(D11*0.15, 0)</f>
        <v/>
      </c>
      <c r="E13" s="2">
        <f>ROUND(E11*0.15, 0)</f>
        <v/>
      </c>
      <c r="F13" s="2">
        <f>ROUND(F11*0.15, 0)</f>
        <v/>
      </c>
      <c r="G13" s="2">
        <f>E13-D13</f>
        <v/>
      </c>
      <c r="H13" s="2" t="inlineStr">
        <is>
          <t>Kiến nghị duyệt PA1</t>
        </is>
      </c>
    </row>
    <row r="14">
      <c r="A14" s="3" t="inlineStr">
        <is>
          <t>2</t>
        </is>
      </c>
      <c r="B14" s="3" t="inlineStr">
        <is>
          <t>Thu nhập chịu thuế tính trước (6%)</t>
        </is>
      </c>
      <c r="C14" s="3" t="inlineStr">
        <is>
          <t>6% x (T + C_chung)</t>
        </is>
      </c>
      <c r="D14" s="3">
        <f>ROUND((D11+D13)*0.06, 0)</f>
        <v/>
      </c>
      <c r="E14" s="3">
        <f>ROUND((E11+E13)*0.06, 0)</f>
        <v/>
      </c>
      <c r="F14" s="3">
        <f>ROUND((F11+F13)*0.06, 0)</f>
        <v/>
      </c>
      <c r="G14" s="3">
        <f>E14-D14</f>
        <v/>
      </c>
      <c r="H14" s="3" t="inlineStr">
        <is>
          <t>Kiến nghị duyệt PA1</t>
        </is>
      </c>
    </row>
    <row r="15">
      <c r="A15" s="2" t="inlineStr">
        <is>
          <t>3</t>
        </is>
      </c>
      <c r="B15" s="2" t="inlineStr">
        <is>
          <t>Chi phí dự phòng phát sinh (5%)</t>
        </is>
      </c>
      <c r="C15" s="2" t="inlineStr">
        <is>
          <t>5% x (T + C_chung + TL)</t>
        </is>
      </c>
      <c r="D15" s="2">
        <f>ROUND((D11+D13+D14)*0.05, 0)</f>
        <v/>
      </c>
      <c r="E15" s="2">
        <f>ROUND((E11+E13+E14)*0.05, 0)</f>
        <v/>
      </c>
      <c r="F15" s="2">
        <f>ROUND((F11+F13+F14)*0.05, 0)</f>
        <v/>
      </c>
      <c r="G15" s="2">
        <f>E15-D15</f>
        <v/>
      </c>
      <c r="H15" s="2" t="inlineStr">
        <is>
          <t>Kiến nghị duyệt PA1</t>
        </is>
      </c>
    </row>
    <row r="16">
      <c r="A16" s="3" t="inlineStr">
        <is>
          <t>4</t>
        </is>
      </c>
      <c r="B16" s="3" t="inlineStr">
        <is>
          <t>Thuế Giá trị gia tăng VAT (8%)</t>
        </is>
      </c>
      <c r="C16" s="3" t="inlineStr">
        <is>
          <t>8% x (T + C_chung + TL + DP)</t>
        </is>
      </c>
      <c r="D16" s="3">
        <f>ROUND((D11+D13+D14+D15)*0.08, 0)</f>
        <v/>
      </c>
      <c r="E16" s="3">
        <f>ROUND((E11+E13+E14+E15)*0.08, 0)</f>
        <v/>
      </c>
      <c r="F16" s="3">
        <f>ROUND((F11+F13+F14+F15)*0.08, 0)</f>
        <v/>
      </c>
      <c r="G16" s="3">
        <f>E16-D16</f>
        <v/>
      </c>
      <c r="H16" s="3" t="inlineStr">
        <is>
          <t>Kiến nghị duyệt PA1</t>
        </is>
      </c>
    </row>
    <row r="17">
      <c r="A17" s="2" t="inlineStr">
        <is>
          <t>IV</t>
        </is>
      </c>
      <c r="B17" s="8" t="inlineStr">
        <is>
          <t>TỔNG KINH PHÍ DỰ TOÁN TRỌN GÓI</t>
        </is>
      </c>
      <c r="C17" s="2" t="inlineStr">
        <is>
          <t>T + C_GIAN_TIEP</t>
        </is>
      </c>
      <c r="D17" s="7">
        <f>D11+D12</f>
        <v/>
      </c>
      <c r="E17" s="2">
        <f>E11+E12</f>
        <v/>
      </c>
      <c r="F17" s="2">
        <f>F11+F12</f>
        <v/>
      </c>
      <c r="G17" s="2">
        <f>E17-D17</f>
        <v/>
      </c>
      <c r="H17" s="2" t="inlineStr">
        <is>
          <t>Kiến nghị duyệt PA1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2026-10-29T07:24:59Z</dcterms:created>
  <dcterms:modified xmlns:dcterms="http://purl.org/dc/terms/" xmlns:xsi="http://www.w3.org/2001/XMLSchema-instance" xsi:type="dcterms:W3CDTF">2026-10-29T07:25:00Z</dcterms:modified>
</cp:coreProperties>
</file>