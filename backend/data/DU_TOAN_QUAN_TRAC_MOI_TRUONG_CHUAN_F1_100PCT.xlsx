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ệ số" sheetId="1" state="visible" r:id="rId1"/>
    <sheet xmlns:r="http://schemas.openxmlformats.org/officeDocument/2006/relationships" name="Lương nhân công" sheetId="2" state="visible" r:id="rId2"/>
    <sheet xmlns:r="http://schemas.openxmlformats.org/officeDocument/2006/relationships" name="Tính giá ca máy" sheetId="3" state="visible" r:id="rId3"/>
    <sheet xmlns:r="http://schemas.openxmlformats.org/officeDocument/2006/relationships" name="Công trình" sheetId="4" state="visible" r:id="rId4"/>
    <sheet xmlns:r="http://schemas.openxmlformats.org/officeDocument/2006/relationships" name="Hao phí VT" sheetId="5" state="visible" r:id="rId5"/>
    <sheet xmlns:r="http://schemas.openxmlformats.org/officeDocument/2006/relationships" name="Vật liệu" sheetId="6" state="visible" r:id="rId6"/>
    <sheet xmlns:r="http://schemas.openxmlformats.org/officeDocument/2006/relationships" name="Nhân công" sheetId="7" state="visible" r:id="rId7"/>
    <sheet xmlns:r="http://schemas.openxmlformats.org/officeDocument/2006/relationships" name="Công cụ dụng cụ" sheetId="8" state="visible" r:id="rId8"/>
    <sheet xmlns:r="http://schemas.openxmlformats.org/officeDocument/2006/relationships" name="Máy thi công" sheetId="9" state="visible" r:id="rId9"/>
    <sheet xmlns:r="http://schemas.openxmlformats.org/officeDocument/2006/relationships" name="THDT hạng mục" sheetId="10" state="visible" r:id="rId10"/>
    <sheet xmlns:r="http://schemas.openxmlformats.org/officeDocument/2006/relationships" name="Đơn giá chi tiế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8">
    <font>
      <name val="Calibri"/>
      <family val="2"/>
      <color theme="1"/>
      <sz val="11"/>
      <scheme val="minor"/>
    </font>
    <font>
      <name val="Times New Roman"/>
      <color rgb="00000000"/>
      <sz val="11"/>
    </font>
    <font>
      <name val="Times New Roman"/>
      <b val="1"/>
      <color rgb="000000FF"/>
      <sz val="11"/>
    </font>
    <font>
      <name val="Times New Roman"/>
      <b val="1"/>
      <color rgb="00000000"/>
      <sz val="15"/>
    </font>
    <font>
      <name val="Times New Roman"/>
      <i val="1"/>
      <color rgb="00000000"/>
      <sz val="11"/>
    </font>
    <font>
      <name val="Times New Roman"/>
      <b val="1"/>
      <color rgb="00000000"/>
      <sz val="11"/>
    </font>
    <font>
      <name val="Times New Roman"/>
      <b val="1"/>
      <color rgb="00000000"/>
      <sz val="12"/>
    </font>
    <font>
      <name val="Times New Roman"/>
      <color theme="1"/>
      <sz val="11"/>
    </font>
  </fonts>
  <fills count="5">
    <fill>
      <patternFill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164" fontId="2" fillId="2" borderId="1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3" fontId="5" fillId="0" borderId="1" pivotButton="0" quotePrefix="0" xfId="0"/>
    <xf numFmtId="0" fontId="7" fillId="2" borderId="0" pivotButton="0" quotePrefix="0" xfId="0"/>
    <xf numFmtId="3" fontId="1" fillId="0" borderId="1" pivotButton="0" quotePrefix="0" xfId="0"/>
    <xf numFmtId="164" fontId="1" fillId="0" borderId="1" pivotButton="0" quotePrefix="0" xfId="0"/>
    <xf numFmtId="3" fontId="5" fillId="4" borderId="1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1" pivotButton="0" quotePrefix="0" xfId="0"/>
    <xf numFmtId="0" fontId="6" fillId="3" borderId="0" pivotButton="0" quotePrefix="0" xfId="0"/>
    <xf numFmtId="3" fontId="5" fillId="3" borderId="1" pivotButton="0" quotePrefix="0" xfId="0"/>
    <xf numFmtId="3" fontId="1" fillId="3" borderId="1" pivotButton="0" quotePrefix="0" xfId="0"/>
    <xf numFmtId="0" fontId="1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5" fillId="3" borderId="1" pivotButton="0" quotePrefix="0" xfId="0"/>
    <xf numFmtId="165" fontId="7" fillId="3" borderId="1" pivotButton="0" quotePrefix="0" xfId="0"/>
    <xf numFmtId="165" fontId="1" fillId="0" borderId="1" pivotButton="0" quotePrefix="0" xfId="0"/>
    <xf numFmtId="0" fontId="5" fillId="3" borderId="2" pivotButton="0" quotePrefix="0" xfId="0"/>
    <xf numFmtId="3" fontId="5" fillId="3" borderId="2" pivotButton="0" quotePrefix="0" xfId="0"/>
    <xf numFmtId="165" fontId="5" fillId="3" borderId="2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Hạng mục 1</t>
        </is>
      </c>
      <c r="B1" s="1" t="inlineStr"/>
      <c r="C1" s="2" t="inlineStr"/>
      <c r="D1" s="1" t="inlineStr"/>
    </row>
    <row r="2">
      <c r="A2" s="1" t="inlineStr">
        <is>
          <t>HS điều chỉnh máy thi công</t>
        </is>
      </c>
      <c r="B2" s="1" t="inlineStr">
        <is>
          <t>hsBM</t>
        </is>
      </c>
      <c r="C2" s="3" t="n">
        <v>1</v>
      </c>
      <c r="D2" s="1" t="n">
        <v>1</v>
      </c>
    </row>
    <row r="3">
      <c r="A3" s="1" t="inlineStr">
        <is>
          <t>HS điều chỉnh nhân công</t>
        </is>
      </c>
      <c r="B3" s="1" t="inlineStr">
        <is>
          <t>hsBNC</t>
        </is>
      </c>
      <c r="C3" s="3" t="n">
        <v>1</v>
      </c>
      <c r="D3" s="1" t="n">
        <v>1</v>
      </c>
    </row>
    <row r="4">
      <c r="A4" s="1" t="inlineStr">
        <is>
          <t>Chi phí chung theo chi phí trực tiếp</t>
        </is>
      </c>
      <c r="B4" s="1" t="inlineStr">
        <is>
          <t>hsC</t>
        </is>
      </c>
      <c r="C4" s="4" t="n">
        <v>0.2</v>
      </c>
      <c r="D4" s="1" t="n">
        <v>0.2</v>
      </c>
    </row>
    <row r="5">
      <c r="A5" s="1" t="inlineStr">
        <is>
          <t>Hệ số đảm bảo an toàn giao thông</t>
        </is>
      </c>
      <c r="B5" s="1" t="inlineStr">
        <is>
          <t>hsDBATGT</t>
        </is>
      </c>
      <c r="C5" s="4" t="n">
        <v>0.01</v>
      </c>
      <c r="D5" s="1" t="n">
        <v>0.01</v>
      </c>
    </row>
    <row r="6">
      <c r="A6" s="1" t="inlineStr">
        <is>
          <t>Hệ số lán trại, nhà tạm</t>
        </is>
      </c>
      <c r="B6" s="1" t="inlineStr">
        <is>
          <t>hsGxdnt</t>
        </is>
      </c>
      <c r="C6" s="4" t="n">
        <v>0.011</v>
      </c>
      <c r="D6" s="1" t="n">
        <v>0.011</v>
      </c>
    </row>
    <row r="7">
      <c r="A7" s="1" t="inlineStr">
        <is>
          <t>Hệ số riêng vật liệu</t>
        </is>
      </c>
      <c r="B7" s="1" t="inlineStr">
        <is>
          <t>hsRVL</t>
        </is>
      </c>
      <c r="C7" s="3" t="n">
        <v>1</v>
      </c>
      <c r="D7" s="1" t="n">
        <v>1</v>
      </c>
    </row>
    <row r="8">
      <c r="A8" s="1" t="inlineStr">
        <is>
          <t>Thu nhập chịu thuế tính trước</t>
        </is>
      </c>
      <c r="B8" s="1" t="inlineStr">
        <is>
          <t>hsTL</t>
        </is>
      </c>
      <c r="C8" s="4" t="n">
        <v>0.055</v>
      </c>
      <c r="D8" s="1" t="n">
        <v>0.055</v>
      </c>
    </row>
    <row r="9">
      <c r="A9" s="1" t="inlineStr">
        <is>
          <t>Hệ số trực tiếp phí khác</t>
        </is>
      </c>
      <c r="B9" s="1" t="inlineStr">
        <is>
          <t>hsTT</t>
        </is>
      </c>
      <c r="C9" s="4" t="n">
        <v>0.025</v>
      </c>
      <c r="D9" s="1" t="n">
        <v>0.025</v>
      </c>
    </row>
    <row r="10">
      <c r="A10" s="1" t="inlineStr">
        <is>
          <t>Thuế VAT</t>
        </is>
      </c>
      <c r="B10" s="1" t="inlineStr">
        <is>
          <t>hsGTGT</t>
        </is>
      </c>
      <c r="C10" s="4" t="n">
        <v>0.08</v>
      </c>
      <c r="D10" s="1" t="n">
        <v>0.08</v>
      </c>
    </row>
    <row r="11">
      <c r="A11" s="1" t="inlineStr">
        <is>
          <t>Hệ số vật liệu phụ (Khoản 4.4 TT20)</t>
        </is>
      </c>
      <c r="B11" s="1" t="inlineStr">
        <is>
          <t>hsVLP</t>
        </is>
      </c>
      <c r="C11" s="4" t="n">
        <v>0.08</v>
      </c>
      <c r="D11" s="1" t="n">
        <v>0.08</v>
      </c>
    </row>
    <row r="12">
      <c r="A12" s="1" t="inlineStr">
        <is>
          <t>Hệ số CCDC phụ (Khoản 4.2 TT20)</t>
        </is>
      </c>
      <c r="B12" s="1" t="inlineStr">
        <is>
          <t>hsCCDCP</t>
        </is>
      </c>
      <c r="C12" s="4" t="n">
        <v>0.1</v>
      </c>
      <c r="D12" s="1" t="n">
        <v>0.1</v>
      </c>
    </row>
    <row r="13">
      <c r="A13" s="1" t="inlineStr">
        <is>
          <t>Hệ số thiết bị phụ</t>
        </is>
      </c>
      <c r="B13" s="1" t="inlineStr">
        <is>
          <t>hsTBP</t>
        </is>
      </c>
      <c r="C13" s="4" t="n">
        <v>0.05</v>
      </c>
      <c r="D13" s="1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4" customWidth="1" min="3" max="3"/>
    <col width="18" customWidth="1" min="4" max="4"/>
    <col width="28" customWidth="1" min="5" max="5"/>
  </cols>
  <sheetData>
    <row r="1">
      <c r="A1" s="5" t="inlineStr">
        <is>
          <t>BẢNG TÍNH LƯƠNG NHÂN CÔNG QUAN TRẮC MÔI TRƯỜNG</t>
        </is>
      </c>
      <c r="B1" s="6" t="n"/>
      <c r="C1" s="6" t="n"/>
      <c r="D1" s="6" t="n"/>
      <c r="E1" s="6" t="n"/>
    </row>
    <row r="2">
      <c r="A2" s="7" t="inlineStr">
        <is>
          <t>(Căn cứ theo QĐ số 80/2026/QĐ-UBND &amp; TTLT 56/2015/TTLT-BTNMT-BNV chia 22 ngày làm việc chuẩn)</t>
        </is>
      </c>
      <c r="B2" s="6" t="n"/>
      <c r="C2" s="6" t="n"/>
      <c r="D2" s="6" t="n"/>
      <c r="E2" s="6" t="n"/>
    </row>
    <row r="3">
      <c r="A3" s="6" t="n"/>
      <c r="B3" s="6" t="n"/>
      <c r="C3" s="6" t="n"/>
      <c r="D3" s="6" t="n"/>
      <c r="E3" s="6" t="n"/>
    </row>
    <row r="4">
      <c r="A4" s="6" t="inlineStr"/>
      <c r="B4" s="6" t="inlineStr">
        <is>
          <t>Vùng/Khu vực:</t>
        </is>
      </c>
      <c r="C4" s="6" t="inlineStr">
        <is>
          <t>Vùng IV (Tuy Phong - Bình Thuận)</t>
        </is>
      </c>
      <c r="D4" s="6" t="inlineStr"/>
      <c r="E4" s="6" t="n"/>
    </row>
    <row r="5">
      <c r="A5" s="6" t="inlineStr"/>
      <c r="B5" s="6" t="inlineStr">
        <is>
          <t>Hệ số điều chỉnh:</t>
        </is>
      </c>
      <c r="C5" s="6" t="n">
        <v>1</v>
      </c>
      <c r="D5" s="6" t="inlineStr"/>
      <c r="E5" s="6" t="n"/>
    </row>
    <row r="6">
      <c r="A6" s="6" t="n"/>
      <c r="B6" s="6" t="n"/>
      <c r="C6" s="6" t="n"/>
      <c r="D6" s="6" t="n"/>
      <c r="E6" s="6" t="n"/>
    </row>
    <row r="7">
      <c r="A7" s="8" t="inlineStr">
        <is>
          <t>Mã nhân công</t>
        </is>
      </c>
      <c r="B7" s="8" t="inlineStr">
        <is>
          <t>Tên nhóm / Chức danh nhân công</t>
        </is>
      </c>
      <c r="C7" s="8" t="inlineStr">
        <is>
          <t>Mức lương cơ sở / tháng</t>
        </is>
      </c>
      <c r="D7" s="8" t="inlineStr">
        <is>
          <t>Hệ số điều chỉnh</t>
        </is>
      </c>
      <c r="E7" s="8" t="inlineStr">
        <is>
          <t>Đơn giá ngày công (/22 ngày)</t>
        </is>
      </c>
    </row>
    <row r="8">
      <c r="A8" s="1" t="inlineStr">
        <is>
          <t>NC_LDKT</t>
        </is>
      </c>
      <c r="B8" s="1" t="inlineStr">
        <is>
          <t>Lao động kỹ thuật (Kỹ sư/QTVTNMT - Bậc 4-5/7)</t>
        </is>
      </c>
      <c r="C8" s="3" t="n">
        <v>7020000</v>
      </c>
      <c r="D8" s="1">
        <f>C5</f>
        <v/>
      </c>
      <c r="E8" s="9">
        <f>ROUND(C8/22*D8, 0)</f>
        <v/>
      </c>
    </row>
    <row r="9">
      <c r="A9" s="1" t="inlineStr">
        <is>
          <t>NC_LDPT</t>
        </is>
      </c>
      <c r="B9" s="1" t="inlineStr">
        <is>
          <t>Lao động phổ thông (Phụ việc hiện trường/vận chuyển)</t>
        </is>
      </c>
      <c r="C9" s="3" t="n">
        <v>4352400</v>
      </c>
      <c r="D9" s="1">
        <f>C5</f>
        <v/>
      </c>
      <c r="E9" s="9">
        <f>ROUND(C9/22*D9, 0)</f>
        <v/>
      </c>
    </row>
    <row r="10">
      <c r="A10" s="1" t="inlineStr">
        <is>
          <t>NC_III_1</t>
        </is>
      </c>
      <c r="B10" s="1" t="inlineStr">
        <is>
          <t>Quan trắc viên tài nguyên môi trường Bậc 1</t>
        </is>
      </c>
      <c r="C10" s="3" t="n">
        <v>5475600</v>
      </c>
      <c r="D10" s="1">
        <f>C5</f>
        <v/>
      </c>
      <c r="E10" s="9">
        <f>ROUND(C10/22*D10, 0)</f>
        <v/>
      </c>
    </row>
    <row r="11">
      <c r="A11" s="1" t="inlineStr">
        <is>
          <t>NC_III_2</t>
        </is>
      </c>
      <c r="B11" s="1" t="inlineStr">
        <is>
          <t>Quan trắc viên tài nguyên môi trường Bậc 2</t>
        </is>
      </c>
      <c r="C11" s="3" t="n">
        <v>6247800</v>
      </c>
      <c r="D11" s="1">
        <f>C5</f>
        <v/>
      </c>
      <c r="E11" s="9">
        <f>ROUND(C11/22*D11, 0)</f>
        <v/>
      </c>
    </row>
    <row r="12">
      <c r="A12" s="1" t="inlineStr">
        <is>
          <t>NC_III_3</t>
        </is>
      </c>
      <c r="B12" s="1" t="inlineStr">
        <is>
          <t>Quan trắc viên tài nguyên môi trường Bậc 3</t>
        </is>
      </c>
      <c r="C12" s="3" t="n">
        <v>7020000</v>
      </c>
      <c r="D12" s="1">
        <f>C5</f>
        <v/>
      </c>
      <c r="E12" s="9">
        <f>ROUND(C12/22*D12, 0)</f>
        <v/>
      </c>
    </row>
    <row r="13">
      <c r="A13" s="1" t="inlineStr">
        <is>
          <t>NC_III_4</t>
        </is>
      </c>
      <c r="B13" s="1" t="inlineStr">
        <is>
          <t>Quan trắc viên tài nguyên môi trường Bậc 4</t>
        </is>
      </c>
      <c r="C13" s="3" t="n">
        <v>7792200</v>
      </c>
      <c r="D13" s="1">
        <f>C5</f>
        <v/>
      </c>
      <c r="E13" s="9">
        <f>ROUND(C13/22*D13, 0)</f>
        <v/>
      </c>
    </row>
    <row r="14">
      <c r="A14" s="1" t="inlineStr">
        <is>
          <t>NC_II_1</t>
        </is>
      </c>
      <c r="B14" s="1" t="inlineStr">
        <is>
          <t>Quan trắc viên chính tài nguyên môi trường Bậc 1</t>
        </is>
      </c>
      <c r="C14" s="3" t="n">
        <v>10296000</v>
      </c>
      <c r="D14" s="1">
        <f>C5</f>
        <v/>
      </c>
      <c r="E14" s="9">
        <f>ROUND(C14/22*D14,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20" customWidth="1" min="4" max="4"/>
    <col width="24" customWidth="1" min="13" max="13"/>
  </cols>
  <sheetData>
    <row r="1">
      <c r="A1" s="5" t="inlineStr">
        <is>
          <t>BẢNG TÍNH GIÁ CA MÁY &amp; THIẾT BỊ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</row>
    <row r="2">
      <c r="A2" s="7" t="inlineStr">
        <is>
          <t>(Căn cứ theo Thông tư số 45/2013/TT-BTC &amp;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6" t="inlineStr">
        <is>
          <t>Xăng RON 92:</t>
        </is>
      </c>
      <c r="B4" s="6" t="inlineStr"/>
      <c r="C4" s="10" t="n">
        <v>22791</v>
      </c>
      <c r="D4" s="6" t="inlineStr">
        <is>
          <t>đồng/lít</t>
        </is>
      </c>
      <c r="E4" s="6" t="inlineStr"/>
      <c r="F4" s="6" t="inlineStr"/>
      <c r="G4" s="6" t="inlineStr"/>
      <c r="H4" s="6" t="inlineStr"/>
      <c r="I4" s="6" t="inlineStr"/>
      <c r="J4" s="6" t="inlineStr"/>
      <c r="K4" s="6" t="inlineStr">
        <is>
          <t>Vùng/Khu vực:</t>
        </is>
      </c>
      <c r="L4" s="6" t="inlineStr">
        <is>
          <t>Vùng IV</t>
        </is>
      </c>
      <c r="M4" s="6" t="n"/>
    </row>
    <row r="5">
      <c r="A5" s="6" t="inlineStr">
        <is>
          <t>Dầu Diezel 0,05S:</t>
        </is>
      </c>
      <c r="B5" s="6" t="inlineStr"/>
      <c r="C5" s="10" t="n">
        <v>22591</v>
      </c>
      <c r="D5" s="6" t="inlineStr">
        <is>
          <t>đồng/lít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inlineStr">
        <is>
          <t>Dầu Mazut 3,5S:</t>
        </is>
      </c>
      <c r="B6" s="6" t="inlineStr"/>
      <c r="C6" s="10" t="n">
        <v>13548</v>
      </c>
      <c r="D6" s="6" t="inlineStr">
        <is>
          <t>đồng/lít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inlineStr">
        <is>
          <t>Điện năng EVN:</t>
        </is>
      </c>
      <c r="B7" s="6" t="inlineStr"/>
      <c r="C7" s="10" t="n">
        <v>1920.37</v>
      </c>
      <c r="D7" s="6" t="inlineStr">
        <is>
          <t>đồng/kWh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" t="inlineStr">
        <is>
          <t>Mã máy</t>
        </is>
      </c>
      <c r="B9" s="1" t="inlineStr">
        <is>
          <t>Loại máy và thiết bị</t>
        </is>
      </c>
      <c r="C9" s="11" t="inlineStr">
        <is>
          <t>Số ca/năm</t>
        </is>
      </c>
      <c r="D9" s="11" t="inlineStr">
        <is>
          <t>Nguyên giá (MSC)</t>
        </is>
      </c>
      <c r="E9" s="12" t="inlineStr">
        <is>
          <t>ĐM Khấu hao (%)</t>
        </is>
      </c>
      <c r="F9" s="12" t="inlineStr">
        <is>
          <t>ĐM Sửa chữa (%)</t>
        </is>
      </c>
      <c r="G9" s="12" t="inlineStr">
        <is>
          <t>ĐM Chi phí khác (%)</t>
        </is>
      </c>
      <c r="H9" s="11" t="inlineStr">
        <is>
          <t>Chi phí Khấu hao 1 ca</t>
        </is>
      </c>
      <c r="I9" s="11" t="inlineStr">
        <is>
          <t>Chi phí Sửa chữa 1 ca</t>
        </is>
      </c>
      <c r="J9" s="11" t="inlineStr">
        <is>
          <t>Chi phí Khác 1 ca</t>
        </is>
      </c>
      <c r="K9" s="1" t="inlineStr">
        <is>
          <t>Điện năng (kWh/ca)</t>
        </is>
      </c>
      <c r="L9" s="11" t="inlineStr">
        <is>
          <t>Tiền điện 1 ca</t>
        </is>
      </c>
      <c r="M9" s="13" t="inlineStr">
        <is>
          <t>ĐƠN GIÁ 1 CA MÁY</t>
        </is>
      </c>
    </row>
    <row r="10">
      <c r="A10" s="1" t="inlineStr">
        <is>
          <t>M_KHTSCD</t>
        </is>
      </c>
      <c r="B10" s="1" t="inlineStr">
        <is>
          <t>Khấu hao thiết bị quan trắc chuyên dụng (Máy đo khí, ồn, bụi, quang phổ)</t>
        </is>
      </c>
      <c r="C10" s="11" t="n">
        <v>250</v>
      </c>
      <c r="D10" s="11" t="n">
        <v>450000000</v>
      </c>
      <c r="E10" s="12" t="n">
        <v>0.1</v>
      </c>
      <c r="F10" s="12" t="n">
        <v>0.03</v>
      </c>
      <c r="G10" s="12" t="n">
        <v>0.02</v>
      </c>
      <c r="H10" s="11">
        <f>ROUND(D9*E9/C9, 0)</f>
        <v/>
      </c>
      <c r="I10" s="11">
        <f>ROUND(D9*F9/C9, 0)</f>
        <v/>
      </c>
      <c r="J10" s="11">
        <f>ROUND(D9*G9/C9, 0)</f>
        <v/>
      </c>
      <c r="K10" s="1" t="n">
        <v>0</v>
      </c>
      <c r="L10" s="11" t="n">
        <v>0</v>
      </c>
      <c r="M10" s="13">
        <f>H9+I9+J9+L9</f>
        <v/>
      </c>
    </row>
    <row r="11">
      <c r="A11" s="1" t="inlineStr">
        <is>
          <t>M_NANGLUONG</t>
        </is>
      </c>
      <c r="B11" s="1" t="inlineStr">
        <is>
          <t>Điện năng vận hành thiết bị PTN, tủ sấy, lò nung mẫu</t>
        </is>
      </c>
      <c r="C11" s="11" t="n">
        <v>250</v>
      </c>
      <c r="D11" s="11" t="n">
        <v>0</v>
      </c>
      <c r="E11" s="12" t="n">
        <v>0</v>
      </c>
      <c r="F11" s="12" t="n">
        <v>0</v>
      </c>
      <c r="G11" s="12" t="n">
        <v>0</v>
      </c>
      <c r="H11" s="11" t="n">
        <v>0</v>
      </c>
      <c r="I11" s="11" t="n">
        <v>0</v>
      </c>
      <c r="J11" s="11" t="n">
        <v>0</v>
      </c>
      <c r="K11" s="1" t="n">
        <v>8</v>
      </c>
      <c r="L11" s="11">
        <f>ROUND(K10*$C$7, 0)</f>
        <v/>
      </c>
      <c r="M11" s="13">
        <f>L10</f>
        <v/>
      </c>
    </row>
    <row r="12">
      <c r="A12" s="1" t="inlineStr">
        <is>
          <t>M_FLUEGAS</t>
        </is>
      </c>
      <c r="B12" s="1" t="inlineStr">
        <is>
          <t>Máy phân tích khí phát thải tự động Flue Gas Analyzer</t>
        </is>
      </c>
      <c r="C12" s="11" t="n">
        <v>200</v>
      </c>
      <c r="D12" s="11" t="n">
        <v>850000000</v>
      </c>
      <c r="E12" s="12" t="n">
        <v>0.1</v>
      </c>
      <c r="F12" s="12" t="n">
        <v>0.03</v>
      </c>
      <c r="G12" s="12" t="n">
        <v>0.02</v>
      </c>
      <c r="H12" s="11">
        <f>ROUND(D11*E11/C11, 0)</f>
        <v/>
      </c>
      <c r="I12" s="11">
        <f>ROUND(D11*F11/C11, 0)</f>
        <v/>
      </c>
      <c r="J12" s="11">
        <f>ROUND(D11*G11/C11, 0)</f>
        <v/>
      </c>
      <c r="K12" s="1" t="n">
        <v>12</v>
      </c>
      <c r="L12" s="11">
        <f>ROUND(K11*$C$7, 0)</f>
        <v/>
      </c>
      <c r="M12" s="13">
        <f>H11+I11+J11+L11</f>
        <v/>
      </c>
    </row>
    <row r="13">
      <c r="A13" s="1" t="inlineStr">
        <is>
          <t>M_ISOKINETIC</t>
        </is>
      </c>
      <c r="B13" s="1" t="inlineStr">
        <is>
          <t>Hệ thống lấy mẫu bụi Isokinetic ống khói (Method 5)</t>
        </is>
      </c>
      <c r="C13" s="11" t="n">
        <v>200</v>
      </c>
      <c r="D13" s="11" t="n">
        <v>620000000</v>
      </c>
      <c r="E13" s="12" t="n">
        <v>0.1</v>
      </c>
      <c r="F13" s="12" t="n">
        <v>0.03</v>
      </c>
      <c r="G13" s="12" t="n">
        <v>0.02</v>
      </c>
      <c r="H13" s="11">
        <f>ROUND(D12*E12/C12, 0)</f>
        <v/>
      </c>
      <c r="I13" s="11">
        <f>ROUND(D12*F12/C12, 0)</f>
        <v/>
      </c>
      <c r="J13" s="11">
        <f>ROUND(D12*G12/C12, 0)</f>
        <v/>
      </c>
      <c r="K13" s="1" t="n">
        <v>16</v>
      </c>
      <c r="L13" s="11">
        <f>ROUND(K12*$C$7, 0)</f>
        <v/>
      </c>
      <c r="M13" s="13">
        <f>H12+I12+J12+L12</f>
        <v/>
      </c>
    </row>
    <row r="14">
      <c r="A14" s="1" t="inlineStr">
        <is>
          <t>M_NOISE</t>
        </is>
      </c>
      <c r="B14" s="1" t="inlineStr">
        <is>
          <t>Máy đo độ ồn và độ rung tích hợp Rion NL-52</t>
        </is>
      </c>
      <c r="C14" s="11" t="n">
        <v>250</v>
      </c>
      <c r="D14" s="11" t="n">
        <v>160000000</v>
      </c>
      <c r="E14" s="12" t="n">
        <v>0.1</v>
      </c>
      <c r="F14" s="12" t="n">
        <v>0.03</v>
      </c>
      <c r="G14" s="12" t="n">
        <v>0.02</v>
      </c>
      <c r="H14" s="11">
        <f>ROUND(D13*E13/C13, 0)</f>
        <v/>
      </c>
      <c r="I14" s="11">
        <f>ROUND(D13*F13/C13, 0)</f>
        <v/>
      </c>
      <c r="J14" s="11">
        <f>ROUND(D13*G13/C13, 0)</f>
        <v/>
      </c>
      <c r="K14" s="1" t="n">
        <v>2</v>
      </c>
      <c r="L14" s="11">
        <f>ROUND(K13*$C$7, 0)</f>
        <v/>
      </c>
      <c r="M14" s="13">
        <f>H13+I13+J13+L13</f>
        <v/>
      </c>
    </row>
    <row r="15">
      <c r="A15" s="1" t="inlineStr">
        <is>
          <t>M_AAS</t>
        </is>
      </c>
      <c r="B15" s="1" t="inlineStr">
        <is>
          <t>Hệ thống quang phổ hấp thu nguyên tử AAS</t>
        </is>
      </c>
      <c r="C15" s="11" t="n">
        <v>250</v>
      </c>
      <c r="D15" s="11" t="n">
        <v>1850000000</v>
      </c>
      <c r="E15" s="12" t="n">
        <v>0.1</v>
      </c>
      <c r="F15" s="12" t="n">
        <v>0.03</v>
      </c>
      <c r="G15" s="12" t="n">
        <v>0.02</v>
      </c>
      <c r="H15" s="11">
        <f>ROUND(D14*E14/C14, 0)</f>
        <v/>
      </c>
      <c r="I15" s="11">
        <f>ROUND(D14*F14/C14, 0)</f>
        <v/>
      </c>
      <c r="J15" s="11">
        <f>ROUND(D14*G14/C14, 0)</f>
        <v/>
      </c>
      <c r="K15" s="1" t="n">
        <v>24</v>
      </c>
      <c r="L15" s="11">
        <f>ROUND(K14*$C$7, 0)</f>
        <v/>
      </c>
      <c r="M15" s="13">
        <f>H14+I14+J14+L14</f>
        <v/>
      </c>
    </row>
    <row r="16">
      <c r="A16" s="6" t="inlineStr">
        <is>
          <t>M_GCMS</t>
        </is>
      </c>
      <c r="B16" s="6" t="inlineStr">
        <is>
          <t>Hệ thống sắc ký khí khối phổ GC/MS</t>
        </is>
      </c>
      <c r="C16" s="6" t="n">
        <v>250</v>
      </c>
      <c r="D16" s="6" t="n">
        <v>2400000000</v>
      </c>
      <c r="E16" s="6" t="n">
        <v>0.1</v>
      </c>
      <c r="F16" s="6" t="n">
        <v>0.03</v>
      </c>
      <c r="G16" s="6" t="n">
        <v>0.02</v>
      </c>
      <c r="H16" s="6">
        <f>ROUND(D15*E15/C15, 0)</f>
        <v/>
      </c>
      <c r="I16" s="6">
        <f>ROUND(D15*F15/C15, 0)</f>
        <v/>
      </c>
      <c r="J16" s="6">
        <f>ROUND(D15*G15/C15, 0)</f>
        <v/>
      </c>
      <c r="K16" s="6" t="n">
        <v>32</v>
      </c>
      <c r="L16" s="6">
        <f>ROUND(K15*$C$7, 0)</f>
        <v/>
      </c>
      <c r="M16" s="6">
        <f>H15+I15+J15+L15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5" customWidth="1" min="4" max="4"/>
    <col width="16" customWidth="1" min="12" max="12"/>
    <col width="18" customWidth="1" min="17" max="17"/>
    <col width="22" customWidth="1" min="18" max="18"/>
  </cols>
  <sheetData>
    <row r="1">
      <c r="A1" s="5" t="inlineStr">
        <is>
          <t>BẢNG CHI TIẾT KHỐI LƯỢNG CÔNG TRÌNH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</row>
    <row r="2">
      <c r="A2" s="7" t="inlineStr">
        <is>
          <t>(Ban hành kèm theo Quyết định số 1155/QĐ-NĐVT4 và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14" t="inlineStr">
        <is>
          <t>CÔNG TRÌNH: QUAN TRẮC MÔI TRƯỜNG CHO NMNĐ VĨNH TÂN 4 VÀ VĨNH TÂN 4 MỞ RỘNG NĂM 2026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14" t="inlineStr">
        <is>
          <t>HẠNG MỤC: TOÀN BỘ KHỐI LƯỢNG QUAN TRẮC MÔI TRƯỜNG THEO ĐỊNH MỨC THÔNG TƯ 20/2017/TT-BTNMT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8" t="inlineStr">
        <is>
          <t>STT</t>
        </is>
      </c>
      <c r="B6" s="8" t="inlineStr">
        <is>
          <t>Ký hiệu vị trí (Bản vẽ)</t>
        </is>
      </c>
      <c r="C6" s="8" t="inlineStr">
        <is>
          <t>Mã hiệu công tác (TT20)</t>
        </is>
      </c>
      <c r="D6" s="8" t="inlineStr">
        <is>
          <t>Danh mục công tác quan trắc</t>
        </is>
      </c>
      <c r="E6" s="8" t="inlineStr">
        <is>
          <t>Đơn vị</t>
        </is>
      </c>
      <c r="F6" s="8" t="inlineStr">
        <is>
          <t>Số vị trí quan trắc</t>
        </is>
      </c>
      <c r="G6" s="8" t="inlineStr">
        <is>
          <t>Số đợt / Tần suất (lần/năm)</t>
        </is>
      </c>
      <c r="H6" s="8" t="inlineStr">
        <is>
          <t>Số mẫu song song</t>
        </is>
      </c>
      <c r="I6" s="8" t="inlineStr">
        <is>
          <t>Hệ số chung mẫu (M)</t>
        </is>
      </c>
      <c r="J6" s="8" t="inlineStr">
        <is>
          <t>Kích thước phụ</t>
        </is>
      </c>
      <c r="K6" s="8" t="inlineStr">
        <is>
          <t>Ghi chú phương pháp</t>
        </is>
      </c>
      <c r="L6" s="8" t="inlineStr">
        <is>
          <t>KHỐI LƯỢNG THỰC HIỆN (Q)</t>
        </is>
      </c>
      <c r="M6" s="8" t="inlineStr">
        <is>
          <t>Đơn giá Vật liệu</t>
        </is>
      </c>
      <c r="N6" s="8" t="inlineStr">
        <is>
          <t>Đơn giá Nhân công</t>
        </is>
      </c>
      <c r="O6" s="8" t="inlineStr">
        <is>
          <t>Đơn giá Dụng cụ</t>
        </is>
      </c>
      <c r="P6" s="8" t="inlineStr">
        <is>
          <t>Đơn giá Máy thi công</t>
        </is>
      </c>
      <c r="Q6" s="8" t="inlineStr">
        <is>
          <t>CỘNG ĐƠN GIÁ (Đ/mẫu)</t>
        </is>
      </c>
      <c r="R6" s="8" t="inlineStr">
        <is>
          <t>THÀNH TIỀN (VNĐ)</t>
        </is>
      </c>
    </row>
    <row r="7">
      <c r="A7" s="15" t="inlineStr"/>
      <c r="B7" s="16" t="inlineStr"/>
      <c r="C7" s="16" t="inlineStr"/>
      <c r="D7" s="17" t="inlineStr">
        <is>
          <t>PHẦN: GIÁM SÁT GIÁM SÁT KHÔNG KHÍ XUNG QUANH</t>
        </is>
      </c>
      <c r="E7" s="15" t="inlineStr"/>
      <c r="F7" s="15" t="inlineStr"/>
      <c r="G7" s="15" t="inlineStr"/>
      <c r="H7" s="15" t="inlineStr"/>
      <c r="I7" s="15" t="inlineStr"/>
      <c r="J7" s="16" t="inlineStr"/>
      <c r="K7" s="16" t="inlineStr"/>
      <c r="L7" s="18" t="inlineStr"/>
      <c r="M7" s="19" t="inlineStr"/>
      <c r="N7" s="19" t="inlineStr"/>
      <c r="O7" s="19" t="inlineStr"/>
      <c r="P7" s="19" t="inlineStr"/>
      <c r="Q7" s="19" t="inlineStr"/>
      <c r="R7" s="13" t="inlineStr"/>
    </row>
    <row r="8">
      <c r="A8" s="20" t="n">
        <v>1</v>
      </c>
      <c r="B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8" s="1" t="inlineStr">
        <is>
          <t>KK1a</t>
        </is>
      </c>
      <c r="D8" s="1" t="inlineStr">
        <is>
          <t>Nhiệt độ</t>
        </is>
      </c>
      <c r="E8" s="20" t="inlineStr">
        <is>
          <t>0C</t>
        </is>
      </c>
      <c r="F8" s="20" t="n">
        <v>5</v>
      </c>
      <c r="G8" s="20" t="n">
        <v>2</v>
      </c>
      <c r="H8" s="20" t="n">
        <v>1</v>
      </c>
      <c r="I8" s="20" t="n">
        <v>1</v>
      </c>
      <c r="J8" s="1" t="inlineStr"/>
      <c r="K8" s="1" t="inlineStr">
        <is>
          <t>II.1</t>
        </is>
      </c>
      <c r="L8" s="9">
        <f>F8*G8</f>
        <v/>
      </c>
      <c r="M8" s="11" t="n">
        <v>185000</v>
      </c>
      <c r="N8" s="11" t="n">
        <v>320000</v>
      </c>
      <c r="O8" s="11" t="n">
        <v>35000</v>
      </c>
      <c r="P8" s="11" t="n">
        <v>120000</v>
      </c>
      <c r="Q8" s="11">
        <f>M8+N8+O8+P8</f>
        <v/>
      </c>
      <c r="R8" s="13">
        <f>ROUND(L8*Q8, 0)</f>
        <v/>
      </c>
    </row>
    <row r="9">
      <c r="A9" s="20" t="n">
        <v>2</v>
      </c>
      <c r="B9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9" s="1" t="inlineStr">
        <is>
          <t>KK1b</t>
        </is>
      </c>
      <c r="D9" s="1" t="inlineStr">
        <is>
          <t>Độ ẩm</t>
        </is>
      </c>
      <c r="E9" s="20" t="inlineStr">
        <is>
          <t>%</t>
        </is>
      </c>
      <c r="F9" s="20" t="n">
        <v>5</v>
      </c>
      <c r="G9" s="20" t="n">
        <v>2</v>
      </c>
      <c r="H9" s="20" t="n">
        <v>1</v>
      </c>
      <c r="I9" s="20" t="n">
        <v>1</v>
      </c>
      <c r="J9" s="1" t="inlineStr"/>
      <c r="K9" s="1" t="inlineStr">
        <is>
          <t>II.1</t>
        </is>
      </c>
      <c r="L9" s="9">
        <f>F9*G9</f>
        <v/>
      </c>
      <c r="M9" s="11" t="n">
        <v>185000</v>
      </c>
      <c r="N9" s="11" t="n">
        <v>320000</v>
      </c>
      <c r="O9" s="11" t="n">
        <v>35000</v>
      </c>
      <c r="P9" s="11" t="n">
        <v>120000</v>
      </c>
      <c r="Q9" s="11">
        <f>M9+N9+O9+P9</f>
        <v/>
      </c>
      <c r="R9" s="13">
        <f>ROUND(L9*Q9, 0)</f>
        <v/>
      </c>
    </row>
    <row r="10">
      <c r="A10" s="20" t="n">
        <v>3</v>
      </c>
      <c r="B10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0" s="1" t="inlineStr">
        <is>
          <t>KK2b</t>
        </is>
      </c>
      <c r="D10" s="1" t="inlineStr">
        <is>
          <t>Hướng gió</t>
        </is>
      </c>
      <c r="E10" s="20" t="inlineStr">
        <is>
          <t>-</t>
        </is>
      </c>
      <c r="F10" s="20" t="n">
        <v>5</v>
      </c>
      <c r="G10" s="20" t="n">
        <v>2</v>
      </c>
      <c r="H10" s="20" t="n">
        <v>1</v>
      </c>
      <c r="I10" s="20" t="n">
        <v>1</v>
      </c>
      <c r="J10" s="1" t="inlineStr"/>
      <c r="K10" s="1" t="inlineStr">
        <is>
          <t>II.1</t>
        </is>
      </c>
      <c r="L10" s="9">
        <f>F10*G10</f>
        <v/>
      </c>
      <c r="M10" s="11" t="n">
        <v>185000</v>
      </c>
      <c r="N10" s="11" t="n">
        <v>320000</v>
      </c>
      <c r="O10" s="11" t="n">
        <v>35000</v>
      </c>
      <c r="P10" s="11" t="n">
        <v>120000</v>
      </c>
      <c r="Q10" s="11">
        <f>M10+N10+O10+P10</f>
        <v/>
      </c>
      <c r="R10" s="13">
        <f>ROUND(L10*Q10, 0)</f>
        <v/>
      </c>
    </row>
    <row r="11">
      <c r="A11" s="20" t="n">
        <v>4</v>
      </c>
      <c r="B11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1" s="1" t="inlineStr">
        <is>
          <t>KK2a</t>
        </is>
      </c>
      <c r="D11" s="1" t="inlineStr">
        <is>
          <t>Tốc độ gió</t>
        </is>
      </c>
      <c r="E11" s="20" t="inlineStr">
        <is>
          <t>m/s</t>
        </is>
      </c>
      <c r="F11" s="20" t="n">
        <v>5</v>
      </c>
      <c r="G11" s="20" t="n">
        <v>2</v>
      </c>
      <c r="H11" s="20" t="n">
        <v>1</v>
      </c>
      <c r="I11" s="20" t="n">
        <v>1</v>
      </c>
      <c r="J11" s="1" t="inlineStr"/>
      <c r="K11" s="1" t="inlineStr">
        <is>
          <t>II.1</t>
        </is>
      </c>
      <c r="L11" s="9">
        <f>F11*G11</f>
        <v/>
      </c>
      <c r="M11" s="11" t="n">
        <v>185000</v>
      </c>
      <c r="N11" s="11" t="n">
        <v>320000</v>
      </c>
      <c r="O11" s="11" t="n">
        <v>35000</v>
      </c>
      <c r="P11" s="11" t="n">
        <v>120000</v>
      </c>
      <c r="Q11" s="11">
        <f>M11+N11+O11+P11</f>
        <v/>
      </c>
      <c r="R11" s="13">
        <f>ROUND(L11*Q11, 0)</f>
        <v/>
      </c>
    </row>
    <row r="12">
      <c r="A12" s="20" t="n">
        <v>5</v>
      </c>
      <c r="B12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2" s="1" t="inlineStr">
        <is>
          <t>TO1a</t>
        </is>
      </c>
      <c r="D12" s="1" t="inlineStr">
        <is>
          <t>Tiếng ồn</t>
        </is>
      </c>
      <c r="E12" s="20" t="inlineStr">
        <is>
          <t>dBA</t>
        </is>
      </c>
      <c r="F12" s="20" t="n">
        <v>5</v>
      </c>
      <c r="G12" s="20" t="n">
        <v>2</v>
      </c>
      <c r="H12" s="20" t="n">
        <v>1</v>
      </c>
      <c r="I12" s="20" t="n">
        <v>1</v>
      </c>
      <c r="J12" s="1" t="inlineStr"/>
      <c r="K12" s="1" t="inlineStr">
        <is>
          <t>II.1</t>
        </is>
      </c>
      <c r="L12" s="9">
        <f>F12*G12</f>
        <v/>
      </c>
      <c r="M12" s="11" t="n">
        <v>185000</v>
      </c>
      <c r="N12" s="11" t="n">
        <v>320000</v>
      </c>
      <c r="O12" s="11" t="n">
        <v>35000</v>
      </c>
      <c r="P12" s="11" t="n">
        <v>120000</v>
      </c>
      <c r="Q12" s="11">
        <f>M12+N12+O12+P12</f>
        <v/>
      </c>
      <c r="R12" s="13">
        <f>ROUND(L12*Q12, 0)</f>
        <v/>
      </c>
    </row>
    <row r="13">
      <c r="A13" s="20" t="n">
        <v>6</v>
      </c>
      <c r="B13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3" s="1" t="inlineStr">
        <is>
          <t>ĐR01</t>
        </is>
      </c>
      <c r="D13" s="1" t="inlineStr">
        <is>
          <t>Độ rung</t>
        </is>
      </c>
      <c r="E13" s="20" t="inlineStr">
        <is>
          <t>dB</t>
        </is>
      </c>
      <c r="F13" s="20" t="n">
        <v>5</v>
      </c>
      <c r="G13" s="20" t="n">
        <v>2</v>
      </c>
      <c r="H13" s="20" t="n">
        <v>1</v>
      </c>
      <c r="I13" s="20" t="n">
        <v>1</v>
      </c>
      <c r="J13" s="1" t="inlineStr"/>
      <c r="K13" s="1" t="inlineStr">
        <is>
          <t>II.1</t>
        </is>
      </c>
      <c r="L13" s="9">
        <f>F13*G13</f>
        <v/>
      </c>
      <c r="M13" s="11" t="n">
        <v>185000</v>
      </c>
      <c r="N13" s="11" t="n">
        <v>320000</v>
      </c>
      <c r="O13" s="11" t="n">
        <v>35000</v>
      </c>
      <c r="P13" s="11" t="n">
        <v>120000</v>
      </c>
      <c r="Q13" s="11">
        <f>M13+N13+O13+P13</f>
        <v/>
      </c>
      <c r="R13" s="13">
        <f>ROUND(L13*Q13, 0)</f>
        <v/>
      </c>
    </row>
    <row r="14">
      <c r="A14" s="20" t="n">
        <v>7</v>
      </c>
      <c r="B14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4" s="1" t="inlineStr">
        <is>
          <t>KK4a</t>
        </is>
      </c>
      <c r="D14" s="1" t="inlineStr">
        <is>
          <t>Tổng bụi lơ lửng</t>
        </is>
      </c>
      <c r="E14" s="20" t="inlineStr">
        <is>
          <t>µg/Nm3</t>
        </is>
      </c>
      <c r="F14" s="20" t="n">
        <v>5</v>
      </c>
      <c r="G14" s="20" t="n">
        <v>2</v>
      </c>
      <c r="H14" s="20" t="n">
        <v>1</v>
      </c>
      <c r="I14" s="20" t="n">
        <v>1</v>
      </c>
      <c r="J14" s="1" t="inlineStr"/>
      <c r="K14" s="1" t="inlineStr">
        <is>
          <t>II.1</t>
        </is>
      </c>
      <c r="L14" s="9">
        <f>F14*G14</f>
        <v/>
      </c>
      <c r="M14" s="11" t="n">
        <v>185000</v>
      </c>
      <c r="N14" s="11" t="n">
        <v>320000</v>
      </c>
      <c r="O14" s="11" t="n">
        <v>35000</v>
      </c>
      <c r="P14" s="11" t="n">
        <v>120000</v>
      </c>
      <c r="Q14" s="11">
        <f>M14+N14+O14+P14</f>
        <v/>
      </c>
      <c r="R14" s="13">
        <f>ROUND(L14*Q14, 0)</f>
        <v/>
      </c>
    </row>
    <row r="15">
      <c r="A15" s="20" t="n">
        <v>8</v>
      </c>
      <c r="B15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5" s="1" t="inlineStr">
        <is>
          <t>KK4c</t>
        </is>
      </c>
      <c r="D15" s="1" t="inlineStr">
        <is>
          <t>Bụi PM10</t>
        </is>
      </c>
      <c r="E15" s="20" t="inlineStr">
        <is>
          <t>µg/Nm3</t>
        </is>
      </c>
      <c r="F15" s="20" t="n">
        <v>5</v>
      </c>
      <c r="G15" s="20" t="n">
        <v>2</v>
      </c>
      <c r="H15" s="20" t="n">
        <v>1</v>
      </c>
      <c r="I15" s="20" t="n">
        <v>1</v>
      </c>
      <c r="J15" s="1" t="inlineStr"/>
      <c r="K15" s="1" t="inlineStr">
        <is>
          <t>II.1</t>
        </is>
      </c>
      <c r="L15" s="9">
        <f>F15*G15</f>
        <v/>
      </c>
      <c r="M15" s="11" t="n">
        <v>185000</v>
      </c>
      <c r="N15" s="11" t="n">
        <v>320000</v>
      </c>
      <c r="O15" s="11" t="n">
        <v>35000</v>
      </c>
      <c r="P15" s="11" t="n">
        <v>120000</v>
      </c>
      <c r="Q15" s="11">
        <f>M15+N15+O15+P15</f>
        <v/>
      </c>
      <c r="R15" s="13">
        <f>ROUND(L15*Q15, 0)</f>
        <v/>
      </c>
    </row>
    <row r="16">
      <c r="A16" s="20" t="n">
        <v>9</v>
      </c>
      <c r="B16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6" s="1" t="inlineStr">
        <is>
          <t>KK7</t>
        </is>
      </c>
      <c r="D16" s="1" t="inlineStr">
        <is>
          <t>SO 2</t>
        </is>
      </c>
      <c r="E16" s="20" t="inlineStr">
        <is>
          <t>µg/Nm3</t>
        </is>
      </c>
      <c r="F16" s="20" t="n">
        <v>5</v>
      </c>
      <c r="G16" s="20" t="n">
        <v>2</v>
      </c>
      <c r="H16" s="20" t="n">
        <v>1</v>
      </c>
      <c r="I16" s="20" t="n">
        <v>1</v>
      </c>
      <c r="J16" s="1" t="inlineStr"/>
      <c r="K16" s="1" t="inlineStr">
        <is>
          <t>II.1</t>
        </is>
      </c>
      <c r="L16" s="9">
        <f>F16*G16</f>
        <v/>
      </c>
      <c r="M16" s="11" t="n">
        <v>185000</v>
      </c>
      <c r="N16" s="11" t="n">
        <v>320000</v>
      </c>
      <c r="O16" s="11" t="n">
        <v>35000</v>
      </c>
      <c r="P16" s="11" t="n">
        <v>120000</v>
      </c>
      <c r="Q16" s="11">
        <f>M16+N16+O16+P16</f>
        <v/>
      </c>
      <c r="R16" s="13">
        <f>ROUND(L16*Q16, 0)</f>
        <v/>
      </c>
    </row>
    <row r="17">
      <c r="A17" s="20" t="n">
        <v>10</v>
      </c>
      <c r="B17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7" s="1" t="inlineStr">
        <is>
          <t>KK6</t>
        </is>
      </c>
      <c r="D17" s="1" t="inlineStr">
        <is>
          <t>NO 2</t>
        </is>
      </c>
      <c r="E17" s="20" t="inlineStr">
        <is>
          <t>µg/Nm3</t>
        </is>
      </c>
      <c r="F17" s="20" t="n">
        <v>5</v>
      </c>
      <c r="G17" s="20" t="n">
        <v>2</v>
      </c>
      <c r="H17" s="20" t="n">
        <v>1</v>
      </c>
      <c r="I17" s="20" t="n">
        <v>1</v>
      </c>
      <c r="J17" s="1" t="inlineStr"/>
      <c r="K17" s="1" t="inlineStr">
        <is>
          <t>II.1</t>
        </is>
      </c>
      <c r="L17" s="9">
        <f>F17*G17</f>
        <v/>
      </c>
      <c r="M17" s="11" t="n">
        <v>185000</v>
      </c>
      <c r="N17" s="11" t="n">
        <v>320000</v>
      </c>
      <c r="O17" s="11" t="n">
        <v>35000</v>
      </c>
      <c r="P17" s="11" t="n">
        <v>120000</v>
      </c>
      <c r="Q17" s="11">
        <f>M17+N17+O17+P17</f>
        <v/>
      </c>
      <c r="R17" s="13">
        <f>ROUND(L17*Q17, 0)</f>
        <v/>
      </c>
    </row>
    <row r="18">
      <c r="A18" s="20" t="n">
        <v>11</v>
      </c>
      <c r="B1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8" s="1" t="inlineStr">
        <is>
          <t>KK5a</t>
        </is>
      </c>
      <c r="D18" s="1" t="inlineStr">
        <is>
          <t>CO</t>
        </is>
      </c>
      <c r="E18" s="20" t="inlineStr">
        <is>
          <t>µg/Nm3</t>
        </is>
      </c>
      <c r="F18" s="20" t="n">
        <v>5</v>
      </c>
      <c r="G18" s="20" t="n">
        <v>2</v>
      </c>
      <c r="H18" s="20" t="n">
        <v>1</v>
      </c>
      <c r="I18" s="20" t="n">
        <v>1</v>
      </c>
      <c r="J18" s="1" t="inlineStr"/>
      <c r="K18" s="1" t="inlineStr">
        <is>
          <t>II.1</t>
        </is>
      </c>
      <c r="L18" s="9">
        <f>F18*G18</f>
        <v/>
      </c>
      <c r="M18" s="11" t="n">
        <v>185000</v>
      </c>
      <c r="N18" s="11" t="n">
        <v>320000</v>
      </c>
      <c r="O18" s="11" t="n">
        <v>35000</v>
      </c>
      <c r="P18" s="11" t="n">
        <v>120000</v>
      </c>
      <c r="Q18" s="11">
        <f>M18+N18+O18+P18</f>
        <v/>
      </c>
      <c r="R18" s="13">
        <f>ROUND(L18*Q18, 0)</f>
        <v/>
      </c>
    </row>
    <row r="19">
      <c r="A19" s="15" t="inlineStr"/>
      <c r="B19" s="16" t="inlineStr"/>
      <c r="C19" s="16" t="inlineStr"/>
      <c r="D19" s="17" t="inlineStr">
        <is>
          <t>PHẦN: GIÁM SÁT NƯỚC THẢI KÊNH THOÁT NƯỚC LÀM MÁT CHUNG</t>
        </is>
      </c>
      <c r="E19" s="15" t="inlineStr"/>
      <c r="F19" s="15" t="inlineStr"/>
      <c r="G19" s="15" t="inlineStr"/>
      <c r="H19" s="15" t="inlineStr"/>
      <c r="I19" s="15" t="inlineStr"/>
      <c r="J19" s="16" t="inlineStr"/>
      <c r="K19" s="16" t="inlineStr"/>
      <c r="L19" s="18" t="inlineStr"/>
      <c r="M19" s="19" t="inlineStr"/>
      <c r="N19" s="19" t="inlineStr"/>
      <c r="O19" s="19" t="inlineStr"/>
      <c r="P19" s="19" t="inlineStr"/>
      <c r="Q19" s="19" t="inlineStr"/>
      <c r="R19" s="13" t="inlineStr"/>
    </row>
    <row r="20">
      <c r="A20" s="20" t="n">
        <v>12</v>
      </c>
      <c r="B20" s="1" t="inlineStr">
        <is>
          <t>NT1: Tại cuối kênh hở thoát nước làm mát chung của NMNĐ Vĩnh Tân 4 và Vĩnh Tân 4 mở rộng trước khi xả ra biển Tần suất quan trắc: 03 tháng/lần</t>
        </is>
      </c>
      <c r="C20" s="1" t="inlineStr">
        <is>
          <t>NT5b</t>
        </is>
      </c>
      <c r="D20" s="1" t="inlineStr">
        <is>
          <t>COD</t>
        </is>
      </c>
      <c r="E20" s="20" t="inlineStr">
        <is>
          <t>mg/l</t>
        </is>
      </c>
      <c r="F20" s="20" t="n">
        <v>1</v>
      </c>
      <c r="G20" s="20" t="n">
        <v>4</v>
      </c>
      <c r="H20" s="20" t="n">
        <v>1</v>
      </c>
      <c r="I20" s="20" t="n">
        <v>1</v>
      </c>
      <c r="J20" s="1" t="inlineStr"/>
      <c r="K20" s="1" t="inlineStr">
        <is>
          <t>II.9</t>
        </is>
      </c>
      <c r="L20" s="9">
        <f>F20*G20</f>
        <v/>
      </c>
      <c r="M20" s="11" t="n">
        <v>185000</v>
      </c>
      <c r="N20" s="11" t="n">
        <v>320000</v>
      </c>
      <c r="O20" s="11" t="n">
        <v>35000</v>
      </c>
      <c r="P20" s="11" t="n">
        <v>120000</v>
      </c>
      <c r="Q20" s="11">
        <f>M20+N20+O20+P20</f>
        <v/>
      </c>
      <c r="R20" s="13">
        <f>ROUND(L20*Q20, 0)</f>
        <v/>
      </c>
    </row>
    <row r="21">
      <c r="A21" s="20" t="n">
        <v>13</v>
      </c>
      <c r="B21" s="1" t="inlineStr">
        <is>
          <t>NT1: Tại cuối kênh hở thoát nước làm mát chung của NMNĐ Vĩnh Tân 4 và Vĩnh Tân 4 mở rộng trước khi xả ra biển Tần suất quan trắc: 03 tháng/lần</t>
        </is>
      </c>
      <c r="C21" s="1" t="inlineStr">
        <is>
          <t>NT6</t>
        </is>
      </c>
      <c r="D21" s="1" t="inlineStr">
        <is>
          <t>TSS</t>
        </is>
      </c>
      <c r="E21" s="20" t="inlineStr">
        <is>
          <t>mg/l</t>
        </is>
      </c>
      <c r="F21" s="20" t="n">
        <v>1</v>
      </c>
      <c r="G21" s="20" t="n">
        <v>4</v>
      </c>
      <c r="H21" s="20" t="n">
        <v>1</v>
      </c>
      <c r="I21" s="20" t="n">
        <v>1</v>
      </c>
      <c r="J21" s="1" t="inlineStr"/>
      <c r="K21" s="1" t="inlineStr">
        <is>
          <t>II.9</t>
        </is>
      </c>
      <c r="L21" s="9">
        <f>F21*G21</f>
        <v/>
      </c>
      <c r="M21" s="11" t="n">
        <v>185000</v>
      </c>
      <c r="N21" s="11" t="n">
        <v>320000</v>
      </c>
      <c r="O21" s="11" t="n">
        <v>35000</v>
      </c>
      <c r="P21" s="11" t="n">
        <v>120000</v>
      </c>
      <c r="Q21" s="11">
        <f>M21+N21+O21+P21</f>
        <v/>
      </c>
      <c r="R21" s="13">
        <f>ROUND(L21*Q21, 0)</f>
        <v/>
      </c>
    </row>
    <row r="22">
      <c r="A22" s="20" t="n">
        <v>14</v>
      </c>
      <c r="B22" s="1" t="inlineStr">
        <is>
          <t>NT1: Tại cuối kênh hở thoát nước làm mát chung của NMNĐ Vĩnh Tân 4 và Vĩnh Tân 4 mở rộng trước khi xả ra biển Tần suất quan trắc: 03 tháng/lần</t>
        </is>
      </c>
      <c r="C22" s="1" t="inlineStr">
        <is>
          <t>NT2</t>
        </is>
      </c>
      <c r="D22" s="1" t="inlineStr">
        <is>
          <t>Photphat (PO 3- 4 tính theo Nitơ)</t>
        </is>
      </c>
      <c r="E22" s="20" t="inlineStr">
        <is>
          <t>mg/l</t>
        </is>
      </c>
      <c r="F22" s="20" t="n">
        <v>1</v>
      </c>
      <c r="G22" s="20" t="n">
        <v>4</v>
      </c>
      <c r="H22" s="20" t="n">
        <v>1</v>
      </c>
      <c r="I22" s="20" t="n">
        <v>1</v>
      </c>
      <c r="J22" s="1" t="inlineStr"/>
      <c r="K22" s="1" t="inlineStr">
        <is>
          <t>II.9</t>
        </is>
      </c>
      <c r="L22" s="9">
        <f>F22*G22</f>
        <v/>
      </c>
      <c r="M22" s="11" t="n">
        <v>185000</v>
      </c>
      <c r="N22" s="11" t="n">
        <v>320000</v>
      </c>
      <c r="O22" s="11" t="n">
        <v>35000</v>
      </c>
      <c r="P22" s="11" t="n">
        <v>120000</v>
      </c>
      <c r="Q22" s="11">
        <f>M22+N22+O22+P22</f>
        <v/>
      </c>
      <c r="R22" s="13">
        <f>ROUND(L22*Q22, 0)</f>
        <v/>
      </c>
    </row>
    <row r="23">
      <c r="A23" s="20" t="n">
        <v>15</v>
      </c>
      <c r="B23" s="1" t="inlineStr">
        <is>
          <t>NT1: Tại cuối kênh hở thoát nước làm mát chung của NMNĐ Vĩnh Tân 4 và Vĩnh Tân 4 mở rộng trước khi xả ra biển Tần suất quan trắc: 03 tháng/lần</t>
        </is>
      </c>
      <c r="C23" s="1" t="inlineStr">
        <is>
          <t>NT10h</t>
        </is>
      </c>
      <c r="D23" s="1" t="inlineStr">
        <is>
          <t>Fluoride</t>
        </is>
      </c>
      <c r="E23" s="20" t="inlineStr">
        <is>
          <t>mg/l</t>
        </is>
      </c>
      <c r="F23" s="20" t="n">
        <v>1</v>
      </c>
      <c r="G23" s="20" t="n">
        <v>4</v>
      </c>
      <c r="H23" s="20" t="n">
        <v>1</v>
      </c>
      <c r="I23" s="20" t="n">
        <v>1</v>
      </c>
      <c r="J23" s="1" t="inlineStr"/>
      <c r="K23" s="1" t="inlineStr">
        <is>
          <t>II.9</t>
        </is>
      </c>
      <c r="L23" s="9">
        <f>F23*G23</f>
        <v/>
      </c>
      <c r="M23" s="11" t="n">
        <v>185000</v>
      </c>
      <c r="N23" s="11" t="n">
        <v>320000</v>
      </c>
      <c r="O23" s="11" t="n">
        <v>35000</v>
      </c>
      <c r="P23" s="11" t="n">
        <v>120000</v>
      </c>
      <c r="Q23" s="11">
        <f>M23+N23+O23+P23</f>
        <v/>
      </c>
      <c r="R23" s="13">
        <f>ROUND(L23*Q23, 0)</f>
        <v/>
      </c>
    </row>
    <row r="24">
      <c r="A24" s="20" t="n">
        <v>16</v>
      </c>
      <c r="B24" s="1" t="inlineStr">
        <is>
          <t>NT1: Tại cuối kênh hở thoát nước làm mát chung của NMNĐ Vĩnh Tân 4 và Vĩnh Tân 4 mở rộng trước khi xả ra biển Tần suất quan trắc: 03 tháng/lần</t>
        </is>
      </c>
      <c r="C24" s="1" t="inlineStr">
        <is>
          <t>NT10l1</t>
        </is>
      </c>
      <c r="D24" s="1" t="inlineStr">
        <is>
          <t>Asen</t>
        </is>
      </c>
      <c r="E24" s="20" t="inlineStr">
        <is>
          <t>mg/l</t>
        </is>
      </c>
      <c r="F24" s="20" t="n">
        <v>1</v>
      </c>
      <c r="G24" s="20" t="n">
        <v>4</v>
      </c>
      <c r="H24" s="20" t="n">
        <v>1</v>
      </c>
      <c r="I24" s="20" t="n">
        <v>1</v>
      </c>
      <c r="J24" s="1" t="inlineStr"/>
      <c r="K24" s="1" t="inlineStr">
        <is>
          <t>II.9</t>
        </is>
      </c>
      <c r="L24" s="9">
        <f>F24*G24</f>
        <v/>
      </c>
      <c r="M24" s="11" t="n">
        <v>185000</v>
      </c>
      <c r="N24" s="11" t="n">
        <v>320000</v>
      </c>
      <c r="O24" s="11" t="n">
        <v>35000</v>
      </c>
      <c r="P24" s="11" t="n">
        <v>120000</v>
      </c>
      <c r="Q24" s="11">
        <f>M24+N24+O24+P24</f>
        <v/>
      </c>
      <c r="R24" s="13">
        <f>ROUND(L24*Q24, 0)</f>
        <v/>
      </c>
    </row>
    <row r="25">
      <c r="A25" s="20" t="n">
        <v>17</v>
      </c>
      <c r="B25" s="1" t="inlineStr">
        <is>
          <t>NT1: Tại cuối kênh hở thoát nước làm mát chung của NMNĐ Vĩnh Tân 4 và Vĩnh Tân 4 mở rộng trước khi xả ra biển Tần suất quan trắc: 03 tháng/lần</t>
        </is>
      </c>
      <c r="C25" s="1" t="inlineStr">
        <is>
          <t>NT10l2</t>
        </is>
      </c>
      <c r="D25" s="1" t="inlineStr">
        <is>
          <t>Thủy ngân (Hg)</t>
        </is>
      </c>
      <c r="E25" s="20" t="inlineStr">
        <is>
          <t>mg/l</t>
        </is>
      </c>
      <c r="F25" s="20" t="n">
        <v>1</v>
      </c>
      <c r="G25" s="20" t="n">
        <v>4</v>
      </c>
      <c r="H25" s="20" t="n">
        <v>1</v>
      </c>
      <c r="I25" s="20" t="n">
        <v>1</v>
      </c>
      <c r="J25" s="1" t="inlineStr"/>
      <c r="K25" s="1" t="inlineStr">
        <is>
          <t>II.9</t>
        </is>
      </c>
      <c r="L25" s="9">
        <f>F25*G25</f>
        <v/>
      </c>
      <c r="M25" s="11" t="n">
        <v>185000</v>
      </c>
      <c r="N25" s="11" t="n">
        <v>320000</v>
      </c>
      <c r="O25" s="11" t="n">
        <v>35000</v>
      </c>
      <c r="P25" s="11" t="n">
        <v>120000</v>
      </c>
      <c r="Q25" s="11">
        <f>M25+N25+O25+P25</f>
        <v/>
      </c>
      <c r="R25" s="13">
        <f>ROUND(L25*Q25, 0)</f>
        <v/>
      </c>
    </row>
    <row r="26">
      <c r="A26" s="20" t="n">
        <v>18</v>
      </c>
      <c r="B26" s="1" t="inlineStr">
        <is>
          <t>NT1: Tại cuối kênh hở thoát nước làm mát chung của NMNĐ Vĩnh Tân 4 và Vĩnh Tân 4 mở rộng trước khi xả ra biển Tần suất quan trắc: 03 tháng/lần</t>
        </is>
      </c>
      <c r="C26" s="1" t="inlineStr">
        <is>
          <t>NT10k1</t>
        </is>
      </c>
      <c r="D26" s="1" t="inlineStr">
        <is>
          <t>Chì</t>
        </is>
      </c>
      <c r="E26" s="20" t="inlineStr">
        <is>
          <t>mg/l</t>
        </is>
      </c>
      <c r="F26" s="20" t="n">
        <v>1</v>
      </c>
      <c r="G26" s="20" t="n">
        <v>4</v>
      </c>
      <c r="H26" s="20" t="n">
        <v>1</v>
      </c>
      <c r="I26" s="20" t="n">
        <v>1</v>
      </c>
      <c r="J26" s="1" t="inlineStr"/>
      <c r="K26" s="1" t="inlineStr">
        <is>
          <t>II.9</t>
        </is>
      </c>
      <c r="L26" s="9">
        <f>F26*G26</f>
        <v/>
      </c>
      <c r="M26" s="11" t="n">
        <v>185000</v>
      </c>
      <c r="N26" s="11" t="n">
        <v>320000</v>
      </c>
      <c r="O26" s="11" t="n">
        <v>35000</v>
      </c>
      <c r="P26" s="11" t="n">
        <v>120000</v>
      </c>
      <c r="Q26" s="11">
        <f>M26+N26+O26+P26</f>
        <v/>
      </c>
      <c r="R26" s="13">
        <f>ROUND(L26*Q26, 0)</f>
        <v/>
      </c>
    </row>
    <row r="27">
      <c r="A27" s="20" t="n">
        <v>19</v>
      </c>
      <c r="B27" s="1" t="inlineStr">
        <is>
          <t>NT1: Tại cuối kênh hở thoát nước làm mát chung của NMNĐ Vĩnh Tân 4 và Vĩnh Tân 4 mở rộng trước khi xả ra biển Tần suất quan trắc: 03 tháng/lần</t>
        </is>
      </c>
      <c r="C27" s="1" t="inlineStr">
        <is>
          <t>NT10k2</t>
        </is>
      </c>
      <c r="D27" s="1" t="inlineStr">
        <is>
          <t>Cadimi</t>
        </is>
      </c>
      <c r="E27" s="20" t="inlineStr">
        <is>
          <t>mg/l</t>
        </is>
      </c>
      <c r="F27" s="20" t="n">
        <v>1</v>
      </c>
      <c r="G27" s="20" t="n">
        <v>4</v>
      </c>
      <c r="H27" s="20" t="n">
        <v>1</v>
      </c>
      <c r="I27" s="20" t="n">
        <v>1</v>
      </c>
      <c r="J27" s="1" t="inlineStr"/>
      <c r="K27" s="1" t="inlineStr">
        <is>
          <t>II.9</t>
        </is>
      </c>
      <c r="L27" s="9">
        <f>F27*G27</f>
        <v/>
      </c>
      <c r="M27" s="11" t="n">
        <v>185000</v>
      </c>
      <c r="N27" s="11" t="n">
        <v>320000</v>
      </c>
      <c r="O27" s="11" t="n">
        <v>35000</v>
      </c>
      <c r="P27" s="11" t="n">
        <v>120000</v>
      </c>
      <c r="Q27" s="11">
        <f>M27+N27+O27+P27</f>
        <v/>
      </c>
      <c r="R27" s="13">
        <f>ROUND(L27*Q27, 0)</f>
        <v/>
      </c>
    </row>
    <row r="28">
      <c r="A28" s="20" t="n">
        <v>20</v>
      </c>
      <c r="B28" s="1" t="inlineStr">
        <is>
          <t>NT1: Tại cuối kênh hở thoát nước làm mát chung của NMNĐ Vĩnh Tân 4 và Vĩnh Tân 4 mở rộng trước khi xả ra biển Tần suất quan trắc: 03 tháng/lần</t>
        </is>
      </c>
      <c r="C28" s="1" t="inlineStr">
        <is>
          <t>NT10đ</t>
        </is>
      </c>
      <c r="D28" s="1" t="inlineStr">
        <is>
          <t>Crom (VI)</t>
        </is>
      </c>
      <c r="E28" s="20" t="inlineStr">
        <is>
          <t>mg/l</t>
        </is>
      </c>
      <c r="F28" s="20" t="n">
        <v>1</v>
      </c>
      <c r="G28" s="20" t="n">
        <v>4</v>
      </c>
      <c r="H28" s="20" t="n">
        <v>1</v>
      </c>
      <c r="I28" s="20" t="n">
        <v>1</v>
      </c>
      <c r="J28" s="1" t="inlineStr"/>
      <c r="K28" s="1" t="inlineStr">
        <is>
          <t>II.9</t>
        </is>
      </c>
      <c r="L28" s="9">
        <f>F28*G28</f>
        <v/>
      </c>
      <c r="M28" s="11" t="n">
        <v>185000</v>
      </c>
      <c r="N28" s="11" t="n">
        <v>320000</v>
      </c>
      <c r="O28" s="11" t="n">
        <v>35000</v>
      </c>
      <c r="P28" s="11" t="n">
        <v>120000</v>
      </c>
      <c r="Q28" s="11">
        <f>M28+N28+O28+P28</f>
        <v/>
      </c>
      <c r="R28" s="13">
        <f>ROUND(L28*Q28, 0)</f>
        <v/>
      </c>
    </row>
    <row r="29">
      <c r="A29" s="20" t="n">
        <v>21</v>
      </c>
      <c r="B29" s="1" t="inlineStr">
        <is>
          <t>NT1: Tại cuối kênh hở thoát nước làm mát chung của NMNĐ Vĩnh Tân 4 và Vĩnh Tân 4 mở rộng trước khi xả ra biển Tần suất quan trắc: 03 tháng/lần</t>
        </is>
      </c>
      <c r="C29" s="1" t="inlineStr">
        <is>
          <t>NT10m5</t>
        </is>
      </c>
      <c r="D29" s="1" t="inlineStr">
        <is>
          <t>Tổng Crom</t>
        </is>
      </c>
      <c r="E29" s="20" t="inlineStr">
        <is>
          <t>mg/l</t>
        </is>
      </c>
      <c r="F29" s="20" t="n">
        <v>1</v>
      </c>
      <c r="G29" s="20" t="n">
        <v>4</v>
      </c>
      <c r="H29" s="20" t="n">
        <v>1</v>
      </c>
      <c r="I29" s="20" t="n">
        <v>1</v>
      </c>
      <c r="J29" s="1" t="inlineStr"/>
      <c r="K29" s="1" t="inlineStr">
        <is>
          <t>II.9</t>
        </is>
      </c>
      <c r="L29" s="9">
        <f>F29*G29</f>
        <v/>
      </c>
      <c r="M29" s="11" t="n">
        <v>185000</v>
      </c>
      <c r="N29" s="11" t="n">
        <v>320000</v>
      </c>
      <c r="O29" s="11" t="n">
        <v>35000</v>
      </c>
      <c r="P29" s="11" t="n">
        <v>120000</v>
      </c>
      <c r="Q29" s="11">
        <f>M29+N29+O29+P29</f>
        <v/>
      </c>
      <c r="R29" s="13">
        <f>ROUND(L29*Q29, 0)</f>
        <v/>
      </c>
    </row>
    <row r="30">
      <c r="A30" s="20" t="n">
        <v>22</v>
      </c>
      <c r="B30" s="1" t="inlineStr">
        <is>
          <t>NT1: Tại cuối kênh hở thoát nước làm mát chung của NMNĐ Vĩnh Tân 4 và Vĩnh Tân 4 mở rộng trước khi xả ra biển Tần suất quan trắc: 03 tháng/lần</t>
        </is>
      </c>
      <c r="C30" s="1" t="inlineStr">
        <is>
          <t>NT10m1</t>
        </is>
      </c>
      <c r="D30" s="1" t="inlineStr">
        <is>
          <t>Đồng</t>
        </is>
      </c>
      <c r="E30" s="20" t="inlineStr">
        <is>
          <t>mg/l</t>
        </is>
      </c>
      <c r="F30" s="20" t="n">
        <v>1</v>
      </c>
      <c r="G30" s="20" t="n">
        <v>4</v>
      </c>
      <c r="H30" s="20" t="n">
        <v>1</v>
      </c>
      <c r="I30" s="20" t="n">
        <v>1</v>
      </c>
      <c r="J30" s="1" t="inlineStr"/>
      <c r="K30" s="1" t="inlineStr">
        <is>
          <t>II.9</t>
        </is>
      </c>
      <c r="L30" s="9">
        <f>F30*G30</f>
        <v/>
      </c>
      <c r="M30" s="11" t="n">
        <v>185000</v>
      </c>
      <c r="N30" s="11" t="n">
        <v>320000</v>
      </c>
      <c r="O30" s="11" t="n">
        <v>35000</v>
      </c>
      <c r="P30" s="11" t="n">
        <v>120000</v>
      </c>
      <c r="Q30" s="11">
        <f>M30+N30+O30+P30</f>
        <v/>
      </c>
      <c r="R30" s="13">
        <f>ROUND(L30*Q30, 0)</f>
        <v/>
      </c>
    </row>
    <row r="31">
      <c r="A31" s="20" t="n">
        <v>23</v>
      </c>
      <c r="B31" s="1" t="inlineStr">
        <is>
          <t>NT1: Tại cuối kênh hở thoát nước làm mát chung của NMNĐ Vĩnh Tân 4 và Vĩnh Tân 4 mở rộng trước khi xả ra biển Tần suất quan trắc: 03 tháng/lần</t>
        </is>
      </c>
      <c r="C31" s="1" t="inlineStr">
        <is>
          <t>NT10m2</t>
        </is>
      </c>
      <c r="D31" s="1" t="inlineStr">
        <is>
          <t>Kẽm</t>
        </is>
      </c>
      <c r="E31" s="20" t="inlineStr">
        <is>
          <t>mg/l</t>
        </is>
      </c>
      <c r="F31" s="20" t="n">
        <v>1</v>
      </c>
      <c r="G31" s="20" t="n">
        <v>4</v>
      </c>
      <c r="H31" s="20" t="n">
        <v>1</v>
      </c>
      <c r="I31" s="20" t="n">
        <v>1</v>
      </c>
      <c r="J31" s="1" t="inlineStr"/>
      <c r="K31" s="1" t="inlineStr">
        <is>
          <t>II.9</t>
        </is>
      </c>
      <c r="L31" s="9">
        <f>F31*G31</f>
        <v/>
      </c>
      <c r="M31" s="11" t="n">
        <v>185000</v>
      </c>
      <c r="N31" s="11" t="n">
        <v>320000</v>
      </c>
      <c r="O31" s="11" t="n">
        <v>35000</v>
      </c>
      <c r="P31" s="11" t="n">
        <v>120000</v>
      </c>
      <c r="Q31" s="11">
        <f>M31+N31+O31+P31</f>
        <v/>
      </c>
      <c r="R31" s="13">
        <f>ROUND(L31*Q31, 0)</f>
        <v/>
      </c>
    </row>
    <row r="32">
      <c r="A32" s="20" t="n">
        <v>24</v>
      </c>
      <c r="B32" s="1" t="inlineStr">
        <is>
          <t>NT1: Tại cuối kênh hở thoát nước làm mát chung của NMNĐ Vĩnh Tân 4 và Vĩnh Tân 4 mở rộng trước khi xả ra biển Tần suất quan trắc: 03 tháng/lần</t>
        </is>
      </c>
      <c r="C32" s="1" t="inlineStr">
        <is>
          <t>NT10m3</t>
        </is>
      </c>
      <c r="D32" s="1" t="inlineStr">
        <is>
          <t>Mangan</t>
        </is>
      </c>
      <c r="E32" s="20" t="inlineStr">
        <is>
          <t>mg/l</t>
        </is>
      </c>
      <c r="F32" s="20" t="n">
        <v>1</v>
      </c>
      <c r="G32" s="20" t="n">
        <v>4</v>
      </c>
      <c r="H32" s="20" t="n">
        <v>1</v>
      </c>
      <c r="I32" s="20" t="n">
        <v>1</v>
      </c>
      <c r="J32" s="1" t="inlineStr"/>
      <c r="K32" s="1" t="inlineStr">
        <is>
          <t>II.9</t>
        </is>
      </c>
      <c r="L32" s="9">
        <f>F32*G32</f>
        <v/>
      </c>
      <c r="M32" s="11" t="n">
        <v>185000</v>
      </c>
      <c r="N32" s="11" t="n">
        <v>320000</v>
      </c>
      <c r="O32" s="11" t="n">
        <v>35000</v>
      </c>
      <c r="P32" s="11" t="n">
        <v>120000</v>
      </c>
      <c r="Q32" s="11">
        <f>M32+N32+O32+P32</f>
        <v/>
      </c>
      <c r="R32" s="13">
        <f>ROUND(L32*Q32, 0)</f>
        <v/>
      </c>
    </row>
    <row r="33">
      <c r="A33" s="20" t="n">
        <v>25</v>
      </c>
      <c r="B33" s="1" t="inlineStr">
        <is>
          <t>NT1: Tại cuối kênh hở thoát nước làm mát chung của NMNĐ Vĩnh Tân 4 và Vĩnh Tân 4 mở rộng trước khi xả ra biển Tần suất quan trắc: 03 tháng/lần</t>
        </is>
      </c>
      <c r="C33" s="1" t="inlineStr">
        <is>
          <t>NT10m4</t>
        </is>
      </c>
      <c r="D33" s="1" t="inlineStr">
        <is>
          <t>Sắt</t>
        </is>
      </c>
      <c r="E33" s="20" t="inlineStr">
        <is>
          <t>mg/l</t>
        </is>
      </c>
      <c r="F33" s="20" t="n">
        <v>1</v>
      </c>
      <c r="G33" s="20" t="n">
        <v>4</v>
      </c>
      <c r="H33" s="20" t="n">
        <v>1</v>
      </c>
      <c r="I33" s="20" t="n">
        <v>1</v>
      </c>
      <c r="J33" s="1" t="inlineStr"/>
      <c r="K33" s="1" t="inlineStr">
        <is>
          <t>II.9</t>
        </is>
      </c>
      <c r="L33" s="9">
        <f>F33*G33</f>
        <v/>
      </c>
      <c r="M33" s="11" t="n">
        <v>185000</v>
      </c>
      <c r="N33" s="11" t="n">
        <v>320000</v>
      </c>
      <c r="O33" s="11" t="n">
        <v>35000</v>
      </c>
      <c r="P33" s="11" t="n">
        <v>120000</v>
      </c>
      <c r="Q33" s="11">
        <f>M33+N33+O33+P33</f>
        <v/>
      </c>
      <c r="R33" s="13">
        <f>ROUND(L33*Q33, 0)</f>
        <v/>
      </c>
    </row>
    <row r="34">
      <c r="A34" s="20" t="n">
        <v>26</v>
      </c>
      <c r="B34" s="1" t="inlineStr">
        <is>
          <t>NT1: Tại cuối kênh hở thoát nước làm mát chung của NMNĐ Vĩnh Tân 4 và Vĩnh Tân 4 mở rộng trước khi xả ra biển Tần suất quan trắc: 03 tháng/lần</t>
        </is>
      </c>
      <c r="C34" s="1" t="inlineStr">
        <is>
          <t>NT9</t>
        </is>
      </c>
      <c r="D34" s="1" t="inlineStr">
        <is>
          <t>Xyanua</t>
        </is>
      </c>
      <c r="E34" s="20" t="inlineStr">
        <is>
          <t>mg/l</t>
        </is>
      </c>
      <c r="F34" s="20" t="n">
        <v>1</v>
      </c>
      <c r="G34" s="20" t="n">
        <v>4</v>
      </c>
      <c r="H34" s="20" t="n">
        <v>1</v>
      </c>
      <c r="I34" s="20" t="n">
        <v>1</v>
      </c>
      <c r="J34" s="1" t="inlineStr"/>
      <c r="K34" s="1" t="inlineStr">
        <is>
          <t>II.9</t>
        </is>
      </c>
      <c r="L34" s="9">
        <f>F34*G34</f>
        <v/>
      </c>
      <c r="M34" s="11" t="n">
        <v>185000</v>
      </c>
      <c r="N34" s="11" t="n">
        <v>320000</v>
      </c>
      <c r="O34" s="11" t="n">
        <v>35000</v>
      </c>
      <c r="P34" s="11" t="n">
        <v>120000</v>
      </c>
      <c r="Q34" s="11">
        <f>M34+N34+O34+P34</f>
        <v/>
      </c>
      <c r="R34" s="13">
        <f>ROUND(L34*Q34, 0)</f>
        <v/>
      </c>
    </row>
    <row r="35">
      <c r="A35" s="20" t="n">
        <v>27</v>
      </c>
      <c r="B35" s="1" t="inlineStr">
        <is>
          <t>NT1: Tại cuối kênh hở thoát nước làm mát chung của NMNĐ Vĩnh Tân 4 và Vĩnh Tân 4 mở rộng trước khi xả ra biển Tần suất quan trắc: 03 tháng/lần</t>
        </is>
      </c>
      <c r="C35" s="1" t="inlineStr">
        <is>
          <t>NT8</t>
        </is>
      </c>
      <c r="D35" s="1" t="inlineStr">
        <is>
          <t>Dầu mỡ khoáng</t>
        </is>
      </c>
      <c r="E35" s="20" t="inlineStr">
        <is>
          <t>mg/l</t>
        </is>
      </c>
      <c r="F35" s="20" t="n">
        <v>1</v>
      </c>
      <c r="G35" s="20" t="n">
        <v>4</v>
      </c>
      <c r="H35" s="20" t="n">
        <v>1</v>
      </c>
      <c r="I35" s="20" t="n">
        <v>1</v>
      </c>
      <c r="J35" s="1" t="inlineStr"/>
      <c r="K35" s="1" t="inlineStr">
        <is>
          <t>II.9</t>
        </is>
      </c>
      <c r="L35" s="9">
        <f>F35*G35</f>
        <v/>
      </c>
      <c r="M35" s="11" t="n">
        <v>185000</v>
      </c>
      <c r="N35" s="11" t="n">
        <v>320000</v>
      </c>
      <c r="O35" s="11" t="n">
        <v>35000</v>
      </c>
      <c r="P35" s="11" t="n">
        <v>120000</v>
      </c>
      <c r="Q35" s="11">
        <f>M35+N35+O35+P35</f>
        <v/>
      </c>
      <c r="R35" s="13">
        <f>ROUND(L35*Q35, 0)</f>
        <v/>
      </c>
    </row>
    <row r="36">
      <c r="A36" s="20" t="n">
        <v>28</v>
      </c>
      <c r="B36" s="1" t="inlineStr">
        <is>
          <t>NT1: Tại cuối kênh hở thoát nước làm mát chung của NMNĐ Vĩnh Tân 4 và Vĩnh Tân 4 mở rộng trước khi xả ra biển Tần suất quan trắc: 03 tháng/lần</t>
        </is>
      </c>
      <c r="C36" s="1" t="inlineStr">
        <is>
          <t>NT2</t>
        </is>
      </c>
      <c r="D36" s="1" t="inlineStr">
        <is>
          <t>Tổng phenol</t>
        </is>
      </c>
      <c r="E36" s="20" t="inlineStr">
        <is>
          <t>mg/l</t>
        </is>
      </c>
      <c r="F36" s="20" t="n">
        <v>1</v>
      </c>
      <c r="G36" s="20" t="n">
        <v>4</v>
      </c>
      <c r="H36" s="20" t="n">
        <v>1</v>
      </c>
      <c r="I36" s="20" t="n">
        <v>1</v>
      </c>
      <c r="J36" s="1" t="inlineStr"/>
      <c r="K36" s="1" t="inlineStr">
        <is>
          <t>II.9</t>
        </is>
      </c>
      <c r="L36" s="9">
        <f>F36*G36</f>
        <v/>
      </c>
      <c r="M36" s="11" t="n">
        <v>185000</v>
      </c>
      <c r="N36" s="11" t="n">
        <v>320000</v>
      </c>
      <c r="O36" s="11" t="n">
        <v>35000</v>
      </c>
      <c r="P36" s="11" t="n">
        <v>120000</v>
      </c>
      <c r="Q36" s="11">
        <f>M36+N36+O36+P36</f>
        <v/>
      </c>
      <c r="R36" s="13">
        <f>ROUND(L36*Q36, 0)</f>
        <v/>
      </c>
    </row>
    <row r="37">
      <c r="A37" s="20" t="n">
        <v>29</v>
      </c>
      <c r="B37" s="1" t="inlineStr">
        <is>
          <t>NT1: Tại cuối kênh hở thoát nước làm mát chung của NMNĐ Vĩnh Tân 4 và Vĩnh Tân 4 mở rộng trước khi xả ra biển Tần suất quan trắc: 03 tháng/lần</t>
        </is>
      </c>
      <c r="C37" s="1" t="inlineStr">
        <is>
          <t>NT7a</t>
        </is>
      </c>
      <c r="D37" s="1" t="inlineStr">
        <is>
          <t>Coliform</t>
        </is>
      </c>
      <c r="E37" s="20" t="inlineStr">
        <is>
          <t>Vi khuẩn/ 100ml</t>
        </is>
      </c>
      <c r="F37" s="20" t="n">
        <v>1</v>
      </c>
      <c r="G37" s="20" t="n">
        <v>4</v>
      </c>
      <c r="H37" s="20" t="n">
        <v>1</v>
      </c>
      <c r="I37" s="20" t="n">
        <v>1</v>
      </c>
      <c r="J37" s="1" t="inlineStr"/>
      <c r="K37" s="1" t="inlineStr">
        <is>
          <t>II.9</t>
        </is>
      </c>
      <c r="L37" s="9">
        <f>F37*G37</f>
        <v/>
      </c>
      <c r="M37" s="11" t="n">
        <v>185000</v>
      </c>
      <c r="N37" s="11" t="n">
        <v>320000</v>
      </c>
      <c r="O37" s="11" t="n">
        <v>35000</v>
      </c>
      <c r="P37" s="11" t="n">
        <v>120000</v>
      </c>
      <c r="Q37" s="11">
        <f>M37+N37+O37+P37</f>
        <v/>
      </c>
      <c r="R37" s="13">
        <f>ROUND(L37*Q37, 0)</f>
        <v/>
      </c>
    </row>
    <row r="38">
      <c r="A38" s="15" t="inlineStr"/>
      <c r="B38" s="16" t="inlineStr"/>
      <c r="C38" s="16" t="inlineStr"/>
      <c r="D38" s="17" t="inlineStr">
        <is>
          <t>PHẦN: GIÁM SÁT GIÁM SÁT NƯỚC THẢI HTXLNT TẬP TRUNG</t>
        </is>
      </c>
      <c r="E38" s="15" t="inlineStr"/>
      <c r="F38" s="15" t="inlineStr"/>
      <c r="G38" s="15" t="inlineStr"/>
      <c r="H38" s="15" t="inlineStr"/>
      <c r="I38" s="15" t="inlineStr"/>
      <c r="J38" s="16" t="inlineStr"/>
      <c r="K38" s="16" t="inlineStr"/>
      <c r="L38" s="18" t="inlineStr"/>
      <c r="M38" s="19" t="inlineStr"/>
      <c r="N38" s="19" t="inlineStr"/>
      <c r="O38" s="19" t="inlineStr"/>
      <c r="P38" s="19" t="inlineStr"/>
      <c r="Q38" s="19" t="inlineStr"/>
      <c r="R38" s="13" t="inlineStr"/>
    </row>
    <row r="39">
      <c r="A39" s="20" t="n">
        <v>30</v>
      </c>
      <c r="B39" s="1" t="inlineStr">
        <is>
          <t>NT2: Tại bể chứa nước thải sau xử lý từ hệ thống xử lý nước thải tập trung</t>
        </is>
      </c>
      <c r="C39" s="1" t="inlineStr">
        <is>
          <t>NT4b</t>
        </is>
      </c>
      <c r="D39" s="1" t="inlineStr">
        <is>
          <t>Màu</t>
        </is>
      </c>
      <c r="E39" s="20" t="inlineStr">
        <is>
          <t>mg/l</t>
        </is>
      </c>
      <c r="F39" s="20" t="n">
        <v>1</v>
      </c>
      <c r="G39" s="20" t="n">
        <v>4</v>
      </c>
      <c r="H39" s="20" t="n">
        <v>1</v>
      </c>
      <c r="I39" s="20" t="n">
        <v>1</v>
      </c>
      <c r="J39" s="1" t="inlineStr"/>
      <c r="K39" s="1" t="inlineStr">
        <is>
          <t>II.9</t>
        </is>
      </c>
      <c r="L39" s="9">
        <f>F39*G39</f>
        <v/>
      </c>
      <c r="M39" s="11" t="n">
        <v>185000</v>
      </c>
      <c r="N39" s="11" t="n">
        <v>320000</v>
      </c>
      <c r="O39" s="11" t="n">
        <v>35000</v>
      </c>
      <c r="P39" s="11" t="n">
        <v>120000</v>
      </c>
      <c r="Q39" s="11">
        <f>M39+N39+O39+P39</f>
        <v/>
      </c>
      <c r="R39" s="13">
        <f>ROUND(L39*Q39, 0)</f>
        <v/>
      </c>
    </row>
    <row r="40">
      <c r="A40" s="20" t="n">
        <v>31</v>
      </c>
      <c r="B40" s="1" t="inlineStr">
        <is>
          <t>NT2: Tại bể chứa nước thải sau xử lý từ hệ thống xử lý nước thải tập trung</t>
        </is>
      </c>
      <c r="C40" s="1" t="inlineStr">
        <is>
          <t>NT5a</t>
        </is>
      </c>
      <c r="D40" s="1" t="inlineStr">
        <is>
          <t>BOD5 (20°C)</t>
        </is>
      </c>
      <c r="E40" s="20" t="inlineStr">
        <is>
          <t>mg/l</t>
        </is>
      </c>
      <c r="F40" s="20" t="n">
        <v>1</v>
      </c>
      <c r="G40" s="20" t="n">
        <v>4</v>
      </c>
      <c r="H40" s="20" t="n">
        <v>1</v>
      </c>
      <c r="I40" s="20" t="n">
        <v>1</v>
      </c>
      <c r="J40" s="1" t="inlineStr"/>
      <c r="K40" s="1" t="inlineStr">
        <is>
          <t>II.9</t>
        </is>
      </c>
      <c r="L40" s="9">
        <f>F40*G40</f>
        <v/>
      </c>
      <c r="M40" s="11" t="n">
        <v>185000</v>
      </c>
      <c r="N40" s="11" t="n">
        <v>320000</v>
      </c>
      <c r="O40" s="11" t="n">
        <v>35000</v>
      </c>
      <c r="P40" s="11" t="n">
        <v>120000</v>
      </c>
      <c r="Q40" s="11">
        <f>M40+N40+O40+P40</f>
        <v/>
      </c>
      <c r="R40" s="13">
        <f>ROUND(L40*Q40, 0)</f>
        <v/>
      </c>
    </row>
    <row r="41">
      <c r="A41" s="20" t="n">
        <v>32</v>
      </c>
      <c r="B41" s="1" t="inlineStr">
        <is>
          <t>NT2: Tại bể chứa nước thải sau xử lý từ hệ thống xử lý nước thải tập trung</t>
        </is>
      </c>
      <c r="C41" s="1" t="inlineStr">
        <is>
          <t>NT10l1</t>
        </is>
      </c>
      <c r="D41" s="1" t="inlineStr">
        <is>
          <t>Asen</t>
        </is>
      </c>
      <c r="E41" s="20" t="inlineStr">
        <is>
          <t>mg/l</t>
        </is>
      </c>
      <c r="F41" s="20" t="n">
        <v>1</v>
      </c>
      <c r="G41" s="20" t="n">
        <v>4</v>
      </c>
      <c r="H41" s="20" t="n">
        <v>1</v>
      </c>
      <c r="I41" s="20" t="n">
        <v>1</v>
      </c>
      <c r="J41" s="1" t="inlineStr"/>
      <c r="K41" s="1" t="inlineStr">
        <is>
          <t>II.9</t>
        </is>
      </c>
      <c r="L41" s="9">
        <f>F41*G41</f>
        <v/>
      </c>
      <c r="M41" s="11" t="n">
        <v>185000</v>
      </c>
      <c r="N41" s="11" t="n">
        <v>320000</v>
      </c>
      <c r="O41" s="11" t="n">
        <v>35000</v>
      </c>
      <c r="P41" s="11" t="n">
        <v>120000</v>
      </c>
      <c r="Q41" s="11">
        <f>M41+N41+O41+P41</f>
        <v/>
      </c>
      <c r="R41" s="13">
        <f>ROUND(L41*Q41, 0)</f>
        <v/>
      </c>
    </row>
    <row r="42">
      <c r="A42" s="20" t="n">
        <v>33</v>
      </c>
      <c r="B42" s="1" t="inlineStr">
        <is>
          <t>Tần suất quan trắc: 03 tháng/lần</t>
        </is>
      </c>
      <c r="C42" s="1" t="inlineStr">
        <is>
          <t>NT10l2</t>
        </is>
      </c>
      <c r="D42" s="1" t="inlineStr">
        <is>
          <t>Thủy ngân</t>
        </is>
      </c>
      <c r="E42" s="20" t="inlineStr">
        <is>
          <t>mg/l</t>
        </is>
      </c>
      <c r="F42" s="20" t="n">
        <v>1</v>
      </c>
      <c r="G42" s="20" t="n">
        <v>4</v>
      </c>
      <c r="H42" s="20" t="n">
        <v>1</v>
      </c>
      <c r="I42" s="20" t="n">
        <v>1</v>
      </c>
      <c r="J42" s="1" t="inlineStr"/>
      <c r="K42" s="1" t="inlineStr">
        <is>
          <t>II.9</t>
        </is>
      </c>
      <c r="L42" s="9">
        <f>F42*G42</f>
        <v/>
      </c>
      <c r="M42" s="11" t="n">
        <v>185000</v>
      </c>
      <c r="N42" s="11" t="n">
        <v>320000</v>
      </c>
      <c r="O42" s="11" t="n">
        <v>35000</v>
      </c>
      <c r="P42" s="11" t="n">
        <v>120000</v>
      </c>
      <c r="Q42" s="11">
        <f>M42+N42+O42+P42</f>
        <v/>
      </c>
      <c r="R42" s="13">
        <f>ROUND(L42*Q42, 0)</f>
        <v/>
      </c>
    </row>
    <row r="43">
      <c r="A43" s="20" t="n">
        <v>34</v>
      </c>
      <c r="B43" s="1" t="inlineStr">
        <is>
          <t>Tần suất quan trắc: 03 tháng/lần</t>
        </is>
      </c>
      <c r="C43" s="1" t="inlineStr">
        <is>
          <t>NT10k1</t>
        </is>
      </c>
      <c r="D43" s="1" t="inlineStr">
        <is>
          <t>Chì</t>
        </is>
      </c>
      <c r="E43" s="20" t="inlineStr">
        <is>
          <t>mg/l</t>
        </is>
      </c>
      <c r="F43" s="20" t="n">
        <v>1</v>
      </c>
      <c r="G43" s="20" t="n">
        <v>4</v>
      </c>
      <c r="H43" s="20" t="n">
        <v>1</v>
      </c>
      <c r="I43" s="20" t="n">
        <v>1</v>
      </c>
      <c r="J43" s="1" t="inlineStr"/>
      <c r="K43" s="1" t="inlineStr">
        <is>
          <t>II.9</t>
        </is>
      </c>
      <c r="L43" s="9">
        <f>F43*G43</f>
        <v/>
      </c>
      <c r="M43" s="11" t="n">
        <v>185000</v>
      </c>
      <c r="N43" s="11" t="n">
        <v>320000</v>
      </c>
      <c r="O43" s="11" t="n">
        <v>35000</v>
      </c>
      <c r="P43" s="11" t="n">
        <v>120000</v>
      </c>
      <c r="Q43" s="11">
        <f>M43+N43+O43+P43</f>
        <v/>
      </c>
      <c r="R43" s="13">
        <f>ROUND(L43*Q43, 0)</f>
        <v/>
      </c>
    </row>
    <row r="44">
      <c r="A44" s="20" t="n">
        <v>35</v>
      </c>
      <c r="B44" s="1" t="inlineStr">
        <is>
          <t>Tần suất quan trắc: 03 tháng/lần</t>
        </is>
      </c>
      <c r="C44" s="1" t="inlineStr">
        <is>
          <t>NT10k2</t>
        </is>
      </c>
      <c r="D44" s="1" t="inlineStr">
        <is>
          <t>Cadimi</t>
        </is>
      </c>
      <c r="E44" s="20" t="inlineStr">
        <is>
          <t>mg/l</t>
        </is>
      </c>
      <c r="F44" s="20" t="n">
        <v>1</v>
      </c>
      <c r="G44" s="20" t="n">
        <v>4</v>
      </c>
      <c r="H44" s="20" t="n">
        <v>1</v>
      </c>
      <c r="I44" s="20" t="n">
        <v>1</v>
      </c>
      <c r="J44" s="1" t="inlineStr"/>
      <c r="K44" s="1" t="inlineStr">
        <is>
          <t>II.9</t>
        </is>
      </c>
      <c r="L44" s="9">
        <f>F44*G44</f>
        <v/>
      </c>
      <c r="M44" s="11" t="n">
        <v>185000</v>
      </c>
      <c r="N44" s="11" t="n">
        <v>320000</v>
      </c>
      <c r="O44" s="11" t="n">
        <v>35000</v>
      </c>
      <c r="P44" s="11" t="n">
        <v>120000</v>
      </c>
      <c r="Q44" s="11">
        <f>M44+N44+O44+P44</f>
        <v/>
      </c>
      <c r="R44" s="13">
        <f>ROUND(L44*Q44, 0)</f>
        <v/>
      </c>
    </row>
    <row r="45">
      <c r="A45" s="20" t="n">
        <v>36</v>
      </c>
      <c r="B45" s="1" t="inlineStr">
        <is>
          <t>Tần suất quan trắc: 03 tháng/lần</t>
        </is>
      </c>
      <c r="C45" s="1" t="inlineStr">
        <is>
          <t>NT10m5</t>
        </is>
      </c>
      <c r="D45" s="1" t="inlineStr">
        <is>
          <t>Crom (III)</t>
        </is>
      </c>
      <c r="E45" s="20" t="inlineStr">
        <is>
          <t>mg/l</t>
        </is>
      </c>
      <c r="F45" s="20" t="n">
        <v>1</v>
      </c>
      <c r="G45" s="20" t="n">
        <v>4</v>
      </c>
      <c r="H45" s="20" t="n">
        <v>1</v>
      </c>
      <c r="I45" s="20" t="n">
        <v>1</v>
      </c>
      <c r="J45" s="1" t="inlineStr"/>
      <c r="K45" s="1" t="inlineStr">
        <is>
          <t>II.9</t>
        </is>
      </c>
      <c r="L45" s="9">
        <f>F45*G45</f>
        <v/>
      </c>
      <c r="M45" s="11" t="n">
        <v>185000</v>
      </c>
      <c r="N45" s="11" t="n">
        <v>320000</v>
      </c>
      <c r="O45" s="11" t="n">
        <v>35000</v>
      </c>
      <c r="P45" s="11" t="n">
        <v>120000</v>
      </c>
      <c r="Q45" s="11">
        <f>M45+N45+O45+P45</f>
        <v/>
      </c>
      <c r="R45" s="13">
        <f>ROUND(L45*Q45, 0)</f>
        <v/>
      </c>
    </row>
    <row r="46">
      <c r="A46" s="20" t="n">
        <v>37</v>
      </c>
      <c r="B46" s="1" t="inlineStr">
        <is>
          <t>Tần suất quan trắc: 03 tháng/lần</t>
        </is>
      </c>
      <c r="C46" s="1" t="inlineStr">
        <is>
          <t>NT10đ</t>
        </is>
      </c>
      <c r="D46" s="1" t="inlineStr">
        <is>
          <t>Crom (VI)</t>
        </is>
      </c>
      <c r="E46" s="20" t="inlineStr">
        <is>
          <t>mg/l</t>
        </is>
      </c>
      <c r="F46" s="20" t="n">
        <v>1</v>
      </c>
      <c r="G46" s="20" t="n">
        <v>4</v>
      </c>
      <c r="H46" s="20" t="n">
        <v>1</v>
      </c>
      <c r="I46" s="20" t="n">
        <v>1</v>
      </c>
      <c r="J46" s="1" t="inlineStr"/>
      <c r="K46" s="1" t="inlineStr">
        <is>
          <t>II.9</t>
        </is>
      </c>
      <c r="L46" s="9">
        <f>F46*G46</f>
        <v/>
      </c>
      <c r="M46" s="11" t="n">
        <v>185000</v>
      </c>
      <c r="N46" s="11" t="n">
        <v>320000</v>
      </c>
      <c r="O46" s="11" t="n">
        <v>35000</v>
      </c>
      <c r="P46" s="11" t="n">
        <v>120000</v>
      </c>
      <c r="Q46" s="11">
        <f>M46+N46+O46+P46</f>
        <v/>
      </c>
      <c r="R46" s="13">
        <f>ROUND(L46*Q46, 0)</f>
        <v/>
      </c>
    </row>
    <row r="47">
      <c r="A47" s="20" t="n">
        <v>38</v>
      </c>
      <c r="B47" s="1" t="inlineStr">
        <is>
          <t>Tần suất quan trắc: 03 tháng/lần</t>
        </is>
      </c>
      <c r="C47" s="1" t="inlineStr">
        <is>
          <t>NT10m1</t>
        </is>
      </c>
      <c r="D47" s="1" t="inlineStr">
        <is>
          <t>Đồng</t>
        </is>
      </c>
      <c r="E47" s="20" t="inlineStr">
        <is>
          <t>mg/l</t>
        </is>
      </c>
      <c r="F47" s="20" t="n">
        <v>1</v>
      </c>
      <c r="G47" s="20" t="n">
        <v>4</v>
      </c>
      <c r="H47" s="20" t="n">
        <v>1</v>
      </c>
      <c r="I47" s="20" t="n">
        <v>1</v>
      </c>
      <c r="J47" s="1" t="inlineStr"/>
      <c r="K47" s="1" t="inlineStr">
        <is>
          <t>II.9</t>
        </is>
      </c>
      <c r="L47" s="9">
        <f>F47*G47</f>
        <v/>
      </c>
      <c r="M47" s="11" t="n">
        <v>185000</v>
      </c>
      <c r="N47" s="11" t="n">
        <v>320000</v>
      </c>
      <c r="O47" s="11" t="n">
        <v>35000</v>
      </c>
      <c r="P47" s="11" t="n">
        <v>120000</v>
      </c>
      <c r="Q47" s="11">
        <f>M47+N47+O47+P47</f>
        <v/>
      </c>
      <c r="R47" s="13">
        <f>ROUND(L47*Q47, 0)</f>
        <v/>
      </c>
    </row>
    <row r="48">
      <c r="A48" s="20" t="n">
        <v>39</v>
      </c>
      <c r="B48" s="1" t="inlineStr">
        <is>
          <t>Tần suất quan trắc: 03 tháng/lần</t>
        </is>
      </c>
      <c r="C48" s="1" t="inlineStr">
        <is>
          <t>NT10m2</t>
        </is>
      </c>
      <c r="D48" s="1" t="inlineStr">
        <is>
          <t>Kẽm</t>
        </is>
      </c>
      <c r="E48" s="20" t="inlineStr">
        <is>
          <t>mg/l</t>
        </is>
      </c>
      <c r="F48" s="20" t="n">
        <v>1</v>
      </c>
      <c r="G48" s="20" t="n">
        <v>4</v>
      </c>
      <c r="H48" s="20" t="n">
        <v>1</v>
      </c>
      <c r="I48" s="20" t="n">
        <v>1</v>
      </c>
      <c r="J48" s="1" t="inlineStr"/>
      <c r="K48" s="1" t="inlineStr">
        <is>
          <t>II.9</t>
        </is>
      </c>
      <c r="L48" s="9">
        <f>F48*G48</f>
        <v/>
      </c>
      <c r="M48" s="11" t="n">
        <v>185000</v>
      </c>
      <c r="N48" s="11" t="n">
        <v>320000</v>
      </c>
      <c r="O48" s="11" t="n">
        <v>35000</v>
      </c>
      <c r="P48" s="11" t="n">
        <v>120000</v>
      </c>
      <c r="Q48" s="11">
        <f>M48+N48+O48+P48</f>
        <v/>
      </c>
      <c r="R48" s="13">
        <f>ROUND(L48*Q48, 0)</f>
        <v/>
      </c>
    </row>
    <row r="49">
      <c r="A49" s="20" t="n">
        <v>40</v>
      </c>
      <c r="B49" s="1" t="inlineStr">
        <is>
          <t>Tần suất quan trắc: 03 tháng/lần</t>
        </is>
      </c>
      <c r="C49" s="1" t="inlineStr">
        <is>
          <t>NT10m6</t>
        </is>
      </c>
      <c r="D49" s="1" t="inlineStr">
        <is>
          <t>Niken</t>
        </is>
      </c>
      <c r="E49" s="20" t="inlineStr">
        <is>
          <t>mg/l</t>
        </is>
      </c>
      <c r="F49" s="20" t="n">
        <v>1</v>
      </c>
      <c r="G49" s="20" t="n">
        <v>4</v>
      </c>
      <c r="H49" s="20" t="n">
        <v>1</v>
      </c>
      <c r="I49" s="20" t="n">
        <v>1</v>
      </c>
      <c r="J49" s="1" t="inlineStr"/>
      <c r="K49" s="1" t="inlineStr">
        <is>
          <t>II.9</t>
        </is>
      </c>
      <c r="L49" s="9">
        <f>F49*G49</f>
        <v/>
      </c>
      <c r="M49" s="11" t="n">
        <v>185000</v>
      </c>
      <c r="N49" s="11" t="n">
        <v>320000</v>
      </c>
      <c r="O49" s="11" t="n">
        <v>35000</v>
      </c>
      <c r="P49" s="11" t="n">
        <v>120000</v>
      </c>
      <c r="Q49" s="11">
        <f>M49+N49+O49+P49</f>
        <v/>
      </c>
      <c r="R49" s="13">
        <f>ROUND(L49*Q49, 0)</f>
        <v/>
      </c>
    </row>
    <row r="50">
      <c r="A50" s="20" t="n">
        <v>41</v>
      </c>
      <c r="B50" s="1" t="inlineStr">
        <is>
          <t>Tần suất quan trắc: 03 tháng/lần</t>
        </is>
      </c>
      <c r="C50" s="1" t="inlineStr">
        <is>
          <t>NT10m3</t>
        </is>
      </c>
      <c r="D50" s="1" t="inlineStr">
        <is>
          <t>Mangan</t>
        </is>
      </c>
      <c r="E50" s="20" t="inlineStr">
        <is>
          <t>mg/l</t>
        </is>
      </c>
      <c r="F50" s="20" t="n">
        <v>1</v>
      </c>
      <c r="G50" s="20" t="n">
        <v>4</v>
      </c>
      <c r="H50" s="20" t="n">
        <v>1</v>
      </c>
      <c r="I50" s="20" t="n">
        <v>1</v>
      </c>
      <c r="J50" s="1" t="inlineStr"/>
      <c r="K50" s="1" t="inlineStr">
        <is>
          <t>II.9</t>
        </is>
      </c>
      <c r="L50" s="9">
        <f>F50*G50</f>
        <v/>
      </c>
      <c r="M50" s="11" t="n">
        <v>185000</v>
      </c>
      <c r="N50" s="11" t="n">
        <v>320000</v>
      </c>
      <c r="O50" s="11" t="n">
        <v>35000</v>
      </c>
      <c r="P50" s="11" t="n">
        <v>120000</v>
      </c>
      <c r="Q50" s="11">
        <f>M50+N50+O50+P50</f>
        <v/>
      </c>
      <c r="R50" s="13">
        <f>ROUND(L50*Q50, 0)</f>
        <v/>
      </c>
    </row>
    <row r="51">
      <c r="A51" s="20" t="n">
        <v>42</v>
      </c>
      <c r="B51" s="1" t="inlineStr">
        <is>
          <t>Tần suất quan trắc: 03 tháng/lần</t>
        </is>
      </c>
      <c r="C51" s="1" t="inlineStr">
        <is>
          <t>NT10m4</t>
        </is>
      </c>
      <c r="D51" s="1" t="inlineStr">
        <is>
          <t>Sắt</t>
        </is>
      </c>
      <c r="E51" s="20" t="inlineStr">
        <is>
          <t>mg/l</t>
        </is>
      </c>
      <c r="F51" s="20" t="n">
        <v>1</v>
      </c>
      <c r="G51" s="20" t="n">
        <v>4</v>
      </c>
      <c r="H51" s="20" t="n">
        <v>1</v>
      </c>
      <c r="I51" s="20" t="n">
        <v>1</v>
      </c>
      <c r="J51" s="1" t="inlineStr"/>
      <c r="K51" s="1" t="inlineStr">
        <is>
          <t>II.9</t>
        </is>
      </c>
      <c r="L51" s="9">
        <f>F51*G51</f>
        <v/>
      </c>
      <c r="M51" s="11" t="n">
        <v>185000</v>
      </c>
      <c r="N51" s="11" t="n">
        <v>320000</v>
      </c>
      <c r="O51" s="11" t="n">
        <v>35000</v>
      </c>
      <c r="P51" s="11" t="n">
        <v>120000</v>
      </c>
      <c r="Q51" s="11">
        <f>M51+N51+O51+P51</f>
        <v/>
      </c>
      <c r="R51" s="13">
        <f>ROUND(L51*Q51, 0)</f>
        <v/>
      </c>
    </row>
    <row r="52">
      <c r="A52" s="20" t="n">
        <v>43</v>
      </c>
      <c r="B52" s="1" t="inlineStr">
        <is>
          <t>Tần suất quan trắc: 03 tháng/lần</t>
        </is>
      </c>
      <c r="C52" s="1" t="inlineStr">
        <is>
          <t>NT9</t>
        </is>
      </c>
      <c r="D52" s="1" t="inlineStr">
        <is>
          <t>Tổng xyanua</t>
        </is>
      </c>
      <c r="E52" s="20" t="inlineStr">
        <is>
          <t>mg/l</t>
        </is>
      </c>
      <c r="F52" s="20" t="n">
        <v>1</v>
      </c>
      <c r="G52" s="20" t="n">
        <v>4</v>
      </c>
      <c r="H52" s="20" t="n">
        <v>1</v>
      </c>
      <c r="I52" s="20" t="n">
        <v>1</v>
      </c>
      <c r="J52" s="1" t="inlineStr"/>
      <c r="K52" s="1" t="inlineStr">
        <is>
          <t>II.9</t>
        </is>
      </c>
      <c r="L52" s="9">
        <f>F52*G52</f>
        <v/>
      </c>
      <c r="M52" s="11" t="n">
        <v>185000</v>
      </c>
      <c r="N52" s="11" t="n">
        <v>320000</v>
      </c>
      <c r="O52" s="11" t="n">
        <v>35000</v>
      </c>
      <c r="P52" s="11" t="n">
        <v>120000</v>
      </c>
      <c r="Q52" s="11">
        <f>M52+N52+O52+P52</f>
        <v/>
      </c>
      <c r="R52" s="13">
        <f>ROUND(L52*Q52, 0)</f>
        <v/>
      </c>
    </row>
    <row r="53">
      <c r="A53" s="20" t="n">
        <v>44</v>
      </c>
      <c r="B53" s="1" t="inlineStr">
        <is>
          <t>Tần suất quan trắc: 03 tháng/lần</t>
        </is>
      </c>
      <c r="C53" s="1" t="inlineStr">
        <is>
          <t>NT8</t>
        </is>
      </c>
      <c r="D53" s="1" t="inlineStr">
        <is>
          <t>Tổng dầu mỡ khoáng</t>
        </is>
      </c>
      <c r="E53" s="20" t="inlineStr">
        <is>
          <t>mg/l</t>
        </is>
      </c>
      <c r="F53" s="20" t="n">
        <v>1</v>
      </c>
      <c r="G53" s="20" t="n">
        <v>4</v>
      </c>
      <c r="H53" s="20" t="n">
        <v>1</v>
      </c>
      <c r="I53" s="20" t="n">
        <v>1</v>
      </c>
      <c r="J53" s="1" t="inlineStr"/>
      <c r="K53" s="1" t="inlineStr">
        <is>
          <t>II.9</t>
        </is>
      </c>
      <c r="L53" s="9">
        <f>F53*G53</f>
        <v/>
      </c>
      <c r="M53" s="11" t="n">
        <v>185000</v>
      </c>
      <c r="N53" s="11" t="n">
        <v>320000</v>
      </c>
      <c r="O53" s="11" t="n">
        <v>35000</v>
      </c>
      <c r="P53" s="11" t="n">
        <v>120000</v>
      </c>
      <c r="Q53" s="11">
        <f>M53+N53+O53+P53</f>
        <v/>
      </c>
      <c r="R53" s="13">
        <f>ROUND(L53*Q53, 0)</f>
        <v/>
      </c>
    </row>
    <row r="54">
      <c r="A54" s="20" t="n">
        <v>45</v>
      </c>
      <c r="B54" s="1" t="inlineStr">
        <is>
          <t>Tần suất quan trắc: 03 tháng/lần</t>
        </is>
      </c>
      <c r="C54" s="1" t="inlineStr">
        <is>
          <t>NT10d</t>
        </is>
      </c>
      <c r="D54" s="1" t="inlineStr">
        <is>
          <t>Sunfua</t>
        </is>
      </c>
      <c r="E54" s="20" t="inlineStr">
        <is>
          <t>mg/l</t>
        </is>
      </c>
      <c r="F54" s="20" t="n">
        <v>1</v>
      </c>
      <c r="G54" s="20" t="n">
        <v>4</v>
      </c>
      <c r="H54" s="20" t="n">
        <v>1</v>
      </c>
      <c r="I54" s="20" t="n">
        <v>1</v>
      </c>
      <c r="J54" s="1" t="inlineStr"/>
      <c r="K54" s="1" t="inlineStr">
        <is>
          <t>II.9</t>
        </is>
      </c>
      <c r="L54" s="9">
        <f>F54*G54</f>
        <v/>
      </c>
      <c r="M54" s="11" t="n">
        <v>185000</v>
      </c>
      <c r="N54" s="11" t="n">
        <v>320000</v>
      </c>
      <c r="O54" s="11" t="n">
        <v>35000</v>
      </c>
      <c r="P54" s="11" t="n">
        <v>120000</v>
      </c>
      <c r="Q54" s="11">
        <f>M54+N54+O54+P54</f>
        <v/>
      </c>
      <c r="R54" s="13">
        <f>ROUND(L54*Q54, 0)</f>
        <v/>
      </c>
    </row>
    <row r="55">
      <c r="A55" s="20" t="n">
        <v>46</v>
      </c>
      <c r="B55" s="1" t="inlineStr">
        <is>
          <t>Tần suất quan trắc: 03 tháng/lần</t>
        </is>
      </c>
      <c r="C55" s="1" t="inlineStr">
        <is>
          <t>NT10b</t>
        </is>
      </c>
      <c r="D55" s="1" t="inlineStr">
        <is>
          <t>Tổng Nitơ</t>
        </is>
      </c>
      <c r="E55" s="20" t="inlineStr">
        <is>
          <t>mg/l</t>
        </is>
      </c>
      <c r="F55" s="20" t="n">
        <v>1</v>
      </c>
      <c r="G55" s="20" t="n">
        <v>4</v>
      </c>
      <c r="H55" s="20" t="n">
        <v>1</v>
      </c>
      <c r="I55" s="20" t="n">
        <v>1</v>
      </c>
      <c r="J55" s="1" t="inlineStr"/>
      <c r="K55" s="1" t="inlineStr">
        <is>
          <t>II.9</t>
        </is>
      </c>
      <c r="L55" s="9">
        <f>F55*G55</f>
        <v/>
      </c>
      <c r="M55" s="11" t="n">
        <v>185000</v>
      </c>
      <c r="N55" s="11" t="n">
        <v>320000</v>
      </c>
      <c r="O55" s="11" t="n">
        <v>35000</v>
      </c>
      <c r="P55" s="11" t="n">
        <v>120000</v>
      </c>
      <c r="Q55" s="11">
        <f>M55+N55+O55+P55</f>
        <v/>
      </c>
      <c r="R55" s="13">
        <f>ROUND(L55*Q55, 0)</f>
        <v/>
      </c>
    </row>
    <row r="56">
      <c r="A56" s="20" t="n">
        <v>47</v>
      </c>
      <c r="B56" s="1" t="inlineStr">
        <is>
          <t>Tần suất quan trắc: 03 tháng/lần</t>
        </is>
      </c>
      <c r="C56" s="1" t="inlineStr">
        <is>
          <t>NT2</t>
        </is>
      </c>
      <c r="D56" s="1" t="inlineStr">
        <is>
          <t>Tổng photpho (tính theo P)</t>
        </is>
      </c>
      <c r="E56" s="20" t="inlineStr">
        <is>
          <t>mg/l</t>
        </is>
      </c>
      <c r="F56" s="20" t="n">
        <v>1</v>
      </c>
      <c r="G56" s="20" t="n">
        <v>4</v>
      </c>
      <c r="H56" s="20" t="n">
        <v>1</v>
      </c>
      <c r="I56" s="20" t="n">
        <v>1</v>
      </c>
      <c r="J56" s="1" t="inlineStr"/>
      <c r="K56" s="1" t="inlineStr">
        <is>
          <t>II.9</t>
        </is>
      </c>
      <c r="L56" s="9">
        <f>F56*G56</f>
        <v/>
      </c>
      <c r="M56" s="11" t="n">
        <v>185000</v>
      </c>
      <c r="N56" s="11" t="n">
        <v>320000</v>
      </c>
      <c r="O56" s="11" t="n">
        <v>35000</v>
      </c>
      <c r="P56" s="11" t="n">
        <v>120000</v>
      </c>
      <c r="Q56" s="11">
        <f>M56+N56+O56+P56</f>
        <v/>
      </c>
      <c r="R56" s="13">
        <f>ROUND(L56*Q56, 0)</f>
        <v/>
      </c>
    </row>
    <row r="57">
      <c r="A57" s="20" t="n">
        <v>48</v>
      </c>
      <c r="B57" s="1" t="inlineStr">
        <is>
          <t>Tần suất quan trắc: 03 tháng/lần</t>
        </is>
      </c>
      <c r="C57" s="1" t="inlineStr">
        <is>
          <t>NT10j</t>
        </is>
      </c>
      <c r="D57" s="1" t="inlineStr">
        <is>
          <t>Clo dư</t>
        </is>
      </c>
      <c r="E57" s="20" t="inlineStr">
        <is>
          <t>mg/l</t>
        </is>
      </c>
      <c r="F57" s="20" t="n">
        <v>1</v>
      </c>
      <c r="G57" s="20" t="n">
        <v>4</v>
      </c>
      <c r="H57" s="20" t="n">
        <v>1</v>
      </c>
      <c r="I57" s="20" t="n">
        <v>1</v>
      </c>
      <c r="J57" s="1" t="inlineStr"/>
      <c r="K57" s="1" t="inlineStr">
        <is>
          <t>II.9</t>
        </is>
      </c>
      <c r="L57" s="9">
        <f>F57*G57</f>
        <v/>
      </c>
      <c r="M57" s="11" t="n">
        <v>185000</v>
      </c>
      <c r="N57" s="11" t="n">
        <v>320000</v>
      </c>
      <c r="O57" s="11" t="n">
        <v>35000</v>
      </c>
      <c r="P57" s="11" t="n">
        <v>120000</v>
      </c>
      <c r="Q57" s="11">
        <f>M57+N57+O57+P57</f>
        <v/>
      </c>
      <c r="R57" s="13">
        <f>ROUND(L57*Q57, 0)</f>
        <v/>
      </c>
    </row>
    <row r="58">
      <c r="A58" s="20" t="n">
        <v>49</v>
      </c>
      <c r="B58" s="1" t="inlineStr">
        <is>
          <t>Tần suất quan trắc: 03 tháng/lần</t>
        </is>
      </c>
      <c r="C58" s="1" t="inlineStr">
        <is>
          <t>NT7a</t>
        </is>
      </c>
      <c r="D58" s="1" t="inlineStr">
        <is>
          <t>Coliform</t>
        </is>
      </c>
      <c r="E58" s="20" t="inlineStr">
        <is>
          <t>MPN/100ml</t>
        </is>
      </c>
      <c r="F58" s="20" t="n">
        <v>1</v>
      </c>
      <c r="G58" s="20" t="n">
        <v>4</v>
      </c>
      <c r="H58" s="20" t="n">
        <v>1</v>
      </c>
      <c r="I58" s="20" t="n">
        <v>1</v>
      </c>
      <c r="J58" s="1" t="inlineStr"/>
      <c r="K58" s="1" t="inlineStr">
        <is>
          <t>II.9</t>
        </is>
      </c>
      <c r="L58" s="9">
        <f>F58*G58</f>
        <v/>
      </c>
      <c r="M58" s="11" t="n">
        <v>185000</v>
      </c>
      <c r="N58" s="11" t="n">
        <v>320000</v>
      </c>
      <c r="O58" s="11" t="n">
        <v>35000</v>
      </c>
      <c r="P58" s="11" t="n">
        <v>120000</v>
      </c>
      <c r="Q58" s="11">
        <f>M58+N58+O58+P58</f>
        <v/>
      </c>
      <c r="R58" s="13">
        <f>ROUND(L58*Q58, 0)</f>
        <v/>
      </c>
    </row>
    <row r="59">
      <c r="A59" s="15" t="inlineStr"/>
      <c r="B59" s="16" t="inlineStr"/>
      <c r="C59" s="16" t="inlineStr"/>
      <c r="D59" s="17" t="inlineStr">
        <is>
          <t>PHẦN: GIÁM SÁT GIÁM SÁT NƯỚC BIỂN TRONG KHU VỰC NHÀ MÁY</t>
        </is>
      </c>
      <c r="E59" s="15" t="inlineStr"/>
      <c r="F59" s="15" t="inlineStr"/>
      <c r="G59" s="15" t="inlineStr"/>
      <c r="H59" s="15" t="inlineStr"/>
      <c r="I59" s="15" t="inlineStr"/>
      <c r="J59" s="16" t="inlineStr"/>
      <c r="K59" s="16" t="inlineStr"/>
      <c r="L59" s="18" t="inlineStr"/>
      <c r="M59" s="19" t="inlineStr"/>
      <c r="N59" s="19" t="inlineStr"/>
      <c r="O59" s="19" t="inlineStr"/>
      <c r="P59" s="19" t="inlineStr"/>
      <c r="Q59" s="19" t="inlineStr"/>
      <c r="R59" s="13" t="inlineStr"/>
    </row>
    <row r="60">
      <c r="A60" s="20" t="n">
        <v>50</v>
      </c>
      <c r="B60" s="1" t="inlineStr">
        <is>
          <t>NB1: Tại công trình khai thác nước biển từ vịnh Vũng Mũ Tần suất quan trắc: 03 tháng/lần</t>
        </is>
      </c>
      <c r="C60" s="1" t="inlineStr">
        <is>
          <t>NB16a</t>
        </is>
      </c>
      <c r="D60" s="1" t="inlineStr">
        <is>
          <t>COD</t>
        </is>
      </c>
      <c r="E60" s="20" t="inlineStr">
        <is>
          <t>mg/l</t>
        </is>
      </c>
      <c r="F60" s="20" t="n">
        <v>1</v>
      </c>
      <c r="G60" s="20" t="n">
        <v>4</v>
      </c>
      <c r="H60" s="20" t="n">
        <v>1</v>
      </c>
      <c r="I60" s="20" t="n">
        <v>1</v>
      </c>
      <c r="J60" s="1" t="inlineStr"/>
      <c r="K60" s="1" t="inlineStr">
        <is>
          <t>II.6</t>
        </is>
      </c>
      <c r="L60" s="9">
        <f>F60*G60</f>
        <v/>
      </c>
      <c r="M60" s="11" t="n">
        <v>185000</v>
      </c>
      <c r="N60" s="11" t="n">
        <v>320000</v>
      </c>
      <c r="O60" s="11" t="n">
        <v>35000</v>
      </c>
      <c r="P60" s="11" t="n">
        <v>120000</v>
      </c>
      <c r="Q60" s="11">
        <f>M60+N60+O60+P60</f>
        <v/>
      </c>
      <c r="R60" s="13">
        <f>ROUND(L60*Q60, 0)</f>
        <v/>
      </c>
    </row>
    <row r="61">
      <c r="A61" s="20" t="n">
        <v>51</v>
      </c>
      <c r="B61" s="1" t="inlineStr">
        <is>
          <t>NB1: Tại công trình khai thác nước biển từ vịnh Vũng Mũ Tần suất quan trắc: 03 tháng/lần</t>
        </is>
      </c>
      <c r="C61" s="1" t="inlineStr">
        <is>
          <t>NB17a</t>
        </is>
      </c>
      <c r="D61" s="1" t="inlineStr">
        <is>
          <t>TSS</t>
        </is>
      </c>
      <c r="E61" s="20" t="inlineStr">
        <is>
          <t>mg/l</t>
        </is>
      </c>
      <c r="F61" s="20" t="n">
        <v>1</v>
      </c>
      <c r="G61" s="20" t="n">
        <v>4</v>
      </c>
      <c r="H61" s="20" t="n">
        <v>1</v>
      </c>
      <c r="I61" s="20" t="n">
        <v>1</v>
      </c>
      <c r="J61" s="1" t="inlineStr"/>
      <c r="K61" s="1" t="inlineStr">
        <is>
          <t>II.6</t>
        </is>
      </c>
      <c r="L61" s="9">
        <f>F61*G61</f>
        <v/>
      </c>
      <c r="M61" s="11" t="n">
        <v>185000</v>
      </c>
      <c r="N61" s="11" t="n">
        <v>320000</v>
      </c>
      <c r="O61" s="11" t="n">
        <v>35000</v>
      </c>
      <c r="P61" s="11" t="n">
        <v>120000</v>
      </c>
      <c r="Q61" s="11">
        <f>M61+N61+O61+P61</f>
        <v/>
      </c>
      <c r="R61" s="13">
        <f>ROUND(L61*Q61, 0)</f>
        <v/>
      </c>
    </row>
    <row r="62">
      <c r="A62" s="20" t="n">
        <v>52</v>
      </c>
      <c r="B62" s="1" t="inlineStr">
        <is>
          <t>NB1: Tại công trình khai thác nước biển từ vịnh Vũng Mũ Tần suất quan trắc: 03 tháng/lần</t>
        </is>
      </c>
      <c r="C62" s="1" t="inlineStr">
        <is>
          <t>NB10</t>
        </is>
      </c>
      <c r="D62" s="1" t="inlineStr">
        <is>
          <t>Phosphat</t>
        </is>
      </c>
      <c r="E62" s="20" t="inlineStr">
        <is>
          <t>mg/l</t>
        </is>
      </c>
      <c r="F62" s="20" t="n">
        <v>1</v>
      </c>
      <c r="G62" s="20" t="n">
        <v>4</v>
      </c>
      <c r="H62" s="20" t="n">
        <v>1</v>
      </c>
      <c r="I62" s="20" t="n">
        <v>1</v>
      </c>
      <c r="J62" s="1" t="inlineStr"/>
      <c r="K62" s="1" t="inlineStr">
        <is>
          <t>II.6</t>
        </is>
      </c>
      <c r="L62" s="9">
        <f>F62*G62</f>
        <v/>
      </c>
      <c r="M62" s="11" t="n">
        <v>185000</v>
      </c>
      <c r="N62" s="11" t="n">
        <v>320000</v>
      </c>
      <c r="O62" s="11" t="n">
        <v>35000</v>
      </c>
      <c r="P62" s="11" t="n">
        <v>120000</v>
      </c>
      <c r="Q62" s="11">
        <f>M62+N62+O62+P62</f>
        <v/>
      </c>
      <c r="R62" s="13">
        <f>ROUND(L62*Q62, 0)</f>
        <v/>
      </c>
    </row>
    <row r="63">
      <c r="A63" s="20" t="n">
        <v>53</v>
      </c>
      <c r="B63" s="1" t="inlineStr">
        <is>
          <t>NB1: Tại công trình khai thác nước biển từ vịnh Vũng Mũ Tần suất quan trắc: 03 tháng/lần</t>
        </is>
      </c>
      <c r="C63" s="1" t="inlineStr">
        <is>
          <t>NB15</t>
        </is>
      </c>
      <c r="D63" s="1" t="inlineStr">
        <is>
          <t>Florua</t>
        </is>
      </c>
      <c r="E63" s="20" t="inlineStr">
        <is>
          <t>mg/l</t>
        </is>
      </c>
      <c r="F63" s="20" t="n">
        <v>1</v>
      </c>
      <c r="G63" s="20" t="n">
        <v>4</v>
      </c>
      <c r="H63" s="20" t="n">
        <v>1</v>
      </c>
      <c r="I63" s="20" t="n">
        <v>1</v>
      </c>
      <c r="J63" s="1" t="inlineStr"/>
      <c r="K63" s="1" t="inlineStr">
        <is>
          <t>II.6</t>
        </is>
      </c>
      <c r="L63" s="9">
        <f>F63*G63</f>
        <v/>
      </c>
      <c r="M63" s="11" t="n">
        <v>185000</v>
      </c>
      <c r="N63" s="11" t="n">
        <v>320000</v>
      </c>
      <c r="O63" s="11" t="n">
        <v>35000</v>
      </c>
      <c r="P63" s="11" t="n">
        <v>120000</v>
      </c>
      <c r="Q63" s="11">
        <f>M63+N63+O63+P63</f>
        <v/>
      </c>
      <c r="R63" s="13">
        <f>ROUND(L63*Q63, 0)</f>
        <v/>
      </c>
    </row>
    <row r="64">
      <c r="A64" s="20" t="n">
        <v>54</v>
      </c>
      <c r="B64" s="1" t="inlineStr">
        <is>
          <t>NB1: Tại công trình khai thác nước biển từ vịnh Vũng Mũ Tần suất quan trắc: 03 tháng/lần</t>
        </is>
      </c>
      <c r="C64" s="1" t="inlineStr">
        <is>
          <t>NB20</t>
        </is>
      </c>
      <c r="D64" s="1" t="inlineStr">
        <is>
          <t>Xyanua</t>
        </is>
      </c>
      <c r="E64" s="20" t="inlineStr">
        <is>
          <t>mg/l</t>
        </is>
      </c>
      <c r="F64" s="20" t="n">
        <v>1</v>
      </c>
      <c r="G64" s="20" t="n">
        <v>4</v>
      </c>
      <c r="H64" s="20" t="n">
        <v>1</v>
      </c>
      <c r="I64" s="20" t="n">
        <v>1</v>
      </c>
      <c r="J64" s="1" t="inlineStr"/>
      <c r="K64" s="1" t="inlineStr">
        <is>
          <t>II.6</t>
        </is>
      </c>
      <c r="L64" s="9">
        <f>F64*G64</f>
        <v/>
      </c>
      <c r="M64" s="11" t="n">
        <v>185000</v>
      </c>
      <c r="N64" s="11" t="n">
        <v>320000</v>
      </c>
      <c r="O64" s="11" t="n">
        <v>35000</v>
      </c>
      <c r="P64" s="11" t="n">
        <v>120000</v>
      </c>
      <c r="Q64" s="11">
        <f>M64+N64+O64+P64</f>
        <v/>
      </c>
      <c r="R64" s="13">
        <f>ROUND(L64*Q64, 0)</f>
        <v/>
      </c>
    </row>
    <row r="65">
      <c r="A65" s="20" t="n">
        <v>55</v>
      </c>
      <c r="B65" s="1" t="inlineStr">
        <is>
          <t>NB1: Tại công trình khai thác nước biển từ vịnh Vũng Mũ Tần suất quan trắc: 03 tháng/lần</t>
        </is>
      </c>
      <c r="C65" s="1" t="inlineStr">
        <is>
          <t>NB21</t>
        </is>
      </c>
      <c r="D65" s="1" t="inlineStr">
        <is>
          <t>Asen</t>
        </is>
      </c>
      <c r="E65" s="20" t="inlineStr">
        <is>
          <t>mg/l</t>
        </is>
      </c>
      <c r="F65" s="20" t="n">
        <v>1</v>
      </c>
      <c r="G65" s="20" t="n">
        <v>4</v>
      </c>
      <c r="H65" s="20" t="n">
        <v>1</v>
      </c>
      <c r="I65" s="20" t="n">
        <v>1</v>
      </c>
      <c r="J65" s="1" t="inlineStr"/>
      <c r="K65" s="1" t="inlineStr">
        <is>
          <t>II.6</t>
        </is>
      </c>
      <c r="L65" s="9">
        <f>F65*G65</f>
        <v/>
      </c>
      <c r="M65" s="11" t="n">
        <v>185000</v>
      </c>
      <c r="N65" s="11" t="n">
        <v>320000</v>
      </c>
      <c r="O65" s="11" t="n">
        <v>35000</v>
      </c>
      <c r="P65" s="11" t="n">
        <v>120000</v>
      </c>
      <c r="Q65" s="11">
        <f>M65+N65+O65+P65</f>
        <v/>
      </c>
      <c r="R65" s="13">
        <f>ROUND(L65*Q65, 0)</f>
        <v/>
      </c>
    </row>
    <row r="66">
      <c r="A66" s="20" t="n">
        <v>56</v>
      </c>
      <c r="B66" s="1" t="inlineStr">
        <is>
          <t>NB1: Tại công trình khai thác nước biển từ vịnh Vũng Mũ Tần suất quan trắc: 03 tháng/lần</t>
        </is>
      </c>
      <c r="C66" s="1" t="inlineStr">
        <is>
          <t>NB21</t>
        </is>
      </c>
      <c r="D66" s="1" t="inlineStr">
        <is>
          <t>Cadimi</t>
        </is>
      </c>
      <c r="E66" s="20" t="inlineStr">
        <is>
          <t>mg/l</t>
        </is>
      </c>
      <c r="F66" s="20" t="n">
        <v>1</v>
      </c>
      <c r="G66" s="20" t="n">
        <v>4</v>
      </c>
      <c r="H66" s="20" t="n">
        <v>1</v>
      </c>
      <c r="I66" s="20" t="n">
        <v>1</v>
      </c>
      <c r="J66" s="1" t="inlineStr"/>
      <c r="K66" s="1" t="inlineStr">
        <is>
          <t>II.6</t>
        </is>
      </c>
      <c r="L66" s="9">
        <f>F66*G66</f>
        <v/>
      </c>
      <c r="M66" s="11" t="n">
        <v>185000</v>
      </c>
      <c r="N66" s="11" t="n">
        <v>320000</v>
      </c>
      <c r="O66" s="11" t="n">
        <v>35000</v>
      </c>
      <c r="P66" s="11" t="n">
        <v>120000</v>
      </c>
      <c r="Q66" s="11">
        <f>M66+N66+O66+P66</f>
        <v/>
      </c>
      <c r="R66" s="13">
        <f>ROUND(L66*Q66, 0)</f>
        <v/>
      </c>
    </row>
    <row r="67">
      <c r="A67" s="20" t="n">
        <v>57</v>
      </c>
      <c r="B67" s="1" t="inlineStr">
        <is>
          <t>NB1: Tại công trình khai thác nước biển từ vịnh Vũng Mũ Tần suất quan trắc: 03 tháng/lần</t>
        </is>
      </c>
      <c r="C67" s="1" t="inlineStr">
        <is>
          <t>NB21</t>
        </is>
      </c>
      <c r="D67" s="1" t="inlineStr">
        <is>
          <t>Chì</t>
        </is>
      </c>
      <c r="E67" s="20" t="inlineStr">
        <is>
          <t>mg/l</t>
        </is>
      </c>
      <c r="F67" s="20" t="n">
        <v>1</v>
      </c>
      <c r="G67" s="20" t="n">
        <v>4</v>
      </c>
      <c r="H67" s="20" t="n">
        <v>1</v>
      </c>
      <c r="I67" s="20" t="n">
        <v>1</v>
      </c>
      <c r="J67" s="1" t="inlineStr"/>
      <c r="K67" s="1" t="inlineStr">
        <is>
          <t>II.6</t>
        </is>
      </c>
      <c r="L67" s="9">
        <f>F67*G67</f>
        <v/>
      </c>
      <c r="M67" s="11" t="n">
        <v>185000</v>
      </c>
      <c r="N67" s="11" t="n">
        <v>320000</v>
      </c>
      <c r="O67" s="11" t="n">
        <v>35000</v>
      </c>
      <c r="P67" s="11" t="n">
        <v>120000</v>
      </c>
      <c r="Q67" s="11">
        <f>M67+N67+O67+P67</f>
        <v/>
      </c>
      <c r="R67" s="13">
        <f>ROUND(L67*Q67, 0)</f>
        <v/>
      </c>
    </row>
    <row r="68">
      <c r="A68" s="20" t="n">
        <v>58</v>
      </c>
      <c r="B68" s="1" t="inlineStr">
        <is>
          <t>NB1: Tại công trình khai thác nước biển từ vịnh Vũng Mũ Tần suất quan trắc: 03 tháng/lần</t>
        </is>
      </c>
      <c r="C68" s="1" t="inlineStr">
        <is>
          <t>NB15h</t>
        </is>
      </c>
      <c r="D68" s="1" t="inlineStr">
        <is>
          <t>Crom (VI)</t>
        </is>
      </c>
      <c r="E68" s="20" t="inlineStr">
        <is>
          <t>mg/l</t>
        </is>
      </c>
      <c r="F68" s="20" t="n">
        <v>1</v>
      </c>
      <c r="G68" s="20" t="n">
        <v>4</v>
      </c>
      <c r="H68" s="20" t="n">
        <v>1</v>
      </c>
      <c r="I68" s="20" t="n">
        <v>1</v>
      </c>
      <c r="J68" s="1" t="inlineStr"/>
      <c r="K68" s="1" t="inlineStr">
        <is>
          <t>II.6</t>
        </is>
      </c>
      <c r="L68" s="9">
        <f>F68*G68</f>
        <v/>
      </c>
      <c r="M68" s="11" t="n">
        <v>185000</v>
      </c>
      <c r="N68" s="11" t="n">
        <v>320000</v>
      </c>
      <c r="O68" s="11" t="n">
        <v>35000</v>
      </c>
      <c r="P68" s="11" t="n">
        <v>120000</v>
      </c>
      <c r="Q68" s="11">
        <f>M68+N68+O68+P68</f>
        <v/>
      </c>
      <c r="R68" s="13">
        <f>ROUND(L68*Q68, 0)</f>
        <v/>
      </c>
    </row>
    <row r="69">
      <c r="A69" s="20" t="n">
        <v>59</v>
      </c>
      <c r="B69" s="1" t="inlineStr">
        <is>
          <t>NB1: Tại công trình khai thác nước biển từ vịnh Vũng Mũ Tần suất quan trắc: 03 tháng/lần</t>
        </is>
      </c>
      <c r="C69" s="1" t="inlineStr">
        <is>
          <t>NB21</t>
        </is>
      </c>
      <c r="D69" s="1" t="inlineStr">
        <is>
          <t>Tổng Cr</t>
        </is>
      </c>
      <c r="E69" s="20" t="inlineStr">
        <is>
          <t>mg/l</t>
        </is>
      </c>
      <c r="F69" s="20" t="n">
        <v>1</v>
      </c>
      <c r="G69" s="20" t="n">
        <v>4</v>
      </c>
      <c r="H69" s="20" t="n">
        <v>1</v>
      </c>
      <c r="I69" s="20" t="n">
        <v>1</v>
      </c>
      <c r="J69" s="1" t="inlineStr"/>
      <c r="K69" s="1" t="inlineStr">
        <is>
          <t>II.6</t>
        </is>
      </c>
      <c r="L69" s="9">
        <f>F69*G69</f>
        <v/>
      </c>
      <c r="M69" s="11" t="n">
        <v>185000</v>
      </c>
      <c r="N69" s="11" t="n">
        <v>320000</v>
      </c>
      <c r="O69" s="11" t="n">
        <v>35000</v>
      </c>
      <c r="P69" s="11" t="n">
        <v>120000</v>
      </c>
      <c r="Q69" s="11">
        <f>M69+N69+O69+P69</f>
        <v/>
      </c>
      <c r="R69" s="13">
        <f>ROUND(L69*Q69, 0)</f>
        <v/>
      </c>
    </row>
    <row r="70">
      <c r="A70" s="20" t="n">
        <v>60</v>
      </c>
      <c r="B70" s="1" t="inlineStr">
        <is>
          <t>NB1: Tại công trình khai thác nước biển từ vịnh Vũng Mũ Tần suất quan trắc: 03 tháng/lần</t>
        </is>
      </c>
      <c r="C70" s="1" t="inlineStr">
        <is>
          <t>NB21</t>
        </is>
      </c>
      <c r="D70" s="1" t="inlineStr">
        <is>
          <t>Đồng</t>
        </is>
      </c>
      <c r="E70" s="20" t="inlineStr">
        <is>
          <t>mg/l</t>
        </is>
      </c>
      <c r="F70" s="20" t="n">
        <v>1</v>
      </c>
      <c r="G70" s="20" t="n">
        <v>4</v>
      </c>
      <c r="H70" s="20" t="n">
        <v>1</v>
      </c>
      <c r="I70" s="20" t="n">
        <v>1</v>
      </c>
      <c r="J70" s="1" t="inlineStr"/>
      <c r="K70" s="1" t="inlineStr">
        <is>
          <t>II.6</t>
        </is>
      </c>
      <c r="L70" s="9">
        <f>F70*G70</f>
        <v/>
      </c>
      <c r="M70" s="11" t="n">
        <v>185000</v>
      </c>
      <c r="N70" s="11" t="n">
        <v>320000</v>
      </c>
      <c r="O70" s="11" t="n">
        <v>35000</v>
      </c>
      <c r="P70" s="11" t="n">
        <v>120000</v>
      </c>
      <c r="Q70" s="11">
        <f>M70+N70+O70+P70</f>
        <v/>
      </c>
      <c r="R70" s="13">
        <f>ROUND(L70*Q70, 0)</f>
        <v/>
      </c>
    </row>
    <row r="71">
      <c r="A71" s="20" t="n">
        <v>61</v>
      </c>
      <c r="B71" s="1" t="inlineStr">
        <is>
          <t>NB1: Tại công trình khai thác nước biển từ vịnh Vũng Mũ Tần suất quan trắc: 03 tháng/lần</t>
        </is>
      </c>
      <c r="C71" s="1" t="inlineStr">
        <is>
          <t>NB21</t>
        </is>
      </c>
      <c r="D71" s="1" t="inlineStr">
        <is>
          <t>Kẽm</t>
        </is>
      </c>
      <c r="E71" s="20" t="inlineStr">
        <is>
          <t>mg/l</t>
        </is>
      </c>
      <c r="F71" s="20" t="n">
        <v>1</v>
      </c>
      <c r="G71" s="20" t="n">
        <v>4</v>
      </c>
      <c r="H71" s="20" t="n">
        <v>1</v>
      </c>
      <c r="I71" s="20" t="n">
        <v>1</v>
      </c>
      <c r="J71" s="1" t="inlineStr"/>
      <c r="K71" s="1" t="inlineStr">
        <is>
          <t>II.6</t>
        </is>
      </c>
      <c r="L71" s="9">
        <f>F71*G71</f>
        <v/>
      </c>
      <c r="M71" s="11" t="n">
        <v>185000</v>
      </c>
      <c r="N71" s="11" t="n">
        <v>320000</v>
      </c>
      <c r="O71" s="11" t="n">
        <v>35000</v>
      </c>
      <c r="P71" s="11" t="n">
        <v>120000</v>
      </c>
      <c r="Q71" s="11">
        <f>M71+N71+O71+P71</f>
        <v/>
      </c>
      <c r="R71" s="13">
        <f>ROUND(L71*Q71, 0)</f>
        <v/>
      </c>
    </row>
    <row r="72">
      <c r="A72" s="20" t="n">
        <v>62</v>
      </c>
      <c r="B72" s="1" t="inlineStr">
        <is>
          <t>NB1: Tại công trình khai thác nước biển từ vịnh Vũng Mũ Tần suất quan trắc: 03 tháng/lần</t>
        </is>
      </c>
      <c r="C72" s="1" t="inlineStr">
        <is>
          <t>NB21</t>
        </is>
      </c>
      <c r="D72" s="1" t="inlineStr">
        <is>
          <t>Mangan</t>
        </is>
      </c>
      <c r="E72" s="20" t="inlineStr">
        <is>
          <t>mg/l</t>
        </is>
      </c>
      <c r="F72" s="20" t="n">
        <v>1</v>
      </c>
      <c r="G72" s="20" t="n">
        <v>4</v>
      </c>
      <c r="H72" s="20" t="n">
        <v>1</v>
      </c>
      <c r="I72" s="20" t="n">
        <v>1</v>
      </c>
      <c r="J72" s="1" t="inlineStr"/>
      <c r="K72" s="1" t="inlineStr">
        <is>
          <t>II.6</t>
        </is>
      </c>
      <c r="L72" s="9">
        <f>F72*G72</f>
        <v/>
      </c>
      <c r="M72" s="11" t="n">
        <v>185000</v>
      </c>
      <c r="N72" s="11" t="n">
        <v>320000</v>
      </c>
      <c r="O72" s="11" t="n">
        <v>35000</v>
      </c>
      <c r="P72" s="11" t="n">
        <v>120000</v>
      </c>
      <c r="Q72" s="11">
        <f>M72+N72+O72+P72</f>
        <v/>
      </c>
      <c r="R72" s="13">
        <f>ROUND(L72*Q72, 0)</f>
        <v/>
      </c>
    </row>
    <row r="73">
      <c r="A73" s="20" t="n">
        <v>63</v>
      </c>
      <c r="B73" s="1" t="inlineStr">
        <is>
          <t>NB1: Tại công trình khai thác nước biển từ vịnh Vũng Mũ Tần suất quan trắc: 03 tháng/lần</t>
        </is>
      </c>
      <c r="C73" s="1" t="inlineStr">
        <is>
          <t>NB21</t>
        </is>
      </c>
      <c r="D73" s="1" t="inlineStr">
        <is>
          <t>Sắt</t>
        </is>
      </c>
      <c r="E73" s="20" t="inlineStr">
        <is>
          <t>mg/l</t>
        </is>
      </c>
      <c r="F73" s="20" t="n">
        <v>1</v>
      </c>
      <c r="G73" s="20" t="n">
        <v>4</v>
      </c>
      <c r="H73" s="20" t="n">
        <v>1</v>
      </c>
      <c r="I73" s="20" t="n">
        <v>1</v>
      </c>
      <c r="J73" s="1" t="inlineStr"/>
      <c r="K73" s="1" t="inlineStr">
        <is>
          <t>II.6</t>
        </is>
      </c>
      <c r="L73" s="9">
        <f>F73*G73</f>
        <v/>
      </c>
      <c r="M73" s="11" t="n">
        <v>185000</v>
      </c>
      <c r="N73" s="11" t="n">
        <v>320000</v>
      </c>
      <c r="O73" s="11" t="n">
        <v>35000</v>
      </c>
      <c r="P73" s="11" t="n">
        <v>120000</v>
      </c>
      <c r="Q73" s="11">
        <f>M73+N73+O73+P73</f>
        <v/>
      </c>
      <c r="R73" s="13">
        <f>ROUND(L73*Q73, 0)</f>
        <v/>
      </c>
    </row>
    <row r="74">
      <c r="A74" s="20" t="n">
        <v>64</v>
      </c>
      <c r="B74" s="1" t="inlineStr">
        <is>
          <t>NB1: Tại công trình khai thác nước biển từ vịnh Vũng Mũ Tần suất quan trắc: 03 tháng/lần</t>
        </is>
      </c>
      <c r="C74" s="1" t="inlineStr">
        <is>
          <t>NB21</t>
        </is>
      </c>
      <c r="D74" s="1" t="inlineStr">
        <is>
          <t>Thủy ngân</t>
        </is>
      </c>
      <c r="E74" s="20" t="inlineStr">
        <is>
          <t>mg/l</t>
        </is>
      </c>
      <c r="F74" s="20" t="n">
        <v>1</v>
      </c>
      <c r="G74" s="20" t="n">
        <v>4</v>
      </c>
      <c r="H74" s="20" t="n">
        <v>1</v>
      </c>
      <c r="I74" s="20" t="n">
        <v>1</v>
      </c>
      <c r="J74" s="1" t="inlineStr"/>
      <c r="K74" s="1" t="inlineStr">
        <is>
          <t>II.6</t>
        </is>
      </c>
      <c r="L74" s="9">
        <f>F74*G74</f>
        <v/>
      </c>
      <c r="M74" s="11" t="n">
        <v>185000</v>
      </c>
      <c r="N74" s="11" t="n">
        <v>320000</v>
      </c>
      <c r="O74" s="11" t="n">
        <v>35000</v>
      </c>
      <c r="P74" s="11" t="n">
        <v>120000</v>
      </c>
      <c r="Q74" s="11">
        <f>M74+N74+O74+P74</f>
        <v/>
      </c>
      <c r="R74" s="13">
        <f>ROUND(L74*Q74, 0)</f>
        <v/>
      </c>
    </row>
    <row r="75">
      <c r="A75" s="20" t="n">
        <v>65</v>
      </c>
      <c r="B75" s="1" t="inlineStr">
        <is>
          <t>NB1: Tại công trình khai thác nước biển từ vịnh Vũng Mũ Tần suất quan trắc: 03 tháng/lần</t>
        </is>
      </c>
      <c r="C75" s="1" t="inlineStr">
        <is>
          <t>NB10</t>
        </is>
      </c>
      <c r="D75" s="1" t="inlineStr">
        <is>
          <t>Tổng Phenol</t>
        </is>
      </c>
      <c r="E75" s="20" t="inlineStr">
        <is>
          <t>mg/l</t>
        </is>
      </c>
      <c r="F75" s="20" t="n">
        <v>1</v>
      </c>
      <c r="G75" s="20" t="n">
        <v>4</v>
      </c>
      <c r="H75" s="20" t="n">
        <v>1</v>
      </c>
      <c r="I75" s="20" t="n">
        <v>1</v>
      </c>
      <c r="J75" s="1" t="inlineStr"/>
      <c r="K75" s="1" t="inlineStr">
        <is>
          <t>II.6</t>
        </is>
      </c>
      <c r="L75" s="9">
        <f>F75*G75</f>
        <v/>
      </c>
      <c r="M75" s="11" t="n">
        <v>185000</v>
      </c>
      <c r="N75" s="11" t="n">
        <v>320000</v>
      </c>
      <c r="O75" s="11" t="n">
        <v>35000</v>
      </c>
      <c r="P75" s="11" t="n">
        <v>120000</v>
      </c>
      <c r="Q75" s="11">
        <f>M75+N75+O75+P75</f>
        <v/>
      </c>
      <c r="R75" s="13">
        <f>ROUND(L75*Q75, 0)</f>
        <v/>
      </c>
    </row>
    <row r="76">
      <c r="A76" s="20" t="n">
        <v>66</v>
      </c>
      <c r="B76" s="1" t="inlineStr">
        <is>
          <t>NB1: Tại công trình khai thác nước biển từ vịnh Vũng Mũ Tần suất quan trắc: 03 tháng/lần</t>
        </is>
      </c>
      <c r="C76" s="1" t="inlineStr">
        <is>
          <t>NB22</t>
        </is>
      </c>
      <c r="D76" s="1" t="inlineStr">
        <is>
          <t>Tổng dầu mỡ khoáng</t>
        </is>
      </c>
      <c r="E76" s="20" t="inlineStr">
        <is>
          <t>mg/l</t>
        </is>
      </c>
      <c r="F76" s="20" t="n">
        <v>1</v>
      </c>
      <c r="G76" s="20" t="n">
        <v>4</v>
      </c>
      <c r="H76" s="20" t="n">
        <v>1</v>
      </c>
      <c r="I76" s="20" t="n">
        <v>1</v>
      </c>
      <c r="J76" s="1" t="inlineStr"/>
      <c r="K76" s="1" t="inlineStr">
        <is>
          <t>II.6</t>
        </is>
      </c>
      <c r="L76" s="9">
        <f>F76*G76</f>
        <v/>
      </c>
      <c r="M76" s="11" t="n">
        <v>185000</v>
      </c>
      <c r="N76" s="11" t="n">
        <v>320000</v>
      </c>
      <c r="O76" s="11" t="n">
        <v>35000</v>
      </c>
      <c r="P76" s="11" t="n">
        <v>120000</v>
      </c>
      <c r="Q76" s="11">
        <f>M76+N76+O76+P76</f>
        <v/>
      </c>
      <c r="R76" s="13">
        <f>ROUND(L76*Q76, 0)</f>
        <v/>
      </c>
    </row>
    <row r="77">
      <c r="A77" s="20" t="n">
        <v>67</v>
      </c>
      <c r="B77" s="1" t="inlineStr">
        <is>
          <t>NB1: Tại công trình khai thác nước biển từ vịnh Vũng Mũ Tần suất quan trắc: 03 tháng/lần</t>
        </is>
      </c>
      <c r="C77" s="1" t="inlineStr">
        <is>
          <t>NB18</t>
        </is>
      </c>
      <c r="D77" s="1" t="inlineStr">
        <is>
          <t>Coliform</t>
        </is>
      </c>
      <c r="E77" s="20" t="inlineStr">
        <is>
          <t>MPN/100ml</t>
        </is>
      </c>
      <c r="F77" s="20" t="n">
        <v>1</v>
      </c>
      <c r="G77" s="20" t="n">
        <v>4</v>
      </c>
      <c r="H77" s="20" t="n">
        <v>1</v>
      </c>
      <c r="I77" s="20" t="n">
        <v>1</v>
      </c>
      <c r="J77" s="1" t="inlineStr"/>
      <c r="K77" s="1" t="inlineStr">
        <is>
          <t>II.6</t>
        </is>
      </c>
      <c r="L77" s="9">
        <f>F77*G77</f>
        <v/>
      </c>
      <c r="M77" s="11" t="n">
        <v>185000</v>
      </c>
      <c r="N77" s="11" t="n">
        <v>320000</v>
      </c>
      <c r="O77" s="11" t="n">
        <v>35000</v>
      </c>
      <c r="P77" s="11" t="n">
        <v>120000</v>
      </c>
      <c r="Q77" s="11">
        <f>M77+N77+O77+P77</f>
        <v/>
      </c>
      <c r="R77" s="13">
        <f>ROUND(L77*Q77, 0)</f>
        <v/>
      </c>
    </row>
    <row r="78">
      <c r="A78" s="15" t="inlineStr"/>
      <c r="B78" s="16" t="inlineStr"/>
      <c r="C78" s="16" t="inlineStr"/>
      <c r="D78" s="17" t="inlineStr">
        <is>
          <t>PHẦN: GIÁM SÁT GIÁM SÁT NƯỚC BIỂN VEN BỜ</t>
        </is>
      </c>
      <c r="E78" s="15" t="inlineStr"/>
      <c r="F78" s="15" t="inlineStr"/>
      <c r="G78" s="15" t="inlineStr"/>
      <c r="H78" s="15" t="inlineStr"/>
      <c r="I78" s="15" t="inlineStr"/>
      <c r="J78" s="16" t="inlineStr"/>
      <c r="K78" s="16" t="inlineStr"/>
      <c r="L78" s="18" t="inlineStr"/>
      <c r="M78" s="19" t="inlineStr"/>
      <c r="N78" s="19" t="inlineStr"/>
      <c r="O78" s="19" t="inlineStr"/>
      <c r="P78" s="19" t="inlineStr"/>
      <c r="Q78" s="19" t="inlineStr"/>
      <c r="R78" s="13" t="inlineStr"/>
    </row>
    <row r="79">
      <c r="A79" s="20" t="n">
        <v>68</v>
      </c>
      <c r="B79" s="1" t="inlineStr">
        <is>
          <t>NM1 – Tại khu vực cảng NM2 – Tại điểm xả nước làm mát ra biển của nhà máy NM3 – Trên biển đông cách điểm</t>
        </is>
      </c>
      <c r="C79" s="1" t="inlineStr">
        <is>
          <t>NB10</t>
        </is>
      </c>
      <c r="D79" s="1" t="inlineStr">
        <is>
          <t>pH</t>
        </is>
      </c>
      <c r="E79" s="20" t="inlineStr">
        <is>
          <t>-</t>
        </is>
      </c>
      <c r="F79" s="20" t="n">
        <v>5</v>
      </c>
      <c r="G79" s="20" t="n">
        <v>2</v>
      </c>
      <c r="H79" s="20" t="n">
        <v>1</v>
      </c>
      <c r="I79" s="20" t="n">
        <v>1</v>
      </c>
      <c r="J79" s="1" t="inlineStr"/>
      <c r="K79" s="1" t="inlineStr">
        <is>
          <t>II.6</t>
        </is>
      </c>
      <c r="L79" s="9">
        <f>F79*G79</f>
        <v/>
      </c>
      <c r="M79" s="11" t="n">
        <v>185000</v>
      </c>
      <c r="N79" s="11" t="n">
        <v>320000</v>
      </c>
      <c r="O79" s="11" t="n">
        <v>35000</v>
      </c>
      <c r="P79" s="11" t="n">
        <v>120000</v>
      </c>
      <c r="Q79" s="11">
        <f>M79+N79+O79+P79</f>
        <v/>
      </c>
      <c r="R79" s="13">
        <f>ROUND(L79*Q79, 0)</f>
        <v/>
      </c>
    </row>
    <row r="80">
      <c r="A80" s="20" t="n">
        <v>69</v>
      </c>
      <c r="B80" s="1" t="inlineStr">
        <is>
          <t>NM1 – Tại khu vực cảng NM2 – Tại điểm xả nước làm mát ra biển của nhà máy NM3 – Trên biển đông cách điểm</t>
        </is>
      </c>
      <c r="C80" s="1" t="inlineStr">
        <is>
          <t>NB5</t>
        </is>
      </c>
      <c r="D80" s="1" t="inlineStr">
        <is>
          <t>Nhiệt độ</t>
        </is>
      </c>
      <c r="E80" s="20" t="inlineStr">
        <is>
          <t>0C</t>
        </is>
      </c>
      <c r="F80" s="20" t="n">
        <v>5</v>
      </c>
      <c r="G80" s="20" t="n">
        <v>2</v>
      </c>
      <c r="H80" s="20" t="n">
        <v>1</v>
      </c>
      <c r="I80" s="20" t="n">
        <v>1</v>
      </c>
      <c r="J80" s="1" t="inlineStr"/>
      <c r="K80" s="1" t="inlineStr">
        <is>
          <t>II.6</t>
        </is>
      </c>
      <c r="L80" s="9">
        <f>F80*G80</f>
        <v/>
      </c>
      <c r="M80" s="11" t="n">
        <v>185000</v>
      </c>
      <c r="N80" s="11" t="n">
        <v>320000</v>
      </c>
      <c r="O80" s="11" t="n">
        <v>35000</v>
      </c>
      <c r="P80" s="11" t="n">
        <v>120000</v>
      </c>
      <c r="Q80" s="11">
        <f>M80+N80+O80+P80</f>
        <v/>
      </c>
      <c r="R80" s="13">
        <f>ROUND(L80*Q80, 0)</f>
        <v/>
      </c>
    </row>
    <row r="81">
      <c r="A81" s="20" t="n">
        <v>70</v>
      </c>
      <c r="B81" s="1" t="inlineStr">
        <is>
          <t>NM1 – Tại khu vực cảng NM2 – Tại điểm xả nước làm mát ra biển của nhà máy NM3 – Trên biển đông cách điểm</t>
        </is>
      </c>
      <c r="C81" s="1" t="inlineStr">
        <is>
          <t>NB11</t>
        </is>
      </c>
      <c r="D81" s="1" t="inlineStr">
        <is>
          <t>DO</t>
        </is>
      </c>
      <c r="E81" s="20" t="inlineStr">
        <is>
          <t>mg/l</t>
        </is>
      </c>
      <c r="F81" s="20" t="n">
        <v>5</v>
      </c>
      <c r="G81" s="20" t="n">
        <v>2</v>
      </c>
      <c r="H81" s="20" t="n">
        <v>1</v>
      </c>
      <c r="I81" s="20" t="n">
        <v>1</v>
      </c>
      <c r="J81" s="1" t="inlineStr"/>
      <c r="K81" s="1" t="inlineStr">
        <is>
          <t>II.6</t>
        </is>
      </c>
      <c r="L81" s="9">
        <f>F81*G81</f>
        <v/>
      </c>
      <c r="M81" s="11" t="n">
        <v>185000</v>
      </c>
      <c r="N81" s="11" t="n">
        <v>320000</v>
      </c>
      <c r="O81" s="11" t="n">
        <v>35000</v>
      </c>
      <c r="P81" s="11" t="n">
        <v>120000</v>
      </c>
      <c r="Q81" s="11">
        <f>M81+N81+O81+P81</f>
        <v/>
      </c>
      <c r="R81" s="13">
        <f>ROUND(L81*Q81, 0)</f>
        <v/>
      </c>
    </row>
    <row r="82">
      <c r="A82" s="20" t="n">
        <v>71</v>
      </c>
      <c r="B82" s="1" t="inlineStr">
        <is>
          <t>NM1 – Tại khu vực cảng NM2 – Tại điểm xả nước làm mát ra biển của nhà máy NM3 – Trên biển đông cách điểm</t>
        </is>
      </c>
      <c r="C82" s="1" t="inlineStr">
        <is>
          <t>NB17a</t>
        </is>
      </c>
      <c r="D82" s="1" t="inlineStr">
        <is>
          <t>Tổng chất rắn lơ</t>
        </is>
      </c>
      <c r="E82" s="20" t="inlineStr">
        <is>
          <t>mg/l</t>
        </is>
      </c>
      <c r="F82" s="20" t="n">
        <v>5</v>
      </c>
      <c r="G82" s="20" t="n">
        <v>2</v>
      </c>
      <c r="H82" s="20" t="n">
        <v>1</v>
      </c>
      <c r="I82" s="20" t="n">
        <v>1</v>
      </c>
      <c r="J82" s="1" t="inlineStr"/>
      <c r="K82" s="1" t="inlineStr">
        <is>
          <t>II.6</t>
        </is>
      </c>
      <c r="L82" s="9">
        <f>F82*G82</f>
        <v/>
      </c>
      <c r="M82" s="11" t="n">
        <v>185000</v>
      </c>
      <c r="N82" s="11" t="n">
        <v>320000</v>
      </c>
      <c r="O82" s="11" t="n">
        <v>35000</v>
      </c>
      <c r="P82" s="11" t="n">
        <v>120000</v>
      </c>
      <c r="Q82" s="11">
        <f>M82+N82+O82+P82</f>
        <v/>
      </c>
      <c r="R82" s="13">
        <f>ROUND(L82*Q82, 0)</f>
        <v/>
      </c>
    </row>
    <row r="83">
      <c r="A83" s="20" t="n">
        <v>72</v>
      </c>
      <c r="B83" s="1" t="inlineStr">
        <is>
          <t>NM1 – Tại khu vực cảng NM2 – Tại điểm xả nước làm mát ra biển của nhà máy NM3 – Trên biển đông cách điểm</t>
        </is>
      </c>
      <c r="C83" s="1" t="inlineStr">
        <is>
          <t>NB15</t>
        </is>
      </c>
      <c r="D83" s="1" t="inlineStr">
        <is>
          <t>Amoni (tính theo N)</t>
        </is>
      </c>
      <c r="E83" s="20" t="inlineStr">
        <is>
          <t>mg/l</t>
        </is>
      </c>
      <c r="F83" s="20" t="n">
        <v>5</v>
      </c>
      <c r="G83" s="20" t="n">
        <v>2</v>
      </c>
      <c r="H83" s="20" t="n">
        <v>1</v>
      </c>
      <c r="I83" s="20" t="n">
        <v>1</v>
      </c>
      <c r="J83" s="1" t="inlineStr"/>
      <c r="K83" s="1" t="inlineStr">
        <is>
          <t>II.6</t>
        </is>
      </c>
      <c r="L83" s="9">
        <f>F83*G83</f>
        <v/>
      </c>
      <c r="M83" s="11" t="n">
        <v>185000</v>
      </c>
      <c r="N83" s="11" t="n">
        <v>320000</v>
      </c>
      <c r="O83" s="11" t="n">
        <v>35000</v>
      </c>
      <c r="P83" s="11" t="n">
        <v>120000</v>
      </c>
      <c r="Q83" s="11">
        <f>M83+N83+O83+P83</f>
        <v/>
      </c>
      <c r="R83" s="13">
        <f>ROUND(L83*Q83, 0)</f>
        <v/>
      </c>
    </row>
    <row r="84">
      <c r="A84" s="20" t="n">
        <v>73</v>
      </c>
      <c r="B84" s="1" t="inlineStr">
        <is>
          <t>NM1 – Tại khu vực cảng NM2 – Tại điểm xả nước làm mát ra biển của nhà máy NM3 – Trên biển đông cách điểm</t>
        </is>
      </c>
      <c r="C84" s="1" t="inlineStr">
        <is>
          <t>NB10</t>
        </is>
      </c>
      <c r="D84" s="1" t="inlineStr">
        <is>
          <t>Phosphat</t>
        </is>
      </c>
      <c r="E84" s="20" t="inlineStr">
        <is>
          <t>mg/l</t>
        </is>
      </c>
      <c r="F84" s="20" t="n">
        <v>5</v>
      </c>
      <c r="G84" s="20" t="n">
        <v>2</v>
      </c>
      <c r="H84" s="20" t="n">
        <v>1</v>
      </c>
      <c r="I84" s="20" t="n">
        <v>1</v>
      </c>
      <c r="J84" s="1" t="inlineStr"/>
      <c r="K84" s="1" t="inlineStr">
        <is>
          <t>II.6</t>
        </is>
      </c>
      <c r="L84" s="9">
        <f>F84*G84</f>
        <v/>
      </c>
      <c r="M84" s="11" t="n">
        <v>185000</v>
      </c>
      <c r="N84" s="11" t="n">
        <v>320000</v>
      </c>
      <c r="O84" s="11" t="n">
        <v>35000</v>
      </c>
      <c r="P84" s="11" t="n">
        <v>120000</v>
      </c>
      <c r="Q84" s="11">
        <f>M84+N84+O84+P84</f>
        <v/>
      </c>
      <c r="R84" s="13">
        <f>ROUND(L84*Q84, 0)</f>
        <v/>
      </c>
    </row>
    <row r="85">
      <c r="A85" s="20" t="n">
        <v>74</v>
      </c>
      <c r="B85" s="1" t="inlineStr">
        <is>
          <t>NM1 – Tại khu vực cảng NM2 – Tại điểm xả nước làm mát ra biển của nhà máy NM3 – Trên biển đông cách điểm</t>
        </is>
      </c>
      <c r="C85" s="1" t="inlineStr">
        <is>
          <t>NB15</t>
        </is>
      </c>
      <c r="D85" s="1" t="inlineStr">
        <is>
          <t>Florua</t>
        </is>
      </c>
      <c r="E85" s="20" t="inlineStr">
        <is>
          <t>mg/l</t>
        </is>
      </c>
      <c r="F85" s="20" t="n">
        <v>5</v>
      </c>
      <c r="G85" s="20" t="n">
        <v>2</v>
      </c>
      <c r="H85" s="20" t="n">
        <v>1</v>
      </c>
      <c r="I85" s="20" t="n">
        <v>1</v>
      </c>
      <c r="J85" s="1" t="inlineStr"/>
      <c r="K85" s="1" t="inlineStr">
        <is>
          <t>II.6</t>
        </is>
      </c>
      <c r="L85" s="9">
        <f>F85*G85</f>
        <v/>
      </c>
      <c r="M85" s="11" t="n">
        <v>185000</v>
      </c>
      <c r="N85" s="11" t="n">
        <v>320000</v>
      </c>
      <c r="O85" s="11" t="n">
        <v>35000</v>
      </c>
      <c r="P85" s="11" t="n">
        <v>120000</v>
      </c>
      <c r="Q85" s="11">
        <f>M85+N85+O85+P85</f>
        <v/>
      </c>
      <c r="R85" s="13">
        <f>ROUND(L85*Q85, 0)</f>
        <v/>
      </c>
    </row>
    <row r="86">
      <c r="A86" s="20" t="n">
        <v>75</v>
      </c>
      <c r="B86" s="1" t="inlineStr">
        <is>
          <t>NM1 – Tại khu vực cảng NM2 – Tại điểm xả nước làm mát ra biển của nhà máy NM3 – Trên biển đông cách điểm</t>
        </is>
      </c>
      <c r="C86" s="1" t="inlineStr">
        <is>
          <t>NB20</t>
        </is>
      </c>
      <c r="D86" s="1" t="inlineStr">
        <is>
          <t>Xyanua</t>
        </is>
      </c>
      <c r="E86" s="20" t="inlineStr">
        <is>
          <t>mg/l</t>
        </is>
      </c>
      <c r="F86" s="20" t="n">
        <v>5</v>
      </c>
      <c r="G86" s="20" t="n">
        <v>2</v>
      </c>
      <c r="H86" s="20" t="n">
        <v>1</v>
      </c>
      <c r="I86" s="20" t="n">
        <v>1</v>
      </c>
      <c r="J86" s="1" t="inlineStr"/>
      <c r="K86" s="1" t="inlineStr">
        <is>
          <t>II.6</t>
        </is>
      </c>
      <c r="L86" s="9">
        <f>F86*G86</f>
        <v/>
      </c>
      <c r="M86" s="11" t="n">
        <v>185000</v>
      </c>
      <c r="N86" s="11" t="n">
        <v>320000</v>
      </c>
      <c r="O86" s="11" t="n">
        <v>35000</v>
      </c>
      <c r="P86" s="11" t="n">
        <v>120000</v>
      </c>
      <c r="Q86" s="11">
        <f>M86+N86+O86+P86</f>
        <v/>
      </c>
      <c r="R86" s="13">
        <f>ROUND(L86*Q86, 0)</f>
        <v/>
      </c>
    </row>
    <row r="87">
      <c r="A87" s="20" t="n">
        <v>76</v>
      </c>
      <c r="B87" s="1" t="inlineStr">
        <is>
          <t>NM1 – Tại khu vực cảng NM2 – Tại điểm xả nước làm mát ra biển của nhà máy NM3 – Trên biển đông cách điểm</t>
        </is>
      </c>
      <c r="C87" s="1" t="inlineStr">
        <is>
          <t>NB21</t>
        </is>
      </c>
      <c r="D87" s="1" t="inlineStr">
        <is>
          <t>Cd</t>
        </is>
      </c>
      <c r="E87" s="20" t="inlineStr">
        <is>
          <t>mg/l</t>
        </is>
      </c>
      <c r="F87" s="20" t="n">
        <v>5</v>
      </c>
      <c r="G87" s="20" t="n">
        <v>2</v>
      </c>
      <c r="H87" s="20" t="n">
        <v>1</v>
      </c>
      <c r="I87" s="20" t="n">
        <v>1</v>
      </c>
      <c r="J87" s="1" t="inlineStr"/>
      <c r="K87" s="1" t="inlineStr">
        <is>
          <t>II.6</t>
        </is>
      </c>
      <c r="L87" s="9">
        <f>F87*G87</f>
        <v/>
      </c>
      <c r="M87" s="11" t="n">
        <v>185000</v>
      </c>
      <c r="N87" s="11" t="n">
        <v>320000</v>
      </c>
      <c r="O87" s="11" t="n">
        <v>35000</v>
      </c>
      <c r="P87" s="11" t="n">
        <v>120000</v>
      </c>
      <c r="Q87" s="11">
        <f>M87+N87+O87+P87</f>
        <v/>
      </c>
      <c r="R87" s="13">
        <f>ROUND(L87*Q87, 0)</f>
        <v/>
      </c>
    </row>
    <row r="88">
      <c r="A88" s="20" t="n">
        <v>77</v>
      </c>
      <c r="B88" s="1" t="inlineStr">
        <is>
          <t>NM1 – Tại khu vực cảng NM2 – Tại điểm xả nước làm mát ra biển của nhà máy NM3 – Trên biển đông cách điểm</t>
        </is>
      </c>
      <c r="C88" s="1" t="inlineStr">
        <is>
          <t>NB21</t>
        </is>
      </c>
      <c r="D88" s="1" t="inlineStr">
        <is>
          <t>As</t>
        </is>
      </c>
      <c r="E88" s="20" t="inlineStr">
        <is>
          <t>mg/l</t>
        </is>
      </c>
      <c r="F88" s="20" t="n">
        <v>5</v>
      </c>
      <c r="G88" s="20" t="n">
        <v>2</v>
      </c>
      <c r="H88" s="20" t="n">
        <v>1</v>
      </c>
      <c r="I88" s="20" t="n">
        <v>1</v>
      </c>
      <c r="J88" s="1" t="inlineStr"/>
      <c r="K88" s="1" t="inlineStr">
        <is>
          <t>II.6</t>
        </is>
      </c>
      <c r="L88" s="9">
        <f>F88*G88</f>
        <v/>
      </c>
      <c r="M88" s="11" t="n">
        <v>185000</v>
      </c>
      <c r="N88" s="11" t="n">
        <v>320000</v>
      </c>
      <c r="O88" s="11" t="n">
        <v>35000</v>
      </c>
      <c r="P88" s="11" t="n">
        <v>120000</v>
      </c>
      <c r="Q88" s="11">
        <f>M88+N88+O88+P88</f>
        <v/>
      </c>
      <c r="R88" s="13">
        <f>ROUND(L88*Q88, 0)</f>
        <v/>
      </c>
    </row>
    <row r="89">
      <c r="A89" s="20" t="n">
        <v>78</v>
      </c>
      <c r="B89" s="1" t="inlineStr">
        <is>
          <t>NM1 – Tại khu vực cảng NM2 – Tại điểm xả nước làm mát ra biển của nhà máy NM3 – Trên biển đông cách điểm</t>
        </is>
      </c>
      <c r="C89" s="1" t="inlineStr">
        <is>
          <t>NB21</t>
        </is>
      </c>
      <c r="D89" s="1" t="inlineStr">
        <is>
          <t>Hg</t>
        </is>
      </c>
      <c r="E89" s="20" t="inlineStr">
        <is>
          <t>mg/l</t>
        </is>
      </c>
      <c r="F89" s="20" t="n">
        <v>5</v>
      </c>
      <c r="G89" s="20" t="n">
        <v>2</v>
      </c>
      <c r="H89" s="20" t="n">
        <v>1</v>
      </c>
      <c r="I89" s="20" t="n">
        <v>1</v>
      </c>
      <c r="J89" s="1" t="inlineStr"/>
      <c r="K89" s="1" t="inlineStr">
        <is>
          <t>II.6</t>
        </is>
      </c>
      <c r="L89" s="9">
        <f>F89*G89</f>
        <v/>
      </c>
      <c r="M89" s="11" t="n">
        <v>185000</v>
      </c>
      <c r="N89" s="11" t="n">
        <v>320000</v>
      </c>
      <c r="O89" s="11" t="n">
        <v>35000</v>
      </c>
      <c r="P89" s="11" t="n">
        <v>120000</v>
      </c>
      <c r="Q89" s="11">
        <f>M89+N89+O89+P89</f>
        <v/>
      </c>
      <c r="R89" s="13">
        <f>ROUND(L89*Q89, 0)</f>
        <v/>
      </c>
    </row>
    <row r="90">
      <c r="A90" s="20" t="n">
        <v>79</v>
      </c>
      <c r="B90" s="1" t="inlineStr">
        <is>
          <t>NM1 – Tại khu vực cảng NM2 – Tại điểm xả nước làm mát ra biển của nhà máy NM3 – Trên biển đông cách điểm</t>
        </is>
      </c>
      <c r="C90" s="1" t="inlineStr">
        <is>
          <t>NB21</t>
        </is>
      </c>
      <c r="D90" s="1" t="inlineStr">
        <is>
          <t>Cu</t>
        </is>
      </c>
      <c r="E90" s="20" t="inlineStr">
        <is>
          <t>mg/l</t>
        </is>
      </c>
      <c r="F90" s="20" t="n">
        <v>5</v>
      </c>
      <c r="G90" s="20" t="n">
        <v>2</v>
      </c>
      <c r="H90" s="20" t="n">
        <v>1</v>
      </c>
      <c r="I90" s="20" t="n">
        <v>1</v>
      </c>
      <c r="J90" s="1" t="inlineStr"/>
      <c r="K90" s="1" t="inlineStr">
        <is>
          <t>II.6</t>
        </is>
      </c>
      <c r="L90" s="9">
        <f>F90*G90</f>
        <v/>
      </c>
      <c r="M90" s="11" t="n">
        <v>185000</v>
      </c>
      <c r="N90" s="11" t="n">
        <v>320000</v>
      </c>
      <c r="O90" s="11" t="n">
        <v>35000</v>
      </c>
      <c r="P90" s="11" t="n">
        <v>120000</v>
      </c>
      <c r="Q90" s="11">
        <f>M90+N90+O90+P90</f>
        <v/>
      </c>
      <c r="R90" s="13">
        <f>ROUND(L90*Q90, 0)</f>
        <v/>
      </c>
    </row>
    <row r="91">
      <c r="A91" s="20" t="n">
        <v>80</v>
      </c>
      <c r="B91" s="1" t="inlineStr">
        <is>
          <t>NM1 – Tại khu vực cảng NM2 – Tại điểm xả nước làm mát ra biển của nhà máy NM3 – Trên biển đông cách điểm</t>
        </is>
      </c>
      <c r="C91" s="1" t="inlineStr">
        <is>
          <t>NB21</t>
        </is>
      </c>
      <c r="D91" s="1" t="inlineStr">
        <is>
          <t>Pb</t>
        </is>
      </c>
      <c r="E91" s="20" t="inlineStr">
        <is>
          <t>mg/l</t>
        </is>
      </c>
      <c r="F91" s="20" t="n">
        <v>5</v>
      </c>
      <c r="G91" s="20" t="n">
        <v>2</v>
      </c>
      <c r="H91" s="20" t="n">
        <v>1</v>
      </c>
      <c r="I91" s="20" t="n">
        <v>1</v>
      </c>
      <c r="J91" s="1" t="inlineStr"/>
      <c r="K91" s="1" t="inlineStr">
        <is>
          <t>II.6</t>
        </is>
      </c>
      <c r="L91" s="9">
        <f>F91*G91</f>
        <v/>
      </c>
      <c r="M91" s="11" t="n">
        <v>185000</v>
      </c>
      <c r="N91" s="11" t="n">
        <v>320000</v>
      </c>
      <c r="O91" s="11" t="n">
        <v>35000</v>
      </c>
      <c r="P91" s="11" t="n">
        <v>120000</v>
      </c>
      <c r="Q91" s="11">
        <f>M91+N91+O91+P91</f>
        <v/>
      </c>
      <c r="R91" s="13">
        <f>ROUND(L91*Q91, 0)</f>
        <v/>
      </c>
    </row>
    <row r="92">
      <c r="A92" s="20" t="n">
        <v>81</v>
      </c>
      <c r="B92" s="1" t="inlineStr">
        <is>
          <t>NM1 – Tại khu vực cảng NM2 – Tại điểm xả nước làm mát ra biển của nhà máy NM3 – Trên biển đông cách điểm</t>
        </is>
      </c>
      <c r="C92" s="1" t="inlineStr">
        <is>
          <t>NB21</t>
        </is>
      </c>
      <c r="D92" s="1" t="inlineStr">
        <is>
          <t>Fe</t>
        </is>
      </c>
      <c r="E92" s="20" t="inlineStr">
        <is>
          <t>mg/l</t>
        </is>
      </c>
      <c r="F92" s="20" t="n">
        <v>5</v>
      </c>
      <c r="G92" s="20" t="n">
        <v>2</v>
      </c>
      <c r="H92" s="20" t="n">
        <v>1</v>
      </c>
      <c r="I92" s="20" t="n">
        <v>1</v>
      </c>
      <c r="J92" s="1" t="inlineStr"/>
      <c r="K92" s="1" t="inlineStr">
        <is>
          <t>II.6</t>
        </is>
      </c>
      <c r="L92" s="9">
        <f>F92*G92</f>
        <v/>
      </c>
      <c r="M92" s="11" t="n">
        <v>185000</v>
      </c>
      <c r="N92" s="11" t="n">
        <v>320000</v>
      </c>
      <c r="O92" s="11" t="n">
        <v>35000</v>
      </c>
      <c r="P92" s="11" t="n">
        <v>120000</v>
      </c>
      <c r="Q92" s="11">
        <f>M92+N92+O92+P92</f>
        <v/>
      </c>
      <c r="R92" s="13">
        <f>ROUND(L92*Q92, 0)</f>
        <v/>
      </c>
    </row>
    <row r="93">
      <c r="A93" s="20" t="n">
        <v>82</v>
      </c>
      <c r="B93" s="1" t="inlineStr">
        <is>
          <t>NM1 – Tại khu vực cảng NM2 – Tại điểm xả nước làm mát ra biển của nhà máy NM3 – Trên biển đông cách điểm</t>
        </is>
      </c>
      <c r="C93" s="1" t="inlineStr">
        <is>
          <t>NB21</t>
        </is>
      </c>
      <c r="D93" s="1" t="inlineStr">
        <is>
          <t>Zn</t>
        </is>
      </c>
      <c r="E93" s="20" t="inlineStr">
        <is>
          <t>mg/l</t>
        </is>
      </c>
      <c r="F93" s="20" t="n">
        <v>5</v>
      </c>
      <c r="G93" s="20" t="n">
        <v>2</v>
      </c>
      <c r="H93" s="20" t="n">
        <v>1</v>
      </c>
      <c r="I93" s="20" t="n">
        <v>1</v>
      </c>
      <c r="J93" s="1" t="inlineStr"/>
      <c r="K93" s="1" t="inlineStr">
        <is>
          <t>II.6</t>
        </is>
      </c>
      <c r="L93" s="9">
        <f>F93*G93</f>
        <v/>
      </c>
      <c r="M93" s="11" t="n">
        <v>185000</v>
      </c>
      <c r="N93" s="11" t="n">
        <v>320000</v>
      </c>
      <c r="O93" s="11" t="n">
        <v>35000</v>
      </c>
      <c r="P93" s="11" t="n">
        <v>120000</v>
      </c>
      <c r="Q93" s="11">
        <f>M93+N93+O93+P93</f>
        <v/>
      </c>
      <c r="R93" s="13">
        <f>ROUND(L93*Q93, 0)</f>
        <v/>
      </c>
    </row>
    <row r="94">
      <c r="A94" s="20" t="n">
        <v>83</v>
      </c>
      <c r="B94" s="1" t="inlineStr">
        <is>
          <t>NM1 – Tại khu vực cảng NM2 – Tại điểm xả nước làm mát ra biển của nhà máy NM3 – Trên biển đông cách điểm</t>
        </is>
      </c>
      <c r="C94" s="1" t="inlineStr">
        <is>
          <t>NB21</t>
        </is>
      </c>
      <c r="D94" s="1" t="inlineStr">
        <is>
          <t>Tổng Cr</t>
        </is>
      </c>
      <c r="E94" s="20" t="inlineStr">
        <is>
          <t>mg/l</t>
        </is>
      </c>
      <c r="F94" s="20" t="n">
        <v>5</v>
      </c>
      <c r="G94" s="20" t="n">
        <v>2</v>
      </c>
      <c r="H94" s="20" t="n">
        <v>1</v>
      </c>
      <c r="I94" s="20" t="n">
        <v>1</v>
      </c>
      <c r="J94" s="1" t="inlineStr"/>
      <c r="K94" s="1" t="inlineStr">
        <is>
          <t>II.6</t>
        </is>
      </c>
      <c r="L94" s="9">
        <f>F94*G94</f>
        <v/>
      </c>
      <c r="M94" s="11" t="n">
        <v>185000</v>
      </c>
      <c r="N94" s="11" t="n">
        <v>320000</v>
      </c>
      <c r="O94" s="11" t="n">
        <v>35000</v>
      </c>
      <c r="P94" s="11" t="n">
        <v>120000</v>
      </c>
      <c r="Q94" s="11">
        <f>M94+N94+O94+P94</f>
        <v/>
      </c>
      <c r="R94" s="13">
        <f>ROUND(L94*Q94, 0)</f>
        <v/>
      </c>
    </row>
    <row r="95">
      <c r="A95" s="20" t="n">
        <v>84</v>
      </c>
      <c r="B95" s="1" t="inlineStr">
        <is>
          <t>NM1 – Tại khu vực cảng NM2 – Tại điểm xả nước làm mát ra biển của nhà máy NM3 – Trên biển đông cách điểm</t>
        </is>
      </c>
      <c r="C95" s="1" t="inlineStr">
        <is>
          <t>NB21</t>
        </is>
      </c>
      <c r="D95" s="1" t="inlineStr">
        <is>
          <t>Mn</t>
        </is>
      </c>
      <c r="E95" s="20" t="inlineStr">
        <is>
          <t>mg/l</t>
        </is>
      </c>
      <c r="F95" s="20" t="n">
        <v>5</v>
      </c>
      <c r="G95" s="20" t="n">
        <v>2</v>
      </c>
      <c r="H95" s="20" t="n">
        <v>1</v>
      </c>
      <c r="I95" s="20" t="n">
        <v>1</v>
      </c>
      <c r="J95" s="1" t="inlineStr"/>
      <c r="K95" s="1" t="inlineStr">
        <is>
          <t>II.6</t>
        </is>
      </c>
      <c r="L95" s="9">
        <f>F95*G95</f>
        <v/>
      </c>
      <c r="M95" s="11" t="n">
        <v>185000</v>
      </c>
      <c r="N95" s="11" t="n">
        <v>320000</v>
      </c>
      <c r="O95" s="11" t="n">
        <v>35000</v>
      </c>
      <c r="P95" s="11" t="n">
        <v>120000</v>
      </c>
      <c r="Q95" s="11">
        <f>M95+N95+O95+P95</f>
        <v/>
      </c>
      <c r="R95" s="13">
        <f>ROUND(L95*Q95, 0)</f>
        <v/>
      </c>
    </row>
    <row r="96">
      <c r="A96" s="20" t="n">
        <v>85</v>
      </c>
      <c r="B96" s="1" t="inlineStr">
        <is>
          <t>NM1 – Tại khu vực cảng NM2 – Tại điểm xả nước làm mát ra biển của nhà máy NM3 – Trên biển đông cách điểm</t>
        </is>
      </c>
      <c r="C96" s="1" t="inlineStr">
        <is>
          <t>NB21</t>
        </is>
      </c>
      <c r="D96" s="1" t="inlineStr">
        <is>
          <t>Cr VI</t>
        </is>
      </c>
      <c r="E96" s="20" t="inlineStr">
        <is>
          <t>mg/l</t>
        </is>
      </c>
      <c r="F96" s="20" t="n">
        <v>5</v>
      </c>
      <c r="G96" s="20" t="n">
        <v>2</v>
      </c>
      <c r="H96" s="20" t="n">
        <v>1</v>
      </c>
      <c r="I96" s="20" t="n">
        <v>1</v>
      </c>
      <c r="J96" s="1" t="inlineStr"/>
      <c r="K96" s="1" t="inlineStr">
        <is>
          <t>II.6</t>
        </is>
      </c>
      <c r="L96" s="9">
        <f>F96*G96</f>
        <v/>
      </c>
      <c r="M96" s="11" t="n">
        <v>185000</v>
      </c>
      <c r="N96" s="11" t="n">
        <v>320000</v>
      </c>
      <c r="O96" s="11" t="n">
        <v>35000</v>
      </c>
      <c r="P96" s="11" t="n">
        <v>120000</v>
      </c>
      <c r="Q96" s="11">
        <f>M96+N96+O96+P96</f>
        <v/>
      </c>
      <c r="R96" s="13">
        <f>ROUND(L96*Q96, 0)</f>
        <v/>
      </c>
    </row>
    <row r="97">
      <c r="A97" s="20" t="n">
        <v>86</v>
      </c>
      <c r="B97" s="1" t="inlineStr">
        <is>
          <t>NM1 – Tại khu vực cảng NM2 – Tại điểm xả nước làm mát ra biển của nhà máy NM3 – Trên biển đông cách điểm</t>
        </is>
      </c>
      <c r="C97" s="1" t="inlineStr">
        <is>
          <t>NB10</t>
        </is>
      </c>
      <c r="D97" s="1" t="inlineStr">
        <is>
          <t>Tổng Phenol</t>
        </is>
      </c>
      <c r="E97" s="20" t="inlineStr">
        <is>
          <t>mg/l</t>
        </is>
      </c>
      <c r="F97" s="20" t="n">
        <v>5</v>
      </c>
      <c r="G97" s="20" t="n">
        <v>2</v>
      </c>
      <c r="H97" s="20" t="n">
        <v>1</v>
      </c>
      <c r="I97" s="20" t="n">
        <v>1</v>
      </c>
      <c r="J97" s="1" t="inlineStr"/>
      <c r="K97" s="1" t="inlineStr">
        <is>
          <t>II.6</t>
        </is>
      </c>
      <c r="L97" s="9">
        <f>F97*G97</f>
        <v/>
      </c>
      <c r="M97" s="11" t="n">
        <v>185000</v>
      </c>
      <c r="N97" s="11" t="n">
        <v>320000</v>
      </c>
      <c r="O97" s="11" t="n">
        <v>35000</v>
      </c>
      <c r="P97" s="11" t="n">
        <v>120000</v>
      </c>
      <c r="Q97" s="11">
        <f>M97+N97+O97+P97</f>
        <v/>
      </c>
      <c r="R97" s="13">
        <f>ROUND(L97*Q97, 0)</f>
        <v/>
      </c>
    </row>
    <row r="98">
      <c r="A98" s="20" t="n">
        <v>87</v>
      </c>
      <c r="B98" s="1" t="inlineStr">
        <is>
          <t>NM1 – Tại khu vực cảng NM2 – Tại điểm xả nước làm mát ra biển của nhà máy NM3 – Trên biển đông cách điểm</t>
        </is>
      </c>
      <c r="C98" s="1" t="inlineStr">
        <is>
          <t>NB22</t>
        </is>
      </c>
      <c r="D98" s="1" t="inlineStr">
        <is>
          <t>Tổng dầu mỡ khoáng</t>
        </is>
      </c>
      <c r="E98" s="20" t="inlineStr">
        <is>
          <t>mg/l</t>
        </is>
      </c>
      <c r="F98" s="20" t="n">
        <v>5</v>
      </c>
      <c r="G98" s="20" t="n">
        <v>2</v>
      </c>
      <c r="H98" s="20" t="n">
        <v>1</v>
      </c>
      <c r="I98" s="20" t="n">
        <v>1</v>
      </c>
      <c r="J98" s="1" t="inlineStr"/>
      <c r="K98" s="1" t="inlineStr">
        <is>
          <t>II.6</t>
        </is>
      </c>
      <c r="L98" s="9">
        <f>F98*G98</f>
        <v/>
      </c>
      <c r="M98" s="11" t="n">
        <v>185000</v>
      </c>
      <c r="N98" s="11" t="n">
        <v>320000</v>
      </c>
      <c r="O98" s="11" t="n">
        <v>35000</v>
      </c>
      <c r="P98" s="11" t="n">
        <v>120000</v>
      </c>
      <c r="Q98" s="11">
        <f>M98+N98+O98+P98</f>
        <v/>
      </c>
      <c r="R98" s="13">
        <f>ROUND(L98*Q98, 0)</f>
        <v/>
      </c>
    </row>
    <row r="99">
      <c r="A99" s="20" t="n">
        <v>88</v>
      </c>
      <c r="B99" s="1" t="inlineStr">
        <is>
          <t>NM1 – Tại khu vực cảng NM2 – Tại điểm xả nước làm mát ra biển của nhà máy NM3 – Trên biển đông cách điểm</t>
        </is>
      </c>
      <c r="C99" s="1" t="inlineStr">
        <is>
          <t>NB18</t>
        </is>
      </c>
      <c r="D99" s="1" t="inlineStr">
        <is>
          <t>Coliform</t>
        </is>
      </c>
      <c r="E99" s="20" t="inlineStr">
        <is>
          <t>MPN/100ml</t>
        </is>
      </c>
      <c r="F99" s="20" t="n">
        <v>5</v>
      </c>
      <c r="G99" s="20" t="n">
        <v>2</v>
      </c>
      <c r="H99" s="20" t="n">
        <v>1</v>
      </c>
      <c r="I99" s="20" t="n">
        <v>1</v>
      </c>
      <c r="J99" s="1" t="inlineStr"/>
      <c r="K99" s="1" t="inlineStr">
        <is>
          <t>II.6</t>
        </is>
      </c>
      <c r="L99" s="9">
        <f>F99*G99</f>
        <v/>
      </c>
      <c r="M99" s="11" t="n">
        <v>185000</v>
      </c>
      <c r="N99" s="11" t="n">
        <v>320000</v>
      </c>
      <c r="O99" s="11" t="n">
        <v>35000</v>
      </c>
      <c r="P99" s="11" t="n">
        <v>120000</v>
      </c>
      <c r="Q99" s="11">
        <f>M99+N99+O99+P99</f>
        <v/>
      </c>
      <c r="R99" s="13">
        <f>ROUND(L99*Q99, 0)</f>
        <v/>
      </c>
    </row>
    <row r="100">
      <c r="A100" s="15" t="inlineStr"/>
      <c r="B100" s="16" t="inlineStr"/>
      <c r="C100" s="16" t="inlineStr"/>
      <c r="D100" s="17" t="inlineStr">
        <is>
          <t>PHẦN: GIÁM SÁT GIÁM SÁT HỆ SINH THÁI THỦY SINH</t>
        </is>
      </c>
      <c r="E100" s="15" t="inlineStr"/>
      <c r="F100" s="15" t="inlineStr"/>
      <c r="G100" s="15" t="inlineStr"/>
      <c r="H100" s="15" t="inlineStr"/>
      <c r="I100" s="15" t="inlineStr"/>
      <c r="J100" s="16" t="inlineStr"/>
      <c r="K100" s="16" t="inlineStr"/>
      <c r="L100" s="18" t="inlineStr"/>
      <c r="M100" s="19" t="inlineStr"/>
      <c r="N100" s="19" t="inlineStr"/>
      <c r="O100" s="19" t="inlineStr"/>
      <c r="P100" s="19" t="inlineStr"/>
      <c r="Q100" s="19" t="inlineStr"/>
      <c r="R100" s="13" t="inlineStr"/>
    </row>
    <row r="101">
      <c r="A101" s="20" t="n">
        <v>89</v>
      </c>
      <c r="B101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1" s="1" t="inlineStr">
        <is>
          <t>NB10</t>
        </is>
      </c>
      <c r="D101" s="1" t="inlineStr">
        <is>
          <t>Phiêu sinh thực vật</t>
        </is>
      </c>
      <c r="E101" s="20" t="inlineStr"/>
      <c r="F101" s="20" t="n">
        <v>5</v>
      </c>
      <c r="G101" s="20" t="n">
        <v>1</v>
      </c>
      <c r="H101" s="20" t="n">
        <v>1</v>
      </c>
      <c r="I101" s="20" t="n">
        <v>1</v>
      </c>
      <c r="J101" s="1" t="inlineStr"/>
      <c r="K101" s="1" t="inlineStr">
        <is>
          <t>II.6</t>
        </is>
      </c>
      <c r="L101" s="9">
        <f>F101*G101</f>
        <v/>
      </c>
      <c r="M101" s="11" t="n">
        <v>185000</v>
      </c>
      <c r="N101" s="11" t="n">
        <v>320000</v>
      </c>
      <c r="O101" s="11" t="n">
        <v>35000</v>
      </c>
      <c r="P101" s="11" t="n">
        <v>120000</v>
      </c>
      <c r="Q101" s="11">
        <f>M101+N101+O101+P101</f>
        <v/>
      </c>
      <c r="R101" s="13">
        <f>ROUND(L101*Q101, 0)</f>
        <v/>
      </c>
    </row>
    <row r="102">
      <c r="A102" s="20" t="n">
        <v>90</v>
      </c>
      <c r="B102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2" s="1" t="inlineStr">
        <is>
          <t>NB10</t>
        </is>
      </c>
      <c r="D102" s="1" t="inlineStr">
        <is>
          <t>Phiêu sinh động vật</t>
        </is>
      </c>
      <c r="E102" s="20" t="inlineStr"/>
      <c r="F102" s="20" t="n">
        <v>5</v>
      </c>
      <c r="G102" s="20" t="n">
        <v>1</v>
      </c>
      <c r="H102" s="20" t="n">
        <v>1</v>
      </c>
      <c r="I102" s="20" t="n">
        <v>1</v>
      </c>
      <c r="J102" s="1" t="inlineStr"/>
      <c r="K102" s="1" t="inlineStr">
        <is>
          <t>II.6</t>
        </is>
      </c>
      <c r="L102" s="9">
        <f>F102*G102</f>
        <v/>
      </c>
      <c r="M102" s="11" t="n">
        <v>185000</v>
      </c>
      <c r="N102" s="11" t="n">
        <v>320000</v>
      </c>
      <c r="O102" s="11" t="n">
        <v>35000</v>
      </c>
      <c r="P102" s="11" t="n">
        <v>120000</v>
      </c>
      <c r="Q102" s="11">
        <f>M102+N102+O102+P102</f>
        <v/>
      </c>
      <c r="R102" s="13">
        <f>ROUND(L102*Q102, 0)</f>
        <v/>
      </c>
    </row>
    <row r="103">
      <c r="A103" s="20" t="n">
        <v>91</v>
      </c>
      <c r="B103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3" s="1" t="inlineStr">
        <is>
          <t>NB19c</t>
        </is>
      </c>
      <c r="D103" s="1" t="inlineStr">
        <is>
          <t>Động vật đáy</t>
        </is>
      </c>
      <c r="E103" s="20" t="inlineStr"/>
      <c r="F103" s="20" t="n">
        <v>5</v>
      </c>
      <c r="G103" s="20" t="n">
        <v>1</v>
      </c>
      <c r="H103" s="20" t="n">
        <v>1</v>
      </c>
      <c r="I103" s="20" t="n">
        <v>1</v>
      </c>
      <c r="J103" s="1" t="inlineStr"/>
      <c r="K103" s="1" t="inlineStr">
        <is>
          <t>II.6</t>
        </is>
      </c>
      <c r="L103" s="9">
        <f>F103*G103</f>
        <v/>
      </c>
      <c r="M103" s="11" t="n">
        <v>185000</v>
      </c>
      <c r="N103" s="11" t="n">
        <v>320000</v>
      </c>
      <c r="O103" s="11" t="n">
        <v>35000</v>
      </c>
      <c r="P103" s="11" t="n">
        <v>120000</v>
      </c>
      <c r="Q103" s="11">
        <f>M103+N103+O103+P103</f>
        <v/>
      </c>
      <c r="R103" s="13">
        <f>ROUND(L103*Q103, 0)</f>
        <v/>
      </c>
    </row>
    <row r="104">
      <c r="A104" s="15" t="inlineStr"/>
      <c r="B104" s="16" t="inlineStr"/>
      <c r="C104" s="16" t="inlineStr"/>
      <c r="D104" s="17" t="inlineStr">
        <is>
          <t>PHẦN: GIÁM SÁT GIÁM SÁT NƯỚC THẢI</t>
        </is>
      </c>
      <c r="E104" s="15" t="inlineStr"/>
      <c r="F104" s="15" t="inlineStr"/>
      <c r="G104" s="15" t="inlineStr"/>
      <c r="H104" s="15" t="inlineStr"/>
      <c r="I104" s="15" t="inlineStr"/>
      <c r="J104" s="16" t="inlineStr"/>
      <c r="K104" s="16" t="inlineStr"/>
      <c r="L104" s="18" t="inlineStr"/>
      <c r="M104" s="19" t="inlineStr"/>
      <c r="N104" s="19" t="inlineStr"/>
      <c r="O104" s="19" t="inlineStr"/>
      <c r="P104" s="19" t="inlineStr"/>
      <c r="Q104" s="19" t="inlineStr"/>
      <c r="R104" s="13" t="inlineStr"/>
    </row>
    <row r="105">
      <c r="A105" s="20" t="n">
        <v>92</v>
      </c>
      <c r="B105" s="1" t="inlineStr">
        <is>
          <t>NT3: Tại bể chứa nước thải sau xử lý từ hệ thống xử lý nước thải tập trung Tần suất quan trắc: 03 tháng/lần</t>
        </is>
      </c>
      <c r="C105" s="1" t="inlineStr">
        <is>
          <t>NT4b</t>
        </is>
      </c>
      <c r="D105" s="1" t="inlineStr">
        <is>
          <t>Màu</t>
        </is>
      </c>
      <c r="E105" s="20" t="inlineStr">
        <is>
          <t>mg/l</t>
        </is>
      </c>
      <c r="F105" s="20" t="n">
        <v>1</v>
      </c>
      <c r="G105" s="20" t="n">
        <v>4</v>
      </c>
      <c r="H105" s="20" t="n">
        <v>1</v>
      </c>
      <c r="I105" s="20" t="n">
        <v>1</v>
      </c>
      <c r="J105" s="1" t="inlineStr"/>
      <c r="K105" s="1" t="inlineStr">
        <is>
          <t>II.9</t>
        </is>
      </c>
      <c r="L105" s="9">
        <f>F105*G105</f>
        <v/>
      </c>
      <c r="M105" s="11" t="n">
        <v>185000</v>
      </c>
      <c r="N105" s="11" t="n">
        <v>320000</v>
      </c>
      <c r="O105" s="11" t="n">
        <v>35000</v>
      </c>
      <c r="P105" s="11" t="n">
        <v>120000</v>
      </c>
      <c r="Q105" s="11">
        <f>M105+N105+O105+P105</f>
        <v/>
      </c>
      <c r="R105" s="13">
        <f>ROUND(L105*Q105, 0)</f>
        <v/>
      </c>
    </row>
    <row r="106">
      <c r="A106" s="20" t="n">
        <v>93</v>
      </c>
      <c r="B106" s="1" t="inlineStr">
        <is>
          <t>NT3: Tại bể chứa nước thải sau xử lý từ hệ thống xử lý nước thải tập trung Tần suất quan trắc: 03 tháng/lần</t>
        </is>
      </c>
      <c r="C106" s="1" t="inlineStr">
        <is>
          <t>NT5a</t>
        </is>
      </c>
      <c r="D106" s="1" t="inlineStr">
        <is>
          <t>BOD5</t>
        </is>
      </c>
      <c r="E106" s="20" t="inlineStr">
        <is>
          <t>mg/l</t>
        </is>
      </c>
      <c r="F106" s="20" t="n">
        <v>1</v>
      </c>
      <c r="G106" s="20" t="n">
        <v>4</v>
      </c>
      <c r="H106" s="20" t="n">
        <v>1</v>
      </c>
      <c r="I106" s="20" t="n">
        <v>1</v>
      </c>
      <c r="J106" s="1" t="inlineStr"/>
      <c r="K106" s="1" t="inlineStr">
        <is>
          <t>II.9</t>
        </is>
      </c>
      <c r="L106" s="9">
        <f>F106*G106</f>
        <v/>
      </c>
      <c r="M106" s="11" t="n">
        <v>185000</v>
      </c>
      <c r="N106" s="11" t="n">
        <v>320000</v>
      </c>
      <c r="O106" s="11" t="n">
        <v>35000</v>
      </c>
      <c r="P106" s="11" t="n">
        <v>120000</v>
      </c>
      <c r="Q106" s="11">
        <f>M106+N106+O106+P106</f>
        <v/>
      </c>
      <c r="R106" s="13">
        <f>ROUND(L106*Q106, 0)</f>
        <v/>
      </c>
    </row>
    <row r="107">
      <c r="A107" s="20" t="n">
        <v>94</v>
      </c>
      <c r="B107" s="1" t="inlineStr">
        <is>
          <t>NT3: Tại bể chứa nước thải sau xử lý từ hệ thống xử lý nước thải tập trung Tần suất quan trắc: 03 tháng/lần</t>
        </is>
      </c>
      <c r="C107" s="1" t="inlineStr">
        <is>
          <t>NT10l1</t>
        </is>
      </c>
      <c r="D107" s="1" t="inlineStr">
        <is>
          <t>Asen</t>
        </is>
      </c>
      <c r="E107" s="20" t="inlineStr">
        <is>
          <t>mg/l</t>
        </is>
      </c>
      <c r="F107" s="20" t="n">
        <v>1</v>
      </c>
      <c r="G107" s="20" t="n">
        <v>4</v>
      </c>
      <c r="H107" s="20" t="n">
        <v>1</v>
      </c>
      <c r="I107" s="20" t="n">
        <v>1</v>
      </c>
      <c r="J107" s="1" t="inlineStr"/>
      <c r="K107" s="1" t="inlineStr">
        <is>
          <t>II.9</t>
        </is>
      </c>
      <c r="L107" s="9">
        <f>F107*G107</f>
        <v/>
      </c>
      <c r="M107" s="11" t="n">
        <v>185000</v>
      </c>
      <c r="N107" s="11" t="n">
        <v>320000</v>
      </c>
      <c r="O107" s="11" t="n">
        <v>35000</v>
      </c>
      <c r="P107" s="11" t="n">
        <v>120000</v>
      </c>
      <c r="Q107" s="11">
        <f>M107+N107+O107+P107</f>
        <v/>
      </c>
      <c r="R107" s="13">
        <f>ROUND(L107*Q107, 0)</f>
        <v/>
      </c>
    </row>
    <row r="108">
      <c r="A108" s="20" t="n">
        <v>95</v>
      </c>
      <c r="B108" s="1" t="inlineStr">
        <is>
          <t>NT3: Tại bể chứa nước thải sau xử lý từ hệ thống xử lý nước thải tập trung Tần suất quan trắc: 03 tháng/lần</t>
        </is>
      </c>
      <c r="C108" s="1" t="inlineStr">
        <is>
          <t>NT10l2</t>
        </is>
      </c>
      <c r="D108" s="1" t="inlineStr">
        <is>
          <t>Thủy ngân</t>
        </is>
      </c>
      <c r="E108" s="20" t="inlineStr">
        <is>
          <t>mg/l</t>
        </is>
      </c>
      <c r="F108" s="20" t="n">
        <v>1</v>
      </c>
      <c r="G108" s="20" t="n">
        <v>4</v>
      </c>
      <c r="H108" s="20" t="n">
        <v>1</v>
      </c>
      <c r="I108" s="20" t="n">
        <v>1</v>
      </c>
      <c r="J108" s="1" t="inlineStr"/>
      <c r="K108" s="1" t="inlineStr">
        <is>
          <t>II.9</t>
        </is>
      </c>
      <c r="L108" s="9">
        <f>F108*G108</f>
        <v/>
      </c>
      <c r="M108" s="11" t="n">
        <v>185000</v>
      </c>
      <c r="N108" s="11" t="n">
        <v>320000</v>
      </c>
      <c r="O108" s="11" t="n">
        <v>35000</v>
      </c>
      <c r="P108" s="11" t="n">
        <v>120000</v>
      </c>
      <c r="Q108" s="11">
        <f>M108+N108+O108+P108</f>
        <v/>
      </c>
      <c r="R108" s="13">
        <f>ROUND(L108*Q108, 0)</f>
        <v/>
      </c>
    </row>
    <row r="109">
      <c r="A109" s="20" t="n">
        <v>96</v>
      </c>
      <c r="B109" s="1" t="inlineStr">
        <is>
          <t>NT3: Tại bể chứa nước thải sau xử lý từ hệ thống xử lý nước thải tập trung Tần suất quan trắc: 03 tháng/lần</t>
        </is>
      </c>
      <c r="C109" s="1" t="inlineStr">
        <is>
          <t>NT10k1</t>
        </is>
      </c>
      <c r="D109" s="1" t="inlineStr">
        <is>
          <t>Chì</t>
        </is>
      </c>
      <c r="E109" s="20" t="inlineStr">
        <is>
          <t>mg/l</t>
        </is>
      </c>
      <c r="F109" s="20" t="n">
        <v>1</v>
      </c>
      <c r="G109" s="20" t="n">
        <v>4</v>
      </c>
      <c r="H109" s="20" t="n">
        <v>1</v>
      </c>
      <c r="I109" s="20" t="n">
        <v>1</v>
      </c>
      <c r="J109" s="1" t="inlineStr"/>
      <c r="K109" s="1" t="inlineStr">
        <is>
          <t>II.9</t>
        </is>
      </c>
      <c r="L109" s="9">
        <f>F109*G109</f>
        <v/>
      </c>
      <c r="M109" s="11" t="n">
        <v>185000</v>
      </c>
      <c r="N109" s="11" t="n">
        <v>320000</v>
      </c>
      <c r="O109" s="11" t="n">
        <v>35000</v>
      </c>
      <c r="P109" s="11" t="n">
        <v>120000</v>
      </c>
      <c r="Q109" s="11">
        <f>M109+N109+O109+P109</f>
        <v/>
      </c>
      <c r="R109" s="13">
        <f>ROUND(L109*Q109, 0)</f>
        <v/>
      </c>
    </row>
    <row r="110">
      <c r="A110" s="20" t="n">
        <v>97</v>
      </c>
      <c r="B110" s="1" t="inlineStr">
        <is>
          <t>NT3: Tại bể chứa nước thải sau xử lý từ hệ thống xử lý nước thải tập trung Tần suất quan trắc: 03 tháng/lần</t>
        </is>
      </c>
      <c r="C110" s="1" t="inlineStr">
        <is>
          <t>NT10k2</t>
        </is>
      </c>
      <c r="D110" s="1" t="inlineStr">
        <is>
          <t>Cadimi</t>
        </is>
      </c>
      <c r="E110" s="20" t="inlineStr">
        <is>
          <t>mg/l</t>
        </is>
      </c>
      <c r="F110" s="20" t="n">
        <v>1</v>
      </c>
      <c r="G110" s="20" t="n">
        <v>4</v>
      </c>
      <c r="H110" s="20" t="n">
        <v>1</v>
      </c>
      <c r="I110" s="20" t="n">
        <v>1</v>
      </c>
      <c r="J110" s="1" t="inlineStr"/>
      <c r="K110" s="1" t="inlineStr">
        <is>
          <t>II.9</t>
        </is>
      </c>
      <c r="L110" s="9">
        <f>F110*G110</f>
        <v/>
      </c>
      <c r="M110" s="11" t="n">
        <v>185000</v>
      </c>
      <c r="N110" s="11" t="n">
        <v>320000</v>
      </c>
      <c r="O110" s="11" t="n">
        <v>35000</v>
      </c>
      <c r="P110" s="11" t="n">
        <v>120000</v>
      </c>
      <c r="Q110" s="11">
        <f>M110+N110+O110+P110</f>
        <v/>
      </c>
      <c r="R110" s="13">
        <f>ROUND(L110*Q110, 0)</f>
        <v/>
      </c>
    </row>
    <row r="111">
      <c r="A111" s="20" t="n">
        <v>98</v>
      </c>
      <c r="B111" s="1" t="inlineStr">
        <is>
          <t>NT3: Tại bể chứa nước thải sau xử lý từ hệ thống xử lý nước thải tập trung Tần suất quan trắc: 03 tháng/lần</t>
        </is>
      </c>
      <c r="C111" s="1" t="inlineStr">
        <is>
          <t>NT10m5</t>
        </is>
      </c>
      <c r="D111" s="1" t="inlineStr">
        <is>
          <t>Crom (III)</t>
        </is>
      </c>
      <c r="E111" s="20" t="inlineStr">
        <is>
          <t>mg/l</t>
        </is>
      </c>
      <c r="F111" s="20" t="n">
        <v>1</v>
      </c>
      <c r="G111" s="20" t="n">
        <v>4</v>
      </c>
      <c r="H111" s="20" t="n">
        <v>1</v>
      </c>
      <c r="I111" s="20" t="n">
        <v>1</v>
      </c>
      <c r="J111" s="1" t="inlineStr"/>
      <c r="K111" s="1" t="inlineStr">
        <is>
          <t>II.9</t>
        </is>
      </c>
      <c r="L111" s="9">
        <f>F111*G111</f>
        <v/>
      </c>
      <c r="M111" s="11" t="n">
        <v>185000</v>
      </c>
      <c r="N111" s="11" t="n">
        <v>320000</v>
      </c>
      <c r="O111" s="11" t="n">
        <v>35000</v>
      </c>
      <c r="P111" s="11" t="n">
        <v>120000</v>
      </c>
      <c r="Q111" s="11">
        <f>M111+N111+O111+P111</f>
        <v/>
      </c>
      <c r="R111" s="13">
        <f>ROUND(L111*Q111, 0)</f>
        <v/>
      </c>
    </row>
    <row r="112">
      <c r="A112" s="20" t="n">
        <v>99</v>
      </c>
      <c r="B112" s="1" t="inlineStr">
        <is>
          <t>NT3: Tại bể chứa nước thải sau xử lý từ hệ thống xử lý nước thải tập trung Tần suất quan trắc: 03 tháng/lần</t>
        </is>
      </c>
      <c r="C112" s="1" t="inlineStr">
        <is>
          <t>NT10đ</t>
        </is>
      </c>
      <c r="D112" s="1" t="inlineStr">
        <is>
          <t>Crom (VI)</t>
        </is>
      </c>
      <c r="E112" s="20" t="inlineStr">
        <is>
          <t>mg/l</t>
        </is>
      </c>
      <c r="F112" s="20" t="n">
        <v>1</v>
      </c>
      <c r="G112" s="20" t="n">
        <v>4</v>
      </c>
      <c r="H112" s="20" t="n">
        <v>1</v>
      </c>
      <c r="I112" s="20" t="n">
        <v>1</v>
      </c>
      <c r="J112" s="1" t="inlineStr"/>
      <c r="K112" s="1" t="inlineStr">
        <is>
          <t>II.9</t>
        </is>
      </c>
      <c r="L112" s="9">
        <f>F112*G112</f>
        <v/>
      </c>
      <c r="M112" s="11" t="n">
        <v>185000</v>
      </c>
      <c r="N112" s="11" t="n">
        <v>320000</v>
      </c>
      <c r="O112" s="11" t="n">
        <v>35000</v>
      </c>
      <c r="P112" s="11" t="n">
        <v>120000</v>
      </c>
      <c r="Q112" s="11">
        <f>M112+N112+O112+P112</f>
        <v/>
      </c>
      <c r="R112" s="13">
        <f>ROUND(L112*Q112, 0)</f>
        <v/>
      </c>
    </row>
    <row r="113">
      <c r="A113" s="20" t="n">
        <v>100</v>
      </c>
      <c r="B113" s="1" t="inlineStr">
        <is>
          <t>NT3: Tại bể chứa nước thải sau xử lý từ hệ thống xử lý nước thải tập trung Tần suất quan trắc: 03 tháng/lần</t>
        </is>
      </c>
      <c r="C113" s="1" t="inlineStr">
        <is>
          <t>NT10m1</t>
        </is>
      </c>
      <c r="D113" s="1" t="inlineStr">
        <is>
          <t>Đồng</t>
        </is>
      </c>
      <c r="E113" s="20" t="inlineStr">
        <is>
          <t>mg/l</t>
        </is>
      </c>
      <c r="F113" s="20" t="n">
        <v>1</v>
      </c>
      <c r="G113" s="20" t="n">
        <v>4</v>
      </c>
      <c r="H113" s="20" t="n">
        <v>1</v>
      </c>
      <c r="I113" s="20" t="n">
        <v>1</v>
      </c>
      <c r="J113" s="1" t="inlineStr"/>
      <c r="K113" s="1" t="inlineStr">
        <is>
          <t>II.9</t>
        </is>
      </c>
      <c r="L113" s="9">
        <f>F113*G113</f>
        <v/>
      </c>
      <c r="M113" s="11" t="n">
        <v>185000</v>
      </c>
      <c r="N113" s="11" t="n">
        <v>320000</v>
      </c>
      <c r="O113" s="11" t="n">
        <v>35000</v>
      </c>
      <c r="P113" s="11" t="n">
        <v>120000</v>
      </c>
      <c r="Q113" s="11">
        <f>M113+N113+O113+P113</f>
        <v/>
      </c>
      <c r="R113" s="13">
        <f>ROUND(L113*Q113, 0)</f>
        <v/>
      </c>
    </row>
    <row r="114">
      <c r="A114" s="20" t="n">
        <v>101</v>
      </c>
      <c r="B114" s="1" t="inlineStr">
        <is>
          <t>NT3: Tại bể chứa nước thải sau xử lý từ hệ thống xử lý nước thải tập trung Tần suất quan trắc: 03 tháng/lần</t>
        </is>
      </c>
      <c r="C114" s="1" t="inlineStr">
        <is>
          <t>NT10m2</t>
        </is>
      </c>
      <c r="D114" s="1" t="inlineStr">
        <is>
          <t>Kẽm</t>
        </is>
      </c>
      <c r="E114" s="20" t="inlineStr">
        <is>
          <t>mg/l</t>
        </is>
      </c>
      <c r="F114" s="20" t="n">
        <v>1</v>
      </c>
      <c r="G114" s="20" t="n">
        <v>4</v>
      </c>
      <c r="H114" s="20" t="n">
        <v>1</v>
      </c>
      <c r="I114" s="20" t="n">
        <v>1</v>
      </c>
      <c r="J114" s="1" t="inlineStr"/>
      <c r="K114" s="1" t="inlineStr">
        <is>
          <t>II.9</t>
        </is>
      </c>
      <c r="L114" s="9">
        <f>F114*G114</f>
        <v/>
      </c>
      <c r="M114" s="11" t="n">
        <v>185000</v>
      </c>
      <c r="N114" s="11" t="n">
        <v>320000</v>
      </c>
      <c r="O114" s="11" t="n">
        <v>35000</v>
      </c>
      <c r="P114" s="11" t="n">
        <v>120000</v>
      </c>
      <c r="Q114" s="11">
        <f>M114+N114+O114+P114</f>
        <v/>
      </c>
      <c r="R114" s="13">
        <f>ROUND(L114*Q114, 0)</f>
        <v/>
      </c>
    </row>
    <row r="115">
      <c r="A115" s="20" t="n">
        <v>102</v>
      </c>
      <c r="B115" s="1" t="inlineStr">
        <is>
          <t>NT3: Tại bể chứa nước thải sau xử lý từ hệ thống xử lý nước thải tập trung Tần suất quan trắc: 03 tháng/lần</t>
        </is>
      </c>
      <c r="C115" s="1" t="inlineStr">
        <is>
          <t>NT10m6</t>
        </is>
      </c>
      <c r="D115" s="1" t="inlineStr">
        <is>
          <t>Niken</t>
        </is>
      </c>
      <c r="E115" s="20" t="inlineStr">
        <is>
          <t>mg/l</t>
        </is>
      </c>
      <c r="F115" s="20" t="n">
        <v>1</v>
      </c>
      <c r="G115" s="20" t="n">
        <v>4</v>
      </c>
      <c r="H115" s="20" t="n">
        <v>1</v>
      </c>
      <c r="I115" s="20" t="n">
        <v>1</v>
      </c>
      <c r="J115" s="1" t="inlineStr"/>
      <c r="K115" s="1" t="inlineStr">
        <is>
          <t>II.9</t>
        </is>
      </c>
      <c r="L115" s="9">
        <f>F115*G115</f>
        <v/>
      </c>
      <c r="M115" s="11" t="n">
        <v>185000</v>
      </c>
      <c r="N115" s="11" t="n">
        <v>320000</v>
      </c>
      <c r="O115" s="11" t="n">
        <v>35000</v>
      </c>
      <c r="P115" s="11" t="n">
        <v>120000</v>
      </c>
      <c r="Q115" s="11">
        <f>M115+N115+O115+P115</f>
        <v/>
      </c>
      <c r="R115" s="13">
        <f>ROUND(L115*Q115, 0)</f>
        <v/>
      </c>
    </row>
    <row r="116">
      <c r="A116" s="20" t="n">
        <v>103</v>
      </c>
      <c r="B116" s="1" t="inlineStr">
        <is>
          <t>NT3: Tại bể chứa nước thải sau xử lý từ hệ thống xử lý nước thải tập trung Tần suất quan trắc: 03 tháng/lần</t>
        </is>
      </c>
      <c r="C116" s="1" t="inlineStr">
        <is>
          <t>NT10m3</t>
        </is>
      </c>
      <c r="D116" s="1" t="inlineStr">
        <is>
          <t>Mangan</t>
        </is>
      </c>
      <c r="E116" s="20" t="inlineStr">
        <is>
          <t>mg/l</t>
        </is>
      </c>
      <c r="F116" s="20" t="n">
        <v>1</v>
      </c>
      <c r="G116" s="20" t="n">
        <v>4</v>
      </c>
      <c r="H116" s="20" t="n">
        <v>1</v>
      </c>
      <c r="I116" s="20" t="n">
        <v>1</v>
      </c>
      <c r="J116" s="1" t="inlineStr"/>
      <c r="K116" s="1" t="inlineStr">
        <is>
          <t>II.9</t>
        </is>
      </c>
      <c r="L116" s="9">
        <f>F116*G116</f>
        <v/>
      </c>
      <c r="M116" s="11" t="n">
        <v>185000</v>
      </c>
      <c r="N116" s="11" t="n">
        <v>320000</v>
      </c>
      <c r="O116" s="11" t="n">
        <v>35000</v>
      </c>
      <c r="P116" s="11" t="n">
        <v>120000</v>
      </c>
      <c r="Q116" s="11">
        <f>M116+N116+O116+P116</f>
        <v/>
      </c>
      <c r="R116" s="13">
        <f>ROUND(L116*Q116, 0)</f>
        <v/>
      </c>
    </row>
    <row r="117">
      <c r="A117" s="20" t="n">
        <v>104</v>
      </c>
      <c r="B117" s="1" t="inlineStr">
        <is>
          <t>NT3: Tại bể chứa nước thải sau xử lý từ hệ thống xử lý nước thải tập trung Tần suất quan trắc: 03 tháng/lần</t>
        </is>
      </c>
      <c r="C117" s="1" t="inlineStr">
        <is>
          <t>NT10m4</t>
        </is>
      </c>
      <c r="D117" s="1" t="inlineStr">
        <is>
          <t>Sắt</t>
        </is>
      </c>
      <c r="E117" s="20" t="inlineStr">
        <is>
          <t>mg/l</t>
        </is>
      </c>
      <c r="F117" s="20" t="n">
        <v>1</v>
      </c>
      <c r="G117" s="20" t="n">
        <v>4</v>
      </c>
      <c r="H117" s="20" t="n">
        <v>1</v>
      </c>
      <c r="I117" s="20" t="n">
        <v>1</v>
      </c>
      <c r="J117" s="1" t="inlineStr"/>
      <c r="K117" s="1" t="inlineStr">
        <is>
          <t>II.9</t>
        </is>
      </c>
      <c r="L117" s="9">
        <f>F117*G117</f>
        <v/>
      </c>
      <c r="M117" s="11" t="n">
        <v>185000</v>
      </c>
      <c r="N117" s="11" t="n">
        <v>320000</v>
      </c>
      <c r="O117" s="11" t="n">
        <v>35000</v>
      </c>
      <c r="P117" s="11" t="n">
        <v>120000</v>
      </c>
      <c r="Q117" s="11">
        <f>M117+N117+O117+P117</f>
        <v/>
      </c>
      <c r="R117" s="13">
        <f>ROUND(L117*Q117, 0)</f>
        <v/>
      </c>
    </row>
    <row r="118">
      <c r="A118" s="20" t="n">
        <v>105</v>
      </c>
      <c r="B118" s="1" t="inlineStr">
        <is>
          <t>NT3: Tại bể chứa nước thải sau xử lý từ hệ thống xử lý nước thải tập trung Tần suất quan trắc: 03 tháng/lần</t>
        </is>
      </c>
      <c r="C118" s="1" t="inlineStr">
        <is>
          <t>NT9</t>
        </is>
      </c>
      <c r="D118" s="1" t="inlineStr">
        <is>
          <t>Tổng Xyanua</t>
        </is>
      </c>
      <c r="E118" s="20" t="inlineStr">
        <is>
          <t>mg/l</t>
        </is>
      </c>
      <c r="F118" s="20" t="n">
        <v>1</v>
      </c>
      <c r="G118" s="20" t="n">
        <v>4</v>
      </c>
      <c r="H118" s="20" t="n">
        <v>1</v>
      </c>
      <c r="I118" s="20" t="n">
        <v>1</v>
      </c>
      <c r="J118" s="1" t="inlineStr"/>
      <c r="K118" s="1" t="inlineStr">
        <is>
          <t>II.9</t>
        </is>
      </c>
      <c r="L118" s="9">
        <f>F118*G118</f>
        <v/>
      </c>
      <c r="M118" s="11" t="n">
        <v>185000</v>
      </c>
      <c r="N118" s="11" t="n">
        <v>320000</v>
      </c>
      <c r="O118" s="11" t="n">
        <v>35000</v>
      </c>
      <c r="P118" s="11" t="n">
        <v>120000</v>
      </c>
      <c r="Q118" s="11">
        <f>M118+N118+O118+P118</f>
        <v/>
      </c>
      <c r="R118" s="13">
        <f>ROUND(L118*Q118, 0)</f>
        <v/>
      </c>
    </row>
    <row r="119">
      <c r="A119" s="20" t="n">
        <v>106</v>
      </c>
      <c r="B119" s="1" t="inlineStr">
        <is>
          <t>NT3: Tại bể chứa nước thải sau xử lý từ hệ thống xử lý nước thải tập trung Tần suất quan trắc: 03 tháng/lần</t>
        </is>
      </c>
      <c r="C119" s="1" t="inlineStr">
        <is>
          <t>NT8</t>
        </is>
      </c>
      <c r="D119" s="1" t="inlineStr">
        <is>
          <t>Tổng dầu mỡ khoáng</t>
        </is>
      </c>
      <c r="E119" s="20" t="inlineStr">
        <is>
          <t>mg/l</t>
        </is>
      </c>
      <c r="F119" s="20" t="n">
        <v>1</v>
      </c>
      <c r="G119" s="20" t="n">
        <v>4</v>
      </c>
      <c r="H119" s="20" t="n">
        <v>1</v>
      </c>
      <c r="I119" s="20" t="n">
        <v>1</v>
      </c>
      <c r="J119" s="1" t="inlineStr"/>
      <c r="K119" s="1" t="inlineStr">
        <is>
          <t>II.9</t>
        </is>
      </c>
      <c r="L119" s="9">
        <f>F119*G119</f>
        <v/>
      </c>
      <c r="M119" s="11" t="n">
        <v>185000</v>
      </c>
      <c r="N119" s="11" t="n">
        <v>320000</v>
      </c>
      <c r="O119" s="11" t="n">
        <v>35000</v>
      </c>
      <c r="P119" s="11" t="n">
        <v>120000</v>
      </c>
      <c r="Q119" s="11">
        <f>M119+N119+O119+P119</f>
        <v/>
      </c>
      <c r="R119" s="13">
        <f>ROUND(L119*Q119, 0)</f>
        <v/>
      </c>
    </row>
    <row r="120">
      <c r="A120" s="20" t="n">
        <v>107</v>
      </c>
      <c r="B120" s="1" t="inlineStr">
        <is>
          <t>NT3: Tại bể chứa nước thải sau xử lý từ hệ thống xử lý nước thải tập trung Tần suất quan trắc: 03 tháng/lần</t>
        </is>
      </c>
      <c r="C120" s="1" t="inlineStr">
        <is>
          <t>NT10d</t>
        </is>
      </c>
      <c r="D120" s="1" t="inlineStr">
        <is>
          <t>Sunfua</t>
        </is>
      </c>
      <c r="E120" s="20" t="inlineStr">
        <is>
          <t>mg/l</t>
        </is>
      </c>
      <c r="F120" s="20" t="n">
        <v>1</v>
      </c>
      <c r="G120" s="20" t="n">
        <v>4</v>
      </c>
      <c r="H120" s="20" t="n">
        <v>1</v>
      </c>
      <c r="I120" s="20" t="n">
        <v>1</v>
      </c>
      <c r="J120" s="1" t="inlineStr"/>
      <c r="K120" s="1" t="inlineStr">
        <is>
          <t>II.9</t>
        </is>
      </c>
      <c r="L120" s="9">
        <f>F120*G120</f>
        <v/>
      </c>
      <c r="M120" s="11" t="n">
        <v>185000</v>
      </c>
      <c r="N120" s="11" t="n">
        <v>320000</v>
      </c>
      <c r="O120" s="11" t="n">
        <v>35000</v>
      </c>
      <c r="P120" s="11" t="n">
        <v>120000</v>
      </c>
      <c r="Q120" s="11">
        <f>M120+N120+O120+P120</f>
        <v/>
      </c>
      <c r="R120" s="13">
        <f>ROUND(L120*Q120, 0)</f>
        <v/>
      </c>
    </row>
    <row r="121">
      <c r="A121" s="20" t="n">
        <v>108</v>
      </c>
      <c r="B121" s="1" t="inlineStr">
        <is>
          <t>NT3: Tại bể chứa nước thải sau xử lý từ hệ thống xử lý nước thải tập trung Tần suất quan trắc: 03 tháng/lần</t>
        </is>
      </c>
      <c r="C121" s="1" t="inlineStr">
        <is>
          <t>NT10b</t>
        </is>
      </c>
      <c r="D121" s="1" t="inlineStr">
        <is>
          <t>Tổng N</t>
        </is>
      </c>
      <c r="E121" s="20" t="inlineStr">
        <is>
          <t>mg/l</t>
        </is>
      </c>
      <c r="F121" s="20" t="n">
        <v>1</v>
      </c>
      <c r="G121" s="20" t="n">
        <v>4</v>
      </c>
      <c r="H121" s="20" t="n">
        <v>1</v>
      </c>
      <c r="I121" s="20" t="n">
        <v>1</v>
      </c>
      <c r="J121" s="1" t="inlineStr"/>
      <c r="K121" s="1" t="inlineStr">
        <is>
          <t>II.9</t>
        </is>
      </c>
      <c r="L121" s="9">
        <f>F121*G121</f>
        <v/>
      </c>
      <c r="M121" s="11" t="n">
        <v>185000</v>
      </c>
      <c r="N121" s="11" t="n">
        <v>320000</v>
      </c>
      <c r="O121" s="11" t="n">
        <v>35000</v>
      </c>
      <c r="P121" s="11" t="n">
        <v>120000</v>
      </c>
      <c r="Q121" s="11">
        <f>M121+N121+O121+P121</f>
        <v/>
      </c>
      <c r="R121" s="13">
        <f>ROUND(L121*Q121, 0)</f>
        <v/>
      </c>
    </row>
    <row r="122">
      <c r="A122" s="20" t="n">
        <v>109</v>
      </c>
      <c r="B122" s="1" t="inlineStr">
        <is>
          <t>NT3: Tại bể chứa nước thải sau xử lý từ hệ thống xử lý nước thải tập trung Tần suất quan trắc: 03 tháng/lần</t>
        </is>
      </c>
      <c r="C122" s="1" t="inlineStr">
        <is>
          <t>NT10a</t>
        </is>
      </c>
      <c r="D122" s="1" t="inlineStr">
        <is>
          <t>Tổng P</t>
        </is>
      </c>
      <c r="E122" s="20" t="inlineStr">
        <is>
          <t>mg/l</t>
        </is>
      </c>
      <c r="F122" s="20" t="n">
        <v>1</v>
      </c>
      <c r="G122" s="20" t="n">
        <v>4</v>
      </c>
      <c r="H122" s="20" t="n">
        <v>1</v>
      </c>
      <c r="I122" s="20" t="n">
        <v>1</v>
      </c>
      <c r="J122" s="1" t="inlineStr"/>
      <c r="K122" s="1" t="inlineStr">
        <is>
          <t>II.9</t>
        </is>
      </c>
      <c r="L122" s="9">
        <f>F122*G122</f>
        <v/>
      </c>
      <c r="M122" s="11" t="n">
        <v>185000</v>
      </c>
      <c r="N122" s="11" t="n">
        <v>320000</v>
      </c>
      <c r="O122" s="11" t="n">
        <v>35000</v>
      </c>
      <c r="P122" s="11" t="n">
        <v>120000</v>
      </c>
      <c r="Q122" s="11">
        <f>M122+N122+O122+P122</f>
        <v/>
      </c>
      <c r="R122" s="13">
        <f>ROUND(L122*Q122, 0)</f>
        <v/>
      </c>
    </row>
    <row r="123">
      <c r="A123" s="20" t="n">
        <v>110</v>
      </c>
      <c r="B123" s="1" t="inlineStr">
        <is>
          <t>NT3: Tại bể chứa nước thải sau xử lý từ hệ thống xử lý nước thải tập trung Tần suất quan trắc: 03 tháng/lần</t>
        </is>
      </c>
      <c r="C123" s="1" t="inlineStr">
        <is>
          <t>NT10j</t>
        </is>
      </c>
      <c r="D123" s="1" t="inlineStr">
        <is>
          <t>Clo dư</t>
        </is>
      </c>
      <c r="E123" s="20" t="inlineStr">
        <is>
          <t>mg/l</t>
        </is>
      </c>
      <c r="F123" s="20" t="n">
        <v>1</v>
      </c>
      <c r="G123" s="20" t="n">
        <v>4</v>
      </c>
      <c r="H123" s="20" t="n">
        <v>1</v>
      </c>
      <c r="I123" s="20" t="n">
        <v>1</v>
      </c>
      <c r="J123" s="1" t="inlineStr"/>
      <c r="K123" s="1" t="inlineStr">
        <is>
          <t>II.9</t>
        </is>
      </c>
      <c r="L123" s="9">
        <f>F123*G123</f>
        <v/>
      </c>
      <c r="M123" s="11" t="n">
        <v>185000</v>
      </c>
      <c r="N123" s="11" t="n">
        <v>320000</v>
      </c>
      <c r="O123" s="11" t="n">
        <v>35000</v>
      </c>
      <c r="P123" s="11" t="n">
        <v>120000</v>
      </c>
      <c r="Q123" s="11">
        <f>M123+N123+O123+P123</f>
        <v/>
      </c>
      <c r="R123" s="13">
        <f>ROUND(L123*Q123, 0)</f>
        <v/>
      </c>
    </row>
    <row r="124">
      <c r="A124" s="20" t="n">
        <v>111</v>
      </c>
      <c r="B124" s="1" t="inlineStr">
        <is>
          <t>NT3: Tại bể chứa nước thải sau xử lý từ hệ thống xử lý nước thải tập trung Tần suất quan trắc: 03 tháng/lần</t>
        </is>
      </c>
      <c r="C124" s="1" t="inlineStr">
        <is>
          <t>NT7a</t>
        </is>
      </c>
      <c r="D124" s="1" t="inlineStr">
        <is>
          <t>Coliform</t>
        </is>
      </c>
      <c r="E124" s="20" t="inlineStr">
        <is>
          <t>MPN/ 100ml</t>
        </is>
      </c>
      <c r="F124" s="20" t="n">
        <v>1</v>
      </c>
      <c r="G124" s="20" t="n">
        <v>4</v>
      </c>
      <c r="H124" s="20" t="n">
        <v>1</v>
      </c>
      <c r="I124" s="20" t="n">
        <v>1</v>
      </c>
      <c r="J124" s="1" t="inlineStr"/>
      <c r="K124" s="1" t="inlineStr">
        <is>
          <t>II.9</t>
        </is>
      </c>
      <c r="L124" s="9">
        <f>F124*G124</f>
        <v/>
      </c>
      <c r="M124" s="11" t="n">
        <v>185000</v>
      </c>
      <c r="N124" s="11" t="n">
        <v>320000</v>
      </c>
      <c r="O124" s="11" t="n">
        <v>35000</v>
      </c>
      <c r="P124" s="11" t="n">
        <v>120000</v>
      </c>
      <c r="Q124" s="11">
        <f>M124+N124+O124+P124</f>
        <v/>
      </c>
      <c r="R124" s="13">
        <f>ROUND(L124*Q124, 0)</f>
        <v/>
      </c>
    </row>
    <row r="125">
      <c r="A125" s="15" t="inlineStr"/>
      <c r="B125" s="16" t="inlineStr"/>
      <c r="C125" s="16" t="inlineStr"/>
      <c r="D125" s="17" t="inlineStr">
        <is>
          <t>PHẦN: GIÁM SÁT GIÁM SÁT KHÍ THẢI</t>
        </is>
      </c>
      <c r="E125" s="15" t="inlineStr"/>
      <c r="F125" s="15" t="inlineStr"/>
      <c r="G125" s="15" t="inlineStr"/>
      <c r="H125" s="15" t="inlineStr"/>
      <c r="I125" s="15" t="inlineStr"/>
      <c r="J125" s="16" t="inlineStr"/>
      <c r="K125" s="16" t="inlineStr"/>
      <c r="L125" s="18" t="inlineStr"/>
      <c r="M125" s="19" t="inlineStr"/>
      <c r="N125" s="19" t="inlineStr"/>
      <c r="O125" s="19" t="inlineStr"/>
      <c r="P125" s="19" t="inlineStr"/>
      <c r="Q125" s="19" t="inlineStr"/>
      <c r="R125" s="13" t="inlineStr"/>
    </row>
    <row r="126">
      <c r="A126" s="20" t="n">
        <v>112</v>
      </c>
      <c r="B126" s="1" t="inlineStr">
        <is>
          <t>KT1 – Ống khói sau hệ thống xử lý khí thải của NMNĐ Vĩnh Tân 4 mở rộng</t>
        </is>
      </c>
      <c r="C126" s="1" t="inlineStr">
        <is>
          <t>KT9c</t>
        </is>
      </c>
      <c r="D126" s="1" t="inlineStr">
        <is>
          <t>Amoniac</t>
        </is>
      </c>
      <c r="E126" s="20" t="inlineStr">
        <is>
          <t>mg/Nm3</t>
        </is>
      </c>
      <c r="F126" s="20" t="n">
        <v>1</v>
      </c>
      <c r="G126" s="20" t="n">
        <v>4</v>
      </c>
      <c r="H126" s="20" t="n">
        <v>1</v>
      </c>
      <c r="I126" s="20" t="n">
        <v>1</v>
      </c>
      <c r="J126" s="1" t="inlineStr"/>
      <c r="K126" s="1" t="inlineStr">
        <is>
          <t>II.8</t>
        </is>
      </c>
      <c r="L126" s="9">
        <f>F126*G126</f>
        <v/>
      </c>
      <c r="M126" s="11" t="n">
        <v>185000</v>
      </c>
      <c r="N126" s="11" t="n">
        <v>320000</v>
      </c>
      <c r="O126" s="11" t="n">
        <v>35000</v>
      </c>
      <c r="P126" s="11" t="n">
        <v>120000</v>
      </c>
      <c r="Q126" s="11">
        <f>M126+N126+O126+P126</f>
        <v/>
      </c>
      <c r="R126" s="13">
        <f>ROUND(L126*Q126, 0)</f>
        <v/>
      </c>
    </row>
    <row r="127">
      <c r="A127" s="15" t="inlineStr"/>
      <c r="B127" s="16" t="inlineStr"/>
      <c r="C127" s="16" t="inlineStr"/>
      <c r="D127" s="17" t="inlineStr">
        <is>
          <t>PHẦN: GIÁM SÁT GIÁM SÁT KHÔNG KHÍ XUNG QUANH</t>
        </is>
      </c>
      <c r="E127" s="15" t="inlineStr"/>
      <c r="F127" s="15" t="inlineStr"/>
      <c r="G127" s="15" t="inlineStr"/>
      <c r="H127" s="15" t="inlineStr"/>
      <c r="I127" s="15" t="inlineStr"/>
      <c r="J127" s="16" t="inlineStr"/>
      <c r="K127" s="16" t="inlineStr"/>
      <c r="L127" s="18" t="inlineStr"/>
      <c r="M127" s="19" t="inlineStr"/>
      <c r="N127" s="19" t="inlineStr"/>
      <c r="O127" s="19" t="inlineStr"/>
      <c r="P127" s="19" t="inlineStr"/>
      <c r="Q127" s="19" t="inlineStr"/>
      <c r="R127" s="13" t="inlineStr"/>
    </row>
    <row r="128">
      <c r="A128" s="20" t="n">
        <v>113</v>
      </c>
      <c r="B12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8" s="1" t="inlineStr">
        <is>
          <t>KK1a</t>
        </is>
      </c>
      <c r="D128" s="1" t="inlineStr">
        <is>
          <t>Nhiệt độ</t>
        </is>
      </c>
      <c r="E128" s="20" t="inlineStr">
        <is>
          <t>0C</t>
        </is>
      </c>
      <c r="F128" s="20" t="n">
        <v>5</v>
      </c>
      <c r="G128" s="20" t="n">
        <v>2</v>
      </c>
      <c r="H128" s="20" t="n">
        <v>1</v>
      </c>
      <c r="I128" s="20" t="n">
        <v>1</v>
      </c>
      <c r="J128" s="1" t="inlineStr"/>
      <c r="K128" s="1" t="inlineStr">
        <is>
          <t>II.1</t>
        </is>
      </c>
      <c r="L128" s="9">
        <f>F128*G128</f>
        <v/>
      </c>
      <c r="M128" s="11" t="n">
        <v>185000</v>
      </c>
      <c r="N128" s="11" t="n">
        <v>320000</v>
      </c>
      <c r="O128" s="11" t="n">
        <v>35000</v>
      </c>
      <c r="P128" s="11" t="n">
        <v>120000</v>
      </c>
      <c r="Q128" s="11">
        <f>M128+N128+O128+P128</f>
        <v/>
      </c>
      <c r="R128" s="13">
        <f>ROUND(L128*Q128, 0)</f>
        <v/>
      </c>
    </row>
    <row r="129">
      <c r="A129" s="20" t="n">
        <v>114</v>
      </c>
      <c r="B129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9" s="1" t="inlineStr">
        <is>
          <t>KK1b</t>
        </is>
      </c>
      <c r="D129" s="1" t="inlineStr">
        <is>
          <t>Độ ẩm</t>
        </is>
      </c>
      <c r="E129" s="20" t="inlineStr">
        <is>
          <t>%</t>
        </is>
      </c>
      <c r="F129" s="20" t="n">
        <v>5</v>
      </c>
      <c r="G129" s="20" t="n">
        <v>2</v>
      </c>
      <c r="H129" s="20" t="n">
        <v>1</v>
      </c>
      <c r="I129" s="20" t="n">
        <v>1</v>
      </c>
      <c r="J129" s="1" t="inlineStr"/>
      <c r="K129" s="1" t="inlineStr">
        <is>
          <t>II.1</t>
        </is>
      </c>
      <c r="L129" s="9">
        <f>F129*G129</f>
        <v/>
      </c>
      <c r="M129" s="11" t="n">
        <v>185000</v>
      </c>
      <c r="N129" s="11" t="n">
        <v>320000</v>
      </c>
      <c r="O129" s="11" t="n">
        <v>35000</v>
      </c>
      <c r="P129" s="11" t="n">
        <v>120000</v>
      </c>
      <c r="Q129" s="11">
        <f>M129+N129+O129+P129</f>
        <v/>
      </c>
      <c r="R129" s="13">
        <f>ROUND(L129*Q129, 0)</f>
        <v/>
      </c>
    </row>
    <row r="130">
      <c r="A130" s="20" t="n">
        <v>115</v>
      </c>
      <c r="B130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0" s="1" t="inlineStr">
        <is>
          <t>KK2b</t>
        </is>
      </c>
      <c r="D130" s="1" t="inlineStr">
        <is>
          <t>Hướng gió</t>
        </is>
      </c>
      <c r="E130" s="20" t="inlineStr">
        <is>
          <t>-</t>
        </is>
      </c>
      <c r="F130" s="20" t="n">
        <v>5</v>
      </c>
      <c r="G130" s="20" t="n">
        <v>2</v>
      </c>
      <c r="H130" s="20" t="n">
        <v>1</v>
      </c>
      <c r="I130" s="20" t="n">
        <v>1</v>
      </c>
      <c r="J130" s="1" t="inlineStr"/>
      <c r="K130" s="1" t="inlineStr">
        <is>
          <t>II.1</t>
        </is>
      </c>
      <c r="L130" s="9">
        <f>F130*G130</f>
        <v/>
      </c>
      <c r="M130" s="11" t="n">
        <v>185000</v>
      </c>
      <c r="N130" s="11" t="n">
        <v>320000</v>
      </c>
      <c r="O130" s="11" t="n">
        <v>35000</v>
      </c>
      <c r="P130" s="11" t="n">
        <v>120000</v>
      </c>
      <c r="Q130" s="11">
        <f>M130+N130+O130+P130</f>
        <v/>
      </c>
      <c r="R130" s="13">
        <f>ROUND(L130*Q130, 0)</f>
        <v/>
      </c>
    </row>
    <row r="131">
      <c r="A131" s="20" t="n">
        <v>116</v>
      </c>
      <c r="B131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1" s="1" t="inlineStr">
        <is>
          <t>KK2a</t>
        </is>
      </c>
      <c r="D131" s="1" t="inlineStr">
        <is>
          <t>Tốc độ gió</t>
        </is>
      </c>
      <c r="E131" s="20" t="inlineStr">
        <is>
          <t>m/s</t>
        </is>
      </c>
      <c r="F131" s="20" t="n">
        <v>5</v>
      </c>
      <c r="G131" s="20" t="n">
        <v>2</v>
      </c>
      <c r="H131" s="20" t="n">
        <v>1</v>
      </c>
      <c r="I131" s="20" t="n">
        <v>1</v>
      </c>
      <c r="J131" s="1" t="inlineStr"/>
      <c r="K131" s="1" t="inlineStr">
        <is>
          <t>II.1</t>
        </is>
      </c>
      <c r="L131" s="9">
        <f>F131*G131</f>
        <v/>
      </c>
      <c r="M131" s="11" t="n">
        <v>185000</v>
      </c>
      <c r="N131" s="11" t="n">
        <v>320000</v>
      </c>
      <c r="O131" s="11" t="n">
        <v>35000</v>
      </c>
      <c r="P131" s="11" t="n">
        <v>120000</v>
      </c>
      <c r="Q131" s="11">
        <f>M131+N131+O131+P131</f>
        <v/>
      </c>
      <c r="R131" s="13">
        <f>ROUND(L131*Q131, 0)</f>
        <v/>
      </c>
    </row>
    <row r="132">
      <c r="A132" s="20" t="n">
        <v>117</v>
      </c>
      <c r="B132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2" s="1" t="inlineStr">
        <is>
          <t>TO1a</t>
        </is>
      </c>
      <c r="D132" s="1" t="inlineStr">
        <is>
          <t>Tiếng ồn</t>
        </is>
      </c>
      <c r="E132" s="20" t="inlineStr">
        <is>
          <t>dBA</t>
        </is>
      </c>
      <c r="F132" s="20" t="n">
        <v>5</v>
      </c>
      <c r="G132" s="20" t="n">
        <v>2</v>
      </c>
      <c r="H132" s="20" t="n">
        <v>1</v>
      </c>
      <c r="I132" s="20" t="n">
        <v>1</v>
      </c>
      <c r="J132" s="1" t="inlineStr"/>
      <c r="K132" s="1" t="inlineStr">
        <is>
          <t>II.1</t>
        </is>
      </c>
      <c r="L132" s="9">
        <f>F132*G132</f>
        <v/>
      </c>
      <c r="M132" s="11" t="n">
        <v>185000</v>
      </c>
      <c r="N132" s="11" t="n">
        <v>320000</v>
      </c>
      <c r="O132" s="11" t="n">
        <v>35000</v>
      </c>
      <c r="P132" s="11" t="n">
        <v>120000</v>
      </c>
      <c r="Q132" s="11">
        <f>M132+N132+O132+P132</f>
        <v/>
      </c>
      <c r="R132" s="13">
        <f>ROUND(L132*Q132, 0)</f>
        <v/>
      </c>
    </row>
    <row r="133">
      <c r="A133" s="20" t="n">
        <v>118</v>
      </c>
      <c r="B133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3" s="1" t="inlineStr">
        <is>
          <t>ĐR01</t>
        </is>
      </c>
      <c r="D133" s="1" t="inlineStr">
        <is>
          <t>Độ rung</t>
        </is>
      </c>
      <c r="E133" s="20" t="inlineStr">
        <is>
          <t>dB</t>
        </is>
      </c>
      <c r="F133" s="20" t="n">
        <v>5</v>
      </c>
      <c r="G133" s="20" t="n">
        <v>2</v>
      </c>
      <c r="H133" s="20" t="n">
        <v>1</v>
      </c>
      <c r="I133" s="20" t="n">
        <v>1</v>
      </c>
      <c r="J133" s="1" t="inlineStr"/>
      <c r="K133" s="1" t="inlineStr">
        <is>
          <t>II.1</t>
        </is>
      </c>
      <c r="L133" s="9">
        <f>F133*G133</f>
        <v/>
      </c>
      <c r="M133" s="11" t="n">
        <v>185000</v>
      </c>
      <c r="N133" s="11" t="n">
        <v>320000</v>
      </c>
      <c r="O133" s="11" t="n">
        <v>35000</v>
      </c>
      <c r="P133" s="11" t="n">
        <v>120000</v>
      </c>
      <c r="Q133" s="11">
        <f>M133+N133+O133+P133</f>
        <v/>
      </c>
      <c r="R133" s="13">
        <f>ROUND(L133*Q133, 0)</f>
        <v/>
      </c>
    </row>
    <row r="134">
      <c r="A134" s="20" t="n">
        <v>119</v>
      </c>
      <c r="B134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4" s="1" t="inlineStr">
        <is>
          <t>KK4a</t>
        </is>
      </c>
      <c r="D134" s="1" t="inlineStr">
        <is>
          <t>Tổng bụi lơ lửng</t>
        </is>
      </c>
      <c r="E134" s="20" t="inlineStr">
        <is>
          <t>µg/Nm3</t>
        </is>
      </c>
      <c r="F134" s="20" t="n">
        <v>5</v>
      </c>
      <c r="G134" s="20" t="n">
        <v>2</v>
      </c>
      <c r="H134" s="20" t="n">
        <v>1</v>
      </c>
      <c r="I134" s="20" t="n">
        <v>1</v>
      </c>
      <c r="J134" s="1" t="inlineStr"/>
      <c r="K134" s="1" t="inlineStr">
        <is>
          <t>II.1</t>
        </is>
      </c>
      <c r="L134" s="9">
        <f>F134*G134</f>
        <v/>
      </c>
      <c r="M134" s="11" t="n">
        <v>185000</v>
      </c>
      <c r="N134" s="11" t="n">
        <v>320000</v>
      </c>
      <c r="O134" s="11" t="n">
        <v>35000</v>
      </c>
      <c r="P134" s="11" t="n">
        <v>120000</v>
      </c>
      <c r="Q134" s="11">
        <f>M134+N134+O134+P134</f>
        <v/>
      </c>
      <c r="R134" s="13">
        <f>ROUND(L134*Q134, 0)</f>
        <v/>
      </c>
    </row>
    <row r="135">
      <c r="A135" s="20" t="n">
        <v>120</v>
      </c>
      <c r="B135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5" s="1" t="inlineStr">
        <is>
          <t>KK4c</t>
        </is>
      </c>
      <c r="D135" s="1" t="inlineStr">
        <is>
          <t>Bụi PM10</t>
        </is>
      </c>
      <c r="E135" s="20" t="inlineStr">
        <is>
          <t>µg/Nm3</t>
        </is>
      </c>
      <c r="F135" s="20" t="n">
        <v>5</v>
      </c>
      <c r="G135" s="20" t="n">
        <v>2</v>
      </c>
      <c r="H135" s="20" t="n">
        <v>1</v>
      </c>
      <c r="I135" s="20" t="n">
        <v>1</v>
      </c>
      <c r="J135" s="1" t="inlineStr"/>
      <c r="K135" s="1" t="inlineStr">
        <is>
          <t>II.1</t>
        </is>
      </c>
      <c r="L135" s="9">
        <f>F135*G135</f>
        <v/>
      </c>
      <c r="M135" s="11" t="n">
        <v>185000</v>
      </c>
      <c r="N135" s="11" t="n">
        <v>320000</v>
      </c>
      <c r="O135" s="11" t="n">
        <v>35000</v>
      </c>
      <c r="P135" s="11" t="n">
        <v>120000</v>
      </c>
      <c r="Q135" s="11">
        <f>M135+N135+O135+P135</f>
        <v/>
      </c>
      <c r="R135" s="13">
        <f>ROUND(L135*Q135, 0)</f>
        <v/>
      </c>
    </row>
    <row r="136">
      <c r="A136" s="20" t="n">
        <v>121</v>
      </c>
      <c r="B136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6" s="1" t="inlineStr">
        <is>
          <t>KK7</t>
        </is>
      </c>
      <c r="D136" s="1" t="inlineStr">
        <is>
          <t>SO 2</t>
        </is>
      </c>
      <c r="E136" s="20" t="inlineStr">
        <is>
          <t>µg/Nm3</t>
        </is>
      </c>
      <c r="F136" s="20" t="n">
        <v>5</v>
      </c>
      <c r="G136" s="20" t="n">
        <v>2</v>
      </c>
      <c r="H136" s="20" t="n">
        <v>1</v>
      </c>
      <c r="I136" s="20" t="n">
        <v>1</v>
      </c>
      <c r="J136" s="1" t="inlineStr"/>
      <c r="K136" s="1" t="inlineStr">
        <is>
          <t>II.1</t>
        </is>
      </c>
      <c r="L136" s="9">
        <f>F136*G136</f>
        <v/>
      </c>
      <c r="M136" s="11" t="n">
        <v>185000</v>
      </c>
      <c r="N136" s="11" t="n">
        <v>320000</v>
      </c>
      <c r="O136" s="11" t="n">
        <v>35000</v>
      </c>
      <c r="P136" s="11" t="n">
        <v>120000</v>
      </c>
      <c r="Q136" s="11">
        <f>M136+N136+O136+P136</f>
        <v/>
      </c>
      <c r="R136" s="13">
        <f>ROUND(L136*Q136, 0)</f>
        <v/>
      </c>
    </row>
    <row r="137">
      <c r="A137" s="20" t="n">
        <v>122</v>
      </c>
      <c r="B137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7" s="1" t="inlineStr">
        <is>
          <t>KK6</t>
        </is>
      </c>
      <c r="D137" s="1" t="inlineStr">
        <is>
          <t>NO 2</t>
        </is>
      </c>
      <c r="E137" s="20" t="inlineStr">
        <is>
          <t>µg/Nm3</t>
        </is>
      </c>
      <c r="F137" s="20" t="n">
        <v>5</v>
      </c>
      <c r="G137" s="20" t="n">
        <v>2</v>
      </c>
      <c r="H137" s="20" t="n">
        <v>1</v>
      </c>
      <c r="I137" s="20" t="n">
        <v>1</v>
      </c>
      <c r="J137" s="1" t="inlineStr"/>
      <c r="K137" s="1" t="inlineStr">
        <is>
          <t>II.1</t>
        </is>
      </c>
      <c r="L137" s="9">
        <f>F137*G137</f>
        <v/>
      </c>
      <c r="M137" s="11" t="n">
        <v>185000</v>
      </c>
      <c r="N137" s="11" t="n">
        <v>320000</v>
      </c>
      <c r="O137" s="11" t="n">
        <v>35000</v>
      </c>
      <c r="P137" s="11" t="n">
        <v>120000</v>
      </c>
      <c r="Q137" s="11">
        <f>M137+N137+O137+P137</f>
        <v/>
      </c>
      <c r="R137" s="13">
        <f>ROUND(L137*Q137, 0)</f>
        <v/>
      </c>
    </row>
    <row r="138">
      <c r="A138" s="20" t="n">
        <v>123</v>
      </c>
      <c r="B13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8" s="1" t="inlineStr">
        <is>
          <t>KK5a</t>
        </is>
      </c>
      <c r="D138" s="1" t="inlineStr">
        <is>
          <t>CO</t>
        </is>
      </c>
      <c r="E138" s="20" t="inlineStr">
        <is>
          <t>µg/Nm3</t>
        </is>
      </c>
      <c r="F138" s="20" t="n">
        <v>5</v>
      </c>
      <c r="G138" s="20" t="n">
        <v>2</v>
      </c>
      <c r="H138" s="20" t="n">
        <v>1</v>
      </c>
      <c r="I138" s="20" t="n">
        <v>1</v>
      </c>
      <c r="J138" s="1" t="inlineStr"/>
      <c r="K138" s="1" t="inlineStr">
        <is>
          <t>II.1</t>
        </is>
      </c>
      <c r="L138" s="9">
        <f>F138*G138</f>
        <v/>
      </c>
      <c r="M138" s="11" t="n">
        <v>185000</v>
      </c>
      <c r="N138" s="11" t="n">
        <v>320000</v>
      </c>
      <c r="O138" s="11" t="n">
        <v>35000</v>
      </c>
      <c r="P138" s="11" t="n">
        <v>120000</v>
      </c>
      <c r="Q138" s="11">
        <f>M138+N138+O138+P138</f>
        <v/>
      </c>
      <c r="R138" s="13">
        <f>ROUND(L138*Q138, 0)</f>
        <v/>
      </c>
    </row>
    <row r="139">
      <c r="A139" s="15" t="inlineStr"/>
      <c r="B139" s="16" t="inlineStr"/>
      <c r="C139" s="16" t="inlineStr"/>
      <c r="D139" s="17" t="inlineStr">
        <is>
          <t>PHẦN: GIÁM SÁT GIÁM SÁT KHÍ THẢI</t>
        </is>
      </c>
      <c r="E139" s="15" t="inlineStr"/>
      <c r="F139" s="15" t="inlineStr"/>
      <c r="G139" s="15" t="inlineStr"/>
      <c r="H139" s="15" t="inlineStr"/>
      <c r="I139" s="15" t="inlineStr"/>
      <c r="J139" s="16" t="inlineStr"/>
      <c r="K139" s="16" t="inlineStr"/>
      <c r="L139" s="18" t="inlineStr"/>
      <c r="M139" s="19" t="inlineStr"/>
      <c r="N139" s="19" t="inlineStr"/>
      <c r="O139" s="19" t="inlineStr"/>
      <c r="P139" s="19" t="inlineStr"/>
      <c r="Q139" s="19" t="inlineStr"/>
      <c r="R139" s="13" t="inlineStr"/>
    </row>
    <row r="140">
      <c r="A140" s="20" t="n">
        <v>124</v>
      </c>
      <c r="B140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0" s="1" t="inlineStr">
        <is>
          <t>KT16</t>
        </is>
      </c>
      <c r="D140" s="1" t="inlineStr">
        <is>
          <t>Lưu lượng</t>
        </is>
      </c>
      <c r="E140" s="20" t="inlineStr">
        <is>
          <t>m3/h</t>
        </is>
      </c>
      <c r="F140" s="20" t="n">
        <v>2</v>
      </c>
      <c r="G140" s="20" t="n">
        <v>4</v>
      </c>
      <c r="H140" s="20" t="n">
        <v>1</v>
      </c>
      <c r="I140" s="20" t="n">
        <v>1</v>
      </c>
      <c r="J140" s="1" t="inlineStr"/>
      <c r="K140" s="1" t="inlineStr">
        <is>
          <t>II.8</t>
        </is>
      </c>
      <c r="L140" s="9">
        <f>F140*G140</f>
        <v/>
      </c>
      <c r="M140" s="11" t="n">
        <v>185000</v>
      </c>
      <c r="N140" s="11" t="n">
        <v>320000</v>
      </c>
      <c r="O140" s="11" t="n">
        <v>35000</v>
      </c>
      <c r="P140" s="11" t="n">
        <v>120000</v>
      </c>
      <c r="Q140" s="11">
        <f>M140+N140+O140+P140</f>
        <v/>
      </c>
      <c r="R140" s="13">
        <f>ROUND(L140*Q140, 0)</f>
        <v/>
      </c>
    </row>
    <row r="141">
      <c r="A141" s="20" t="n">
        <v>125</v>
      </c>
      <c r="B141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1" s="1" t="inlineStr">
        <is>
          <t>KT4</t>
        </is>
      </c>
      <c r="D141" s="1" t="inlineStr">
        <is>
          <t>Nhiệt độ</t>
        </is>
      </c>
      <c r="E141" s="20" t="inlineStr">
        <is>
          <t>0C</t>
        </is>
      </c>
      <c r="F141" s="20" t="n">
        <v>2</v>
      </c>
      <c r="G141" s="20" t="n">
        <v>4</v>
      </c>
      <c r="H141" s="20" t="n">
        <v>1</v>
      </c>
      <c r="I141" s="20" t="n">
        <v>1</v>
      </c>
      <c r="J141" s="1" t="inlineStr"/>
      <c r="K141" s="1" t="inlineStr">
        <is>
          <t>II.8</t>
        </is>
      </c>
      <c r="L141" s="9">
        <f>F141*G141</f>
        <v/>
      </c>
      <c r="M141" s="11" t="n">
        <v>185000</v>
      </c>
      <c r="N141" s="11" t="n">
        <v>320000</v>
      </c>
      <c r="O141" s="11" t="n">
        <v>35000</v>
      </c>
      <c r="P141" s="11" t="n">
        <v>120000</v>
      </c>
      <c r="Q141" s="11">
        <f>M141+N141+O141+P141</f>
        <v/>
      </c>
      <c r="R141" s="13">
        <f>ROUND(L141*Q141, 0)</f>
        <v/>
      </c>
    </row>
    <row r="142">
      <c r="A142" s="20" t="n">
        <v>126</v>
      </c>
      <c r="B142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2" s="1" t="inlineStr">
        <is>
          <t>KT10a</t>
        </is>
      </c>
      <c r="D142" s="1" t="inlineStr">
        <is>
          <t>Bụi tổng</t>
        </is>
      </c>
      <c r="E142" s="20" t="inlineStr">
        <is>
          <t>mg/Nm3</t>
        </is>
      </c>
      <c r="F142" s="20" t="n">
        <v>2</v>
      </c>
      <c r="G142" s="20" t="n">
        <v>4</v>
      </c>
      <c r="H142" s="20" t="n">
        <v>1</v>
      </c>
      <c r="I142" s="20" t="n">
        <v>1</v>
      </c>
      <c r="J142" s="1" t="inlineStr"/>
      <c r="K142" s="1" t="inlineStr">
        <is>
          <t>II.8</t>
        </is>
      </c>
      <c r="L142" s="9">
        <f>F142*G142</f>
        <v/>
      </c>
      <c r="M142" s="11" t="n">
        <v>185000</v>
      </c>
      <c r="N142" s="11" t="n">
        <v>320000</v>
      </c>
      <c r="O142" s="11" t="n">
        <v>35000</v>
      </c>
      <c r="P142" s="11" t="n">
        <v>120000</v>
      </c>
      <c r="Q142" s="11">
        <f>M142+N142+O142+P142</f>
        <v/>
      </c>
      <c r="R142" s="13">
        <f>ROUND(L142*Q142, 0)</f>
        <v/>
      </c>
    </row>
    <row r="143">
      <c r="A143" s="20" t="n">
        <v>127</v>
      </c>
      <c r="B143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3" s="1" t="inlineStr">
        <is>
          <t>KT9b</t>
        </is>
      </c>
      <c r="D143" s="1" t="inlineStr">
        <is>
          <t>CO</t>
        </is>
      </c>
      <c r="E143" s="20" t="inlineStr">
        <is>
          <t>mg/Nm3</t>
        </is>
      </c>
      <c r="F143" s="20" t="n">
        <v>2</v>
      </c>
      <c r="G143" s="20" t="n">
        <v>4</v>
      </c>
      <c r="H143" s="20" t="n">
        <v>1</v>
      </c>
      <c r="I143" s="20" t="n">
        <v>1</v>
      </c>
      <c r="J143" s="1" t="inlineStr"/>
      <c r="K143" s="1" t="inlineStr">
        <is>
          <t>II.8</t>
        </is>
      </c>
      <c r="L143" s="9">
        <f>F143*G143</f>
        <v/>
      </c>
      <c r="M143" s="11" t="n">
        <v>185000</v>
      </c>
      <c r="N143" s="11" t="n">
        <v>320000</v>
      </c>
      <c r="O143" s="11" t="n">
        <v>35000</v>
      </c>
      <c r="P143" s="11" t="n">
        <v>120000</v>
      </c>
      <c r="Q143" s="11">
        <f>M143+N143+O143+P143</f>
        <v/>
      </c>
      <c r="R143" s="13">
        <f>ROUND(L143*Q143, 0)</f>
        <v/>
      </c>
    </row>
    <row r="144">
      <c r="A144" s="20" t="n">
        <v>128</v>
      </c>
      <c r="B144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4" s="1" t="inlineStr">
        <is>
          <t>KT9e</t>
        </is>
      </c>
      <c r="D144" s="1" t="inlineStr">
        <is>
          <t>NOx (tính theo NO2)</t>
        </is>
      </c>
      <c r="E144" s="20" t="inlineStr">
        <is>
          <t>mg/Nm3</t>
        </is>
      </c>
      <c r="F144" s="20" t="n">
        <v>2</v>
      </c>
      <c r="G144" s="20" t="n">
        <v>4</v>
      </c>
      <c r="H144" s="20" t="n">
        <v>1</v>
      </c>
      <c r="I144" s="20" t="n">
        <v>1</v>
      </c>
      <c r="J144" s="1" t="inlineStr"/>
      <c r="K144" s="1" t="inlineStr">
        <is>
          <t>II.8</t>
        </is>
      </c>
      <c r="L144" s="9">
        <f>F144*G144</f>
        <v/>
      </c>
      <c r="M144" s="11" t="n">
        <v>185000</v>
      </c>
      <c r="N144" s="11" t="n">
        <v>320000</v>
      </c>
      <c r="O144" s="11" t="n">
        <v>35000</v>
      </c>
      <c r="P144" s="11" t="n">
        <v>120000</v>
      </c>
      <c r="Q144" s="11">
        <f>M144+N144+O144+P144</f>
        <v/>
      </c>
      <c r="R144" s="13">
        <f>ROUND(L144*Q144, 0)</f>
        <v/>
      </c>
    </row>
    <row r="145">
      <c r="A145" s="20" t="n">
        <v>129</v>
      </c>
      <c r="B145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5" s="1" t="inlineStr">
        <is>
          <t>KT9đ</t>
        </is>
      </c>
      <c r="D145" s="1" t="inlineStr">
        <is>
          <t>SO 2</t>
        </is>
      </c>
      <c r="E145" s="20" t="inlineStr">
        <is>
          <t>mg/Nm3</t>
        </is>
      </c>
      <c r="F145" s="20" t="n">
        <v>2</v>
      </c>
      <c r="G145" s="20" t="n">
        <v>4</v>
      </c>
      <c r="H145" s="20" t="n">
        <v>1</v>
      </c>
      <c r="I145" s="20" t="n">
        <v>1</v>
      </c>
      <c r="J145" s="1" t="inlineStr"/>
      <c r="K145" s="1" t="inlineStr">
        <is>
          <t>II.8</t>
        </is>
      </c>
      <c r="L145" s="9">
        <f>F145*G145</f>
        <v/>
      </c>
      <c r="M145" s="11" t="n">
        <v>185000</v>
      </c>
      <c r="N145" s="11" t="n">
        <v>320000</v>
      </c>
      <c r="O145" s="11" t="n">
        <v>35000</v>
      </c>
      <c r="P145" s="11" t="n">
        <v>120000</v>
      </c>
      <c r="Q145" s="11">
        <f>M145+N145+O145+P145</f>
        <v/>
      </c>
      <c r="R145" s="13">
        <f>ROUND(L145*Q145, 0)</f>
        <v/>
      </c>
    </row>
    <row r="146">
      <c r="A146" s="20" t="n">
        <v>130</v>
      </c>
      <c r="B146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6" s="1" t="inlineStr">
        <is>
          <t>KT9a</t>
        </is>
      </c>
      <c r="D146" s="1" t="inlineStr">
        <is>
          <t>O2</t>
        </is>
      </c>
      <c r="E146" s="20" t="inlineStr">
        <is>
          <t>%</t>
        </is>
      </c>
      <c r="F146" s="20" t="n">
        <v>2</v>
      </c>
      <c r="G146" s="20" t="n">
        <v>4</v>
      </c>
      <c r="H146" s="20" t="n">
        <v>1</v>
      </c>
      <c r="I146" s="20" t="n">
        <v>1</v>
      </c>
      <c r="J146" s="1" t="inlineStr"/>
      <c r="K146" s="1" t="inlineStr">
        <is>
          <t>II.8</t>
        </is>
      </c>
      <c r="L146" s="9">
        <f>F146*G146</f>
        <v/>
      </c>
      <c r="M146" s="11" t="n">
        <v>185000</v>
      </c>
      <c r="N146" s="11" t="n">
        <v>320000</v>
      </c>
      <c r="O146" s="11" t="n">
        <v>35000</v>
      </c>
      <c r="P146" s="11" t="n">
        <v>120000</v>
      </c>
      <c r="Q146" s="11">
        <f>M146+N146+O146+P146</f>
        <v/>
      </c>
      <c r="R146" s="13">
        <f>ROUND(L146*Q146, 0)</f>
        <v/>
      </c>
    </row>
    <row r="147">
      <c r="A147" s="15" t="inlineStr"/>
      <c r="B147" s="16" t="inlineStr"/>
      <c r="C147" s="16" t="inlineStr"/>
      <c r="D147" s="17" t="inlineStr">
        <is>
          <t>PHẦN: GIÁM SÁT NƯỚC LÀM MÁT, NƯỚC THẢI TỪ HỆ THỐNG KHỬ LƯU HUỲNH BẰNG NƯỚC BIỂN, NƯỚC THẢI TỪ HỆ THỐNG LỌC NƯỚC BIỂN</t>
        </is>
      </c>
      <c r="E147" s="15" t="inlineStr"/>
      <c r="F147" s="15" t="inlineStr"/>
      <c r="G147" s="15" t="inlineStr"/>
      <c r="H147" s="15" t="inlineStr"/>
      <c r="I147" s="15" t="inlineStr"/>
      <c r="J147" s="16" t="inlineStr"/>
      <c r="K147" s="16" t="inlineStr"/>
      <c r="L147" s="18" t="inlineStr"/>
      <c r="M147" s="19" t="inlineStr"/>
      <c r="N147" s="19" t="inlineStr"/>
      <c r="O147" s="19" t="inlineStr"/>
      <c r="P147" s="19" t="inlineStr"/>
      <c r="Q147" s="19" t="inlineStr"/>
      <c r="R147" s="13" t="inlineStr"/>
    </row>
    <row r="148">
      <c r="A148" s="20" t="n">
        <v>131</v>
      </c>
      <c r="B148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8" s="1" t="inlineStr">
        <is>
          <t>NT1</t>
        </is>
      </c>
      <c r="D148" s="1" t="inlineStr">
        <is>
          <t>Nhiệt độ</t>
        </is>
      </c>
      <c r="E148" s="20" t="inlineStr">
        <is>
          <t>0C</t>
        </is>
      </c>
      <c r="F148" s="20" t="n">
        <v>2</v>
      </c>
      <c r="G148" s="20" t="n">
        <v>4</v>
      </c>
      <c r="H148" s="20" t="n">
        <v>1</v>
      </c>
      <c r="I148" s="20" t="n">
        <v>1</v>
      </c>
      <c r="J148" s="1" t="inlineStr"/>
      <c r="K148" s="1" t="inlineStr">
        <is>
          <t>II.9</t>
        </is>
      </c>
      <c r="L148" s="9">
        <f>F148*G148</f>
        <v/>
      </c>
      <c r="M148" s="11" t="n">
        <v>185000</v>
      </c>
      <c r="N148" s="11" t="n">
        <v>320000</v>
      </c>
      <c r="O148" s="11" t="n">
        <v>35000</v>
      </c>
      <c r="P148" s="11" t="n">
        <v>120000</v>
      </c>
      <c r="Q148" s="11">
        <f>M148+N148+O148+P148</f>
        <v/>
      </c>
      <c r="R148" s="13">
        <f>ROUND(L148*Q148, 0)</f>
        <v/>
      </c>
    </row>
    <row r="149">
      <c r="A149" s="20" t="n">
        <v>132</v>
      </c>
      <c r="B149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9" s="1" t="inlineStr">
        <is>
          <t>NT2</t>
        </is>
      </c>
      <c r="D149" s="1" t="inlineStr">
        <is>
          <t>pH</t>
        </is>
      </c>
      <c r="E149" s="20" t="inlineStr">
        <is>
          <t>-</t>
        </is>
      </c>
      <c r="F149" s="20" t="n">
        <v>2</v>
      </c>
      <c r="G149" s="20" t="n">
        <v>4</v>
      </c>
      <c r="H149" s="20" t="n">
        <v>1</v>
      </c>
      <c r="I149" s="20" t="n">
        <v>1</v>
      </c>
      <c r="J149" s="1" t="inlineStr"/>
      <c r="K149" s="1" t="inlineStr">
        <is>
          <t>II.9</t>
        </is>
      </c>
      <c r="L149" s="9">
        <f>F149*G149</f>
        <v/>
      </c>
      <c r="M149" s="11" t="n">
        <v>185000</v>
      </c>
      <c r="N149" s="11" t="n">
        <v>320000</v>
      </c>
      <c r="O149" s="11" t="n">
        <v>35000</v>
      </c>
      <c r="P149" s="11" t="n">
        <v>120000</v>
      </c>
      <c r="Q149" s="11">
        <f>M149+N149+O149+P149</f>
        <v/>
      </c>
      <c r="R149" s="13">
        <f>ROUND(L149*Q149, 0)</f>
        <v/>
      </c>
    </row>
    <row r="150">
      <c r="A150" s="20" t="n">
        <v>133</v>
      </c>
      <c r="B150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0" s="1" t="inlineStr">
        <is>
          <t>NT10j</t>
        </is>
      </c>
      <c r="D150" s="1" t="inlineStr">
        <is>
          <t>Clo dư</t>
        </is>
      </c>
      <c r="E150" s="20" t="inlineStr">
        <is>
          <t>mg/l</t>
        </is>
      </c>
      <c r="F150" s="20" t="n">
        <v>2</v>
      </c>
      <c r="G150" s="20" t="n">
        <v>4</v>
      </c>
      <c r="H150" s="20" t="n">
        <v>1</v>
      </c>
      <c r="I150" s="20" t="n">
        <v>1</v>
      </c>
      <c r="J150" s="1" t="inlineStr"/>
      <c r="K150" s="1" t="inlineStr">
        <is>
          <t>II.9</t>
        </is>
      </c>
      <c r="L150" s="9">
        <f>F150*G150</f>
        <v/>
      </c>
      <c r="M150" s="11" t="n">
        <v>185000</v>
      </c>
      <c r="N150" s="11" t="n">
        <v>320000</v>
      </c>
      <c r="O150" s="11" t="n">
        <v>35000</v>
      </c>
      <c r="P150" s="11" t="n">
        <v>120000</v>
      </c>
      <c r="Q150" s="11">
        <f>M150+N150+O150+P150</f>
        <v/>
      </c>
      <c r="R150" s="13">
        <f>ROUND(L150*Q150, 0)</f>
        <v/>
      </c>
    </row>
    <row r="151">
      <c r="A151" s="20" t="n">
        <v>134</v>
      </c>
      <c r="B151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1" s="1" t="inlineStr">
        <is>
          <t>NT5b</t>
        </is>
      </c>
      <c r="D151" s="1" t="inlineStr">
        <is>
          <t>COD</t>
        </is>
      </c>
      <c r="E151" s="20" t="inlineStr">
        <is>
          <t>mg/l</t>
        </is>
      </c>
      <c r="F151" s="20" t="n">
        <v>2</v>
      </c>
      <c r="G151" s="20" t="n">
        <v>4</v>
      </c>
      <c r="H151" s="20" t="n">
        <v>1</v>
      </c>
      <c r="I151" s="20" t="n">
        <v>1</v>
      </c>
      <c r="J151" s="1" t="inlineStr"/>
      <c r="K151" s="1" t="inlineStr">
        <is>
          <t>II.9</t>
        </is>
      </c>
      <c r="L151" s="9">
        <f>F151*G151</f>
        <v/>
      </c>
      <c r="M151" s="11" t="n">
        <v>185000</v>
      </c>
      <c r="N151" s="11" t="n">
        <v>320000</v>
      </c>
      <c r="O151" s="11" t="n">
        <v>35000</v>
      </c>
      <c r="P151" s="11" t="n">
        <v>120000</v>
      </c>
      <c r="Q151" s="11">
        <f>M151+N151+O151+P151</f>
        <v/>
      </c>
      <c r="R151" s="13">
        <f>ROUND(L151*Q151, 0)</f>
        <v/>
      </c>
    </row>
    <row r="152">
      <c r="A152" s="20" t="n">
        <v>135</v>
      </c>
      <c r="B152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2" s="1" t="inlineStr">
        <is>
          <t>NT6</t>
        </is>
      </c>
      <c r="D152" s="1" t="inlineStr">
        <is>
          <t>TSS</t>
        </is>
      </c>
      <c r="E152" s="20" t="inlineStr">
        <is>
          <t>mg/l</t>
        </is>
      </c>
      <c r="F152" s="20" t="n">
        <v>2</v>
      </c>
      <c r="G152" s="20" t="n">
        <v>4</v>
      </c>
      <c r="H152" s="20" t="n">
        <v>1</v>
      </c>
      <c r="I152" s="20" t="n">
        <v>1</v>
      </c>
      <c r="J152" s="1" t="inlineStr"/>
      <c r="K152" s="1" t="inlineStr">
        <is>
          <t>II.9</t>
        </is>
      </c>
      <c r="L152" s="9">
        <f>F152*G152</f>
        <v/>
      </c>
      <c r="M152" s="11" t="n">
        <v>185000</v>
      </c>
      <c r="N152" s="11" t="n">
        <v>320000</v>
      </c>
      <c r="O152" s="11" t="n">
        <v>35000</v>
      </c>
      <c r="P152" s="11" t="n">
        <v>120000</v>
      </c>
      <c r="Q152" s="11">
        <f>M152+N152+O152+P152</f>
        <v/>
      </c>
      <c r="R152" s="13">
        <f>ROUND(L152*Q152, 0)</f>
        <v/>
      </c>
    </row>
    <row r="153">
      <c r="A153" s="20" t="n">
        <v>136</v>
      </c>
      <c r="B153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3" s="1" t="inlineStr">
        <is>
          <t>MỤC 2</t>
        </is>
      </c>
      <c r="D153" s="1" t="inlineStr">
        <is>
          <t>Tiêu đề: Nước thải sau xử lý của HTXLNT tập trung</t>
        </is>
      </c>
      <c r="E153" s="20" t="inlineStr">
        <is>
          <t>Header</t>
        </is>
      </c>
      <c r="F153" s="20" t="n">
        <v>1</v>
      </c>
      <c r="G153" s="20" t="n">
        <v>1</v>
      </c>
      <c r="H153" s="20" t="n">
        <v>1</v>
      </c>
      <c r="I153" s="20" t="n">
        <v>1</v>
      </c>
      <c r="J153" s="1" t="inlineStr"/>
      <c r="K153" s="1" t="inlineStr"/>
      <c r="L153" s="9">
        <f>F153*G153</f>
        <v/>
      </c>
      <c r="M153" s="11" t="n">
        <v>185000</v>
      </c>
      <c r="N153" s="11" t="n">
        <v>320000</v>
      </c>
      <c r="O153" s="11" t="n">
        <v>35000</v>
      </c>
      <c r="P153" s="11" t="n">
        <v>120000</v>
      </c>
      <c r="Q153" s="11">
        <f>M153+N153+O153+P153</f>
        <v/>
      </c>
      <c r="R153" s="13">
        <f>ROUND(L153*Q153, 0)</f>
        <v/>
      </c>
    </row>
    <row r="154">
      <c r="A154" s="20" t="n">
        <v>137</v>
      </c>
      <c r="B15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4" s="1" t="inlineStr">
        <is>
          <t>NT1</t>
        </is>
      </c>
      <c r="D154" s="1" t="inlineStr">
        <is>
          <t>Nhiệt độ</t>
        </is>
      </c>
      <c r="E154" s="20" t="inlineStr">
        <is>
          <t>0C</t>
        </is>
      </c>
      <c r="F154" s="20" t="n">
        <v>2</v>
      </c>
      <c r="G154" s="20" t="n">
        <v>4</v>
      </c>
      <c r="H154" s="20" t="n">
        <v>1</v>
      </c>
      <c r="I154" s="20" t="n">
        <v>1</v>
      </c>
      <c r="J154" s="1" t="inlineStr"/>
      <c r="K154" s="1" t="inlineStr">
        <is>
          <t>II.9</t>
        </is>
      </c>
      <c r="L154" s="9">
        <f>F154*G154</f>
        <v/>
      </c>
      <c r="M154" s="11" t="n">
        <v>185000</v>
      </c>
      <c r="N154" s="11" t="n">
        <v>320000</v>
      </c>
      <c r="O154" s="11" t="n">
        <v>35000</v>
      </c>
      <c r="P154" s="11" t="n">
        <v>120000</v>
      </c>
      <c r="Q154" s="11">
        <f>M154+N154+O154+P154</f>
        <v/>
      </c>
      <c r="R154" s="13">
        <f>ROUND(L154*Q154, 0)</f>
        <v/>
      </c>
    </row>
    <row r="155">
      <c r="A155" s="20" t="n">
        <v>138</v>
      </c>
      <c r="B15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5" s="1" t="inlineStr">
        <is>
          <t>NT2</t>
        </is>
      </c>
      <c r="D155" s="1" t="inlineStr">
        <is>
          <t>pH</t>
        </is>
      </c>
      <c r="E155" s="20" t="inlineStr">
        <is>
          <t>-</t>
        </is>
      </c>
      <c r="F155" s="20" t="n">
        <v>2</v>
      </c>
      <c r="G155" s="20" t="n">
        <v>4</v>
      </c>
      <c r="H155" s="20" t="n">
        <v>1</v>
      </c>
      <c r="I155" s="20" t="n">
        <v>1</v>
      </c>
      <c r="J155" s="1" t="inlineStr"/>
      <c r="K155" s="1" t="inlineStr">
        <is>
          <t>II.9</t>
        </is>
      </c>
      <c r="L155" s="9">
        <f>F155*G155</f>
        <v/>
      </c>
      <c r="M155" s="11" t="n">
        <v>185000</v>
      </c>
      <c r="N155" s="11" t="n">
        <v>320000</v>
      </c>
      <c r="O155" s="11" t="n">
        <v>35000</v>
      </c>
      <c r="P155" s="11" t="n">
        <v>120000</v>
      </c>
      <c r="Q155" s="11">
        <f>M155+N155+O155+P155</f>
        <v/>
      </c>
      <c r="R155" s="13">
        <f>ROUND(L155*Q155, 0)</f>
        <v/>
      </c>
    </row>
    <row r="156">
      <c r="A156" s="20" t="n">
        <v>139</v>
      </c>
      <c r="B15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6" s="1" t="inlineStr">
        <is>
          <t>NT4b</t>
        </is>
      </c>
      <c r="D156" s="1" t="inlineStr">
        <is>
          <t>Độ màu</t>
        </is>
      </c>
      <c r="E156" s="20" t="inlineStr">
        <is>
          <t>Pt/Co</t>
        </is>
      </c>
      <c r="F156" s="20" t="n">
        <v>2</v>
      </c>
      <c r="G156" s="20" t="n">
        <v>4</v>
      </c>
      <c r="H156" s="20" t="n">
        <v>1</v>
      </c>
      <c r="I156" s="20" t="n">
        <v>1</v>
      </c>
      <c r="J156" s="1" t="inlineStr"/>
      <c r="K156" s="1" t="inlineStr">
        <is>
          <t>II.9</t>
        </is>
      </c>
      <c r="L156" s="9">
        <f>F156*G156</f>
        <v/>
      </c>
      <c r="M156" s="11" t="n">
        <v>185000</v>
      </c>
      <c r="N156" s="11" t="n">
        <v>320000</v>
      </c>
      <c r="O156" s="11" t="n">
        <v>35000</v>
      </c>
      <c r="P156" s="11" t="n">
        <v>120000</v>
      </c>
      <c r="Q156" s="11">
        <f>M156+N156+O156+P156</f>
        <v/>
      </c>
      <c r="R156" s="13">
        <f>ROUND(L156*Q156, 0)</f>
        <v/>
      </c>
    </row>
    <row r="157">
      <c r="A157" s="20" t="n">
        <v>140</v>
      </c>
      <c r="B15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7" s="1" t="inlineStr">
        <is>
          <t>NT5a</t>
        </is>
      </c>
      <c r="D157" s="1" t="inlineStr">
        <is>
          <t>BOD5</t>
        </is>
      </c>
      <c r="E157" s="20" t="inlineStr">
        <is>
          <t>mg/l</t>
        </is>
      </c>
      <c r="F157" s="20" t="n">
        <v>2</v>
      </c>
      <c r="G157" s="20" t="n">
        <v>4</v>
      </c>
      <c r="H157" s="20" t="n">
        <v>1</v>
      </c>
      <c r="I157" s="20" t="n">
        <v>1</v>
      </c>
      <c r="J157" s="1" t="inlineStr"/>
      <c r="K157" s="1" t="inlineStr">
        <is>
          <t>II.9</t>
        </is>
      </c>
      <c r="L157" s="9">
        <f>F157*G157</f>
        <v/>
      </c>
      <c r="M157" s="11" t="n">
        <v>185000</v>
      </c>
      <c r="N157" s="11" t="n">
        <v>320000</v>
      </c>
      <c r="O157" s="11" t="n">
        <v>35000</v>
      </c>
      <c r="P157" s="11" t="n">
        <v>120000</v>
      </c>
      <c r="Q157" s="11">
        <f>M157+N157+O157+P157</f>
        <v/>
      </c>
      <c r="R157" s="13">
        <f>ROUND(L157*Q157, 0)</f>
        <v/>
      </c>
    </row>
    <row r="158">
      <c r="A158" s="20" t="n">
        <v>141</v>
      </c>
      <c r="B15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8" s="1" t="inlineStr">
        <is>
          <t>NT5b</t>
        </is>
      </c>
      <c r="D158" s="1" t="inlineStr">
        <is>
          <t>COD</t>
        </is>
      </c>
      <c r="E158" s="20" t="inlineStr">
        <is>
          <t>mg/l</t>
        </is>
      </c>
      <c r="F158" s="20" t="n">
        <v>2</v>
      </c>
      <c r="G158" s="20" t="n">
        <v>4</v>
      </c>
      <c r="H158" s="20" t="n">
        <v>1</v>
      </c>
      <c r="I158" s="20" t="n">
        <v>1</v>
      </c>
      <c r="J158" s="1" t="inlineStr"/>
      <c r="K158" s="1" t="inlineStr">
        <is>
          <t>II.9</t>
        </is>
      </c>
      <c r="L158" s="9">
        <f>F158*G158</f>
        <v/>
      </c>
      <c r="M158" s="11" t="n">
        <v>185000</v>
      </c>
      <c r="N158" s="11" t="n">
        <v>320000</v>
      </c>
      <c r="O158" s="11" t="n">
        <v>35000</v>
      </c>
      <c r="P158" s="11" t="n">
        <v>120000</v>
      </c>
      <c r="Q158" s="11">
        <f>M158+N158+O158+P158</f>
        <v/>
      </c>
      <c r="R158" s="13">
        <f>ROUND(L158*Q158, 0)</f>
        <v/>
      </c>
    </row>
    <row r="159">
      <c r="A159" s="20" t="n">
        <v>142</v>
      </c>
      <c r="B15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9" s="1" t="inlineStr">
        <is>
          <t>NT6</t>
        </is>
      </c>
      <c r="D159" s="1" t="inlineStr">
        <is>
          <t>TSS</t>
        </is>
      </c>
      <c r="E159" s="20" t="inlineStr">
        <is>
          <t>mg/l</t>
        </is>
      </c>
      <c r="F159" s="20" t="n">
        <v>2</v>
      </c>
      <c r="G159" s="20" t="n">
        <v>4</v>
      </c>
      <c r="H159" s="20" t="n">
        <v>1</v>
      </c>
      <c r="I159" s="20" t="n">
        <v>1</v>
      </c>
      <c r="J159" s="1" t="inlineStr"/>
      <c r="K159" s="1" t="inlineStr">
        <is>
          <t>II.9</t>
        </is>
      </c>
      <c r="L159" s="9">
        <f>F159*G159</f>
        <v/>
      </c>
      <c r="M159" s="11" t="n">
        <v>185000</v>
      </c>
      <c r="N159" s="11" t="n">
        <v>320000</v>
      </c>
      <c r="O159" s="11" t="n">
        <v>35000</v>
      </c>
      <c r="P159" s="11" t="n">
        <v>120000</v>
      </c>
      <c r="Q159" s="11">
        <f>M159+N159+O159+P159</f>
        <v/>
      </c>
      <c r="R159" s="13">
        <f>ROUND(L159*Q159, 0)</f>
        <v/>
      </c>
    </row>
    <row r="160">
      <c r="A160" s="20" t="n">
        <v>143</v>
      </c>
      <c r="B16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0" s="1" t="inlineStr">
        <is>
          <t>NT10c</t>
        </is>
      </c>
      <c r="D160" s="1" t="inlineStr">
        <is>
          <t>Amoni (tính theo N)</t>
        </is>
      </c>
      <c r="E160" s="20" t="inlineStr">
        <is>
          <t>mg/l</t>
        </is>
      </c>
      <c r="F160" s="20" t="n">
        <v>2</v>
      </c>
      <c r="G160" s="20" t="n">
        <v>4</v>
      </c>
      <c r="H160" s="20" t="n">
        <v>1</v>
      </c>
      <c r="I160" s="20" t="n">
        <v>1</v>
      </c>
      <c r="J160" s="1" t="inlineStr"/>
      <c r="K160" s="1" t="inlineStr">
        <is>
          <t>II.9</t>
        </is>
      </c>
      <c r="L160" s="9">
        <f>F160*G160</f>
        <v/>
      </c>
      <c r="M160" s="11" t="n">
        <v>185000</v>
      </c>
      <c r="N160" s="11" t="n">
        <v>320000</v>
      </c>
      <c r="O160" s="11" t="n">
        <v>35000</v>
      </c>
      <c r="P160" s="11" t="n">
        <v>120000</v>
      </c>
      <c r="Q160" s="11">
        <f>M160+N160+O160+P160</f>
        <v/>
      </c>
      <c r="R160" s="13">
        <f>ROUND(L160*Q160, 0)</f>
        <v/>
      </c>
    </row>
    <row r="161">
      <c r="A161" s="20" t="n">
        <v>144</v>
      </c>
      <c r="B16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1" s="1" t="inlineStr">
        <is>
          <t>NT10l1</t>
        </is>
      </c>
      <c r="D161" s="1" t="inlineStr">
        <is>
          <t>Asen</t>
        </is>
      </c>
      <c r="E161" s="20" t="inlineStr">
        <is>
          <t>mg/l</t>
        </is>
      </c>
      <c r="F161" s="20" t="n">
        <v>2</v>
      </c>
      <c r="G161" s="20" t="n">
        <v>4</v>
      </c>
      <c r="H161" s="20" t="n">
        <v>1</v>
      </c>
      <c r="I161" s="20" t="n">
        <v>1</v>
      </c>
      <c r="J161" s="1" t="inlineStr"/>
      <c r="K161" s="1" t="inlineStr">
        <is>
          <t>II.9</t>
        </is>
      </c>
      <c r="L161" s="9">
        <f>F161*G161</f>
        <v/>
      </c>
      <c r="M161" s="11" t="n">
        <v>185000</v>
      </c>
      <c r="N161" s="11" t="n">
        <v>320000</v>
      </c>
      <c r="O161" s="11" t="n">
        <v>35000</v>
      </c>
      <c r="P161" s="11" t="n">
        <v>120000</v>
      </c>
      <c r="Q161" s="11">
        <f>M161+N161+O161+P161</f>
        <v/>
      </c>
      <c r="R161" s="13">
        <f>ROUND(L161*Q161, 0)</f>
        <v/>
      </c>
    </row>
    <row r="162">
      <c r="A162" s="20" t="n">
        <v>145</v>
      </c>
      <c r="B16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2" s="1" t="inlineStr">
        <is>
          <t>NT10l2</t>
        </is>
      </c>
      <c r="D162" s="1" t="inlineStr">
        <is>
          <t>Thủy ngân</t>
        </is>
      </c>
      <c r="E162" s="20" t="inlineStr">
        <is>
          <t>mg/l</t>
        </is>
      </c>
      <c r="F162" s="20" t="n">
        <v>2</v>
      </c>
      <c r="G162" s="20" t="n">
        <v>4</v>
      </c>
      <c r="H162" s="20" t="n">
        <v>1</v>
      </c>
      <c r="I162" s="20" t="n">
        <v>1</v>
      </c>
      <c r="J162" s="1" t="inlineStr"/>
      <c r="K162" s="1" t="inlineStr">
        <is>
          <t>II.9</t>
        </is>
      </c>
      <c r="L162" s="9">
        <f>F162*G162</f>
        <v/>
      </c>
      <c r="M162" s="11" t="n">
        <v>185000</v>
      </c>
      <c r="N162" s="11" t="n">
        <v>320000</v>
      </c>
      <c r="O162" s="11" t="n">
        <v>35000</v>
      </c>
      <c r="P162" s="11" t="n">
        <v>120000</v>
      </c>
      <c r="Q162" s="11">
        <f>M162+N162+O162+P162</f>
        <v/>
      </c>
      <c r="R162" s="13">
        <f>ROUND(L162*Q162, 0)</f>
        <v/>
      </c>
    </row>
    <row r="163">
      <c r="A163" s="20" t="n">
        <v>146</v>
      </c>
      <c r="B16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3" s="1" t="inlineStr">
        <is>
          <t>NT10đ</t>
        </is>
      </c>
      <c r="D163" s="1" t="inlineStr">
        <is>
          <t>Crom (VI)</t>
        </is>
      </c>
      <c r="E163" s="20" t="inlineStr">
        <is>
          <t>mg/l</t>
        </is>
      </c>
      <c r="F163" s="20" t="n">
        <v>2</v>
      </c>
      <c r="G163" s="20" t="n">
        <v>4</v>
      </c>
      <c r="H163" s="20" t="n">
        <v>1</v>
      </c>
      <c r="I163" s="20" t="n">
        <v>1</v>
      </c>
      <c r="J163" s="1" t="inlineStr"/>
      <c r="K163" s="1" t="inlineStr">
        <is>
          <t>II.9</t>
        </is>
      </c>
      <c r="L163" s="9">
        <f>F163*G163</f>
        <v/>
      </c>
      <c r="M163" s="11" t="n">
        <v>185000</v>
      </c>
      <c r="N163" s="11" t="n">
        <v>320000</v>
      </c>
      <c r="O163" s="11" t="n">
        <v>35000</v>
      </c>
      <c r="P163" s="11" t="n">
        <v>120000</v>
      </c>
      <c r="Q163" s="11">
        <f>M163+N163+O163+P163</f>
        <v/>
      </c>
      <c r="R163" s="13">
        <f>ROUND(L163*Q163, 0)</f>
        <v/>
      </c>
    </row>
    <row r="164">
      <c r="A164" s="20" t="n">
        <v>147</v>
      </c>
      <c r="B16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4" s="1" t="inlineStr">
        <is>
          <t>NT10m5</t>
        </is>
      </c>
      <c r="D164" s="1" t="inlineStr">
        <is>
          <t>Crom (III)</t>
        </is>
      </c>
      <c r="E164" s="20" t="inlineStr">
        <is>
          <t>mg/l</t>
        </is>
      </c>
      <c r="F164" s="20" t="n">
        <v>2</v>
      </c>
      <c r="G164" s="20" t="n">
        <v>4</v>
      </c>
      <c r="H164" s="20" t="n">
        <v>1</v>
      </c>
      <c r="I164" s="20" t="n">
        <v>1</v>
      </c>
      <c r="J164" s="1" t="inlineStr"/>
      <c r="K164" s="1" t="inlineStr">
        <is>
          <t>II.9</t>
        </is>
      </c>
      <c r="L164" s="9">
        <f>F164*G164</f>
        <v/>
      </c>
      <c r="M164" s="11" t="n">
        <v>185000</v>
      </c>
      <c r="N164" s="11" t="n">
        <v>320000</v>
      </c>
      <c r="O164" s="11" t="n">
        <v>35000</v>
      </c>
      <c r="P164" s="11" t="n">
        <v>120000</v>
      </c>
      <c r="Q164" s="11">
        <f>M164+N164+O164+P164</f>
        <v/>
      </c>
      <c r="R164" s="13">
        <f>ROUND(L164*Q164, 0)</f>
        <v/>
      </c>
    </row>
    <row r="165">
      <c r="A165" s="20" t="n">
        <v>148</v>
      </c>
      <c r="B16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5" s="1" t="inlineStr">
        <is>
          <t>NT10k1</t>
        </is>
      </c>
      <c r="D165" s="1" t="inlineStr">
        <is>
          <t>Chì</t>
        </is>
      </c>
      <c r="E165" s="20" t="inlineStr">
        <is>
          <t>mg/l</t>
        </is>
      </c>
      <c r="F165" s="20" t="n">
        <v>2</v>
      </c>
      <c r="G165" s="20" t="n">
        <v>4</v>
      </c>
      <c r="H165" s="20" t="n">
        <v>1</v>
      </c>
      <c r="I165" s="20" t="n">
        <v>1</v>
      </c>
      <c r="J165" s="1" t="inlineStr"/>
      <c r="K165" s="1" t="inlineStr">
        <is>
          <t>II.9</t>
        </is>
      </c>
      <c r="L165" s="9">
        <f>F165*G165</f>
        <v/>
      </c>
      <c r="M165" s="11" t="n">
        <v>185000</v>
      </c>
      <c r="N165" s="11" t="n">
        <v>320000</v>
      </c>
      <c r="O165" s="11" t="n">
        <v>35000</v>
      </c>
      <c r="P165" s="11" t="n">
        <v>120000</v>
      </c>
      <c r="Q165" s="11">
        <f>M165+N165+O165+P165</f>
        <v/>
      </c>
      <c r="R165" s="13">
        <f>ROUND(L165*Q165, 0)</f>
        <v/>
      </c>
    </row>
    <row r="166">
      <c r="A166" s="20" t="n">
        <v>149</v>
      </c>
      <c r="B16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6" s="1" t="inlineStr">
        <is>
          <t>NT10k2</t>
        </is>
      </c>
      <c r="D166" s="1" t="inlineStr">
        <is>
          <t>Cadimi</t>
        </is>
      </c>
      <c r="E166" s="20" t="inlineStr">
        <is>
          <t>mg/l</t>
        </is>
      </c>
      <c r="F166" s="20" t="n">
        <v>2</v>
      </c>
      <c r="G166" s="20" t="n">
        <v>4</v>
      </c>
      <c r="H166" s="20" t="n">
        <v>1</v>
      </c>
      <c r="I166" s="20" t="n">
        <v>1</v>
      </c>
      <c r="J166" s="1" t="inlineStr"/>
      <c r="K166" s="1" t="inlineStr">
        <is>
          <t>II.9</t>
        </is>
      </c>
      <c r="L166" s="9">
        <f>F166*G166</f>
        <v/>
      </c>
      <c r="M166" s="11" t="n">
        <v>185000</v>
      </c>
      <c r="N166" s="11" t="n">
        <v>320000</v>
      </c>
      <c r="O166" s="11" t="n">
        <v>35000</v>
      </c>
      <c r="P166" s="11" t="n">
        <v>120000</v>
      </c>
      <c r="Q166" s="11">
        <f>M166+N166+O166+P166</f>
        <v/>
      </c>
      <c r="R166" s="13">
        <f>ROUND(L166*Q166, 0)</f>
        <v/>
      </c>
    </row>
    <row r="167">
      <c r="A167" s="20" t="n">
        <v>150</v>
      </c>
      <c r="B16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7" s="1" t="inlineStr">
        <is>
          <t>NT10m1</t>
        </is>
      </c>
      <c r="D167" s="1" t="inlineStr">
        <is>
          <t>Đồng</t>
        </is>
      </c>
      <c r="E167" s="20" t="inlineStr">
        <is>
          <t>mg/l</t>
        </is>
      </c>
      <c r="F167" s="20" t="n">
        <v>2</v>
      </c>
      <c r="G167" s="20" t="n">
        <v>4</v>
      </c>
      <c r="H167" s="20" t="n">
        <v>1</v>
      </c>
      <c r="I167" s="20" t="n">
        <v>1</v>
      </c>
      <c r="J167" s="1" t="inlineStr"/>
      <c r="K167" s="1" t="inlineStr">
        <is>
          <t>II.9</t>
        </is>
      </c>
      <c r="L167" s="9">
        <f>F167*G167</f>
        <v/>
      </c>
      <c r="M167" s="11" t="n">
        <v>185000</v>
      </c>
      <c r="N167" s="11" t="n">
        <v>320000</v>
      </c>
      <c r="O167" s="11" t="n">
        <v>35000</v>
      </c>
      <c r="P167" s="11" t="n">
        <v>120000</v>
      </c>
      <c r="Q167" s="11">
        <f>M167+N167+O167+P167</f>
        <v/>
      </c>
      <c r="R167" s="13">
        <f>ROUND(L167*Q167, 0)</f>
        <v/>
      </c>
    </row>
    <row r="168">
      <c r="A168" s="20" t="n">
        <v>151</v>
      </c>
      <c r="B16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8" s="1" t="inlineStr">
        <is>
          <t>NT10m2</t>
        </is>
      </c>
      <c r="D168" s="1" t="inlineStr">
        <is>
          <t>Kẽm</t>
        </is>
      </c>
      <c r="E168" s="20" t="inlineStr">
        <is>
          <t>mg/l</t>
        </is>
      </c>
      <c r="F168" s="20" t="n">
        <v>2</v>
      </c>
      <c r="G168" s="20" t="n">
        <v>4</v>
      </c>
      <c r="H168" s="20" t="n">
        <v>1</v>
      </c>
      <c r="I168" s="20" t="n">
        <v>1</v>
      </c>
      <c r="J168" s="1" t="inlineStr"/>
      <c r="K168" s="1" t="inlineStr">
        <is>
          <t>II.9</t>
        </is>
      </c>
      <c r="L168" s="9">
        <f>F168*G168</f>
        <v/>
      </c>
      <c r="M168" s="11" t="n">
        <v>185000</v>
      </c>
      <c r="N168" s="11" t="n">
        <v>320000</v>
      </c>
      <c r="O168" s="11" t="n">
        <v>35000</v>
      </c>
      <c r="P168" s="11" t="n">
        <v>120000</v>
      </c>
      <c r="Q168" s="11">
        <f>M168+N168+O168+P168</f>
        <v/>
      </c>
      <c r="R168" s="13">
        <f>ROUND(L168*Q168, 0)</f>
        <v/>
      </c>
    </row>
    <row r="169">
      <c r="A169" s="20" t="n">
        <v>152</v>
      </c>
      <c r="B16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9" s="1" t="inlineStr">
        <is>
          <t>NT10m6</t>
        </is>
      </c>
      <c r="D169" s="1" t="inlineStr">
        <is>
          <t>Niken</t>
        </is>
      </c>
      <c r="E169" s="20" t="inlineStr">
        <is>
          <t>mg/l</t>
        </is>
      </c>
      <c r="F169" s="20" t="n">
        <v>2</v>
      </c>
      <c r="G169" s="20" t="n">
        <v>4</v>
      </c>
      <c r="H169" s="20" t="n">
        <v>1</v>
      </c>
      <c r="I169" s="20" t="n">
        <v>1</v>
      </c>
      <c r="J169" s="1" t="inlineStr"/>
      <c r="K169" s="1" t="inlineStr">
        <is>
          <t>II.9</t>
        </is>
      </c>
      <c r="L169" s="9">
        <f>F169*G169</f>
        <v/>
      </c>
      <c r="M169" s="11" t="n">
        <v>185000</v>
      </c>
      <c r="N169" s="11" t="n">
        <v>320000</v>
      </c>
      <c r="O169" s="11" t="n">
        <v>35000</v>
      </c>
      <c r="P169" s="11" t="n">
        <v>120000</v>
      </c>
      <c r="Q169" s="11">
        <f>M169+N169+O169+P169</f>
        <v/>
      </c>
      <c r="R169" s="13">
        <f>ROUND(L169*Q169, 0)</f>
        <v/>
      </c>
    </row>
    <row r="170">
      <c r="A170" s="20" t="n">
        <v>153</v>
      </c>
      <c r="B17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0" s="1" t="inlineStr">
        <is>
          <t>NT10m3</t>
        </is>
      </c>
      <c r="D170" s="1" t="inlineStr">
        <is>
          <t>Mangan</t>
        </is>
      </c>
      <c r="E170" s="20" t="inlineStr">
        <is>
          <t>mg/l</t>
        </is>
      </c>
      <c r="F170" s="20" t="n">
        <v>2</v>
      </c>
      <c r="G170" s="20" t="n">
        <v>4</v>
      </c>
      <c r="H170" s="20" t="n">
        <v>1</v>
      </c>
      <c r="I170" s="20" t="n">
        <v>1</v>
      </c>
      <c r="J170" s="1" t="inlineStr"/>
      <c r="K170" s="1" t="inlineStr">
        <is>
          <t>II.9</t>
        </is>
      </c>
      <c r="L170" s="9">
        <f>F170*G170</f>
        <v/>
      </c>
      <c r="M170" s="11" t="n">
        <v>185000</v>
      </c>
      <c r="N170" s="11" t="n">
        <v>320000</v>
      </c>
      <c r="O170" s="11" t="n">
        <v>35000</v>
      </c>
      <c r="P170" s="11" t="n">
        <v>120000</v>
      </c>
      <c r="Q170" s="11">
        <f>M170+N170+O170+P170</f>
        <v/>
      </c>
      <c r="R170" s="13">
        <f>ROUND(L170*Q170, 0)</f>
        <v/>
      </c>
    </row>
    <row r="171">
      <c r="A171" s="20" t="n">
        <v>154</v>
      </c>
      <c r="B17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1" s="1" t="inlineStr">
        <is>
          <t>NT10m4</t>
        </is>
      </c>
      <c r="D171" s="1" t="inlineStr">
        <is>
          <t>Sắt</t>
        </is>
      </c>
      <c r="E171" s="20" t="inlineStr">
        <is>
          <t>mg/l</t>
        </is>
      </c>
      <c r="F171" s="20" t="n">
        <v>2</v>
      </c>
      <c r="G171" s="20" t="n">
        <v>4</v>
      </c>
      <c r="H171" s="20" t="n">
        <v>1</v>
      </c>
      <c r="I171" s="20" t="n">
        <v>1</v>
      </c>
      <c r="J171" s="1" t="inlineStr"/>
      <c r="K171" s="1" t="inlineStr">
        <is>
          <t>II.9</t>
        </is>
      </c>
      <c r="L171" s="9">
        <f>F171*G171</f>
        <v/>
      </c>
      <c r="M171" s="11" t="n">
        <v>185000</v>
      </c>
      <c r="N171" s="11" t="n">
        <v>320000</v>
      </c>
      <c r="O171" s="11" t="n">
        <v>35000</v>
      </c>
      <c r="P171" s="11" t="n">
        <v>120000</v>
      </c>
      <c r="Q171" s="11">
        <f>M171+N171+O171+P171</f>
        <v/>
      </c>
      <c r="R171" s="13">
        <f>ROUND(L171*Q171, 0)</f>
        <v/>
      </c>
    </row>
    <row r="172">
      <c r="A172" s="20" t="n">
        <v>155</v>
      </c>
      <c r="B17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2" s="1" t="inlineStr">
        <is>
          <t>NT9</t>
        </is>
      </c>
      <c r="D172" s="1" t="inlineStr">
        <is>
          <t>Tổng xianua</t>
        </is>
      </c>
      <c r="E172" s="20" t="inlineStr">
        <is>
          <t>mg/l</t>
        </is>
      </c>
      <c r="F172" s="20" t="n">
        <v>2</v>
      </c>
      <c r="G172" s="20" t="n">
        <v>4</v>
      </c>
      <c r="H172" s="20" t="n">
        <v>1</v>
      </c>
      <c r="I172" s="20" t="n">
        <v>1</v>
      </c>
      <c r="J172" s="1" t="inlineStr"/>
      <c r="K172" s="1" t="inlineStr">
        <is>
          <t>II.9</t>
        </is>
      </c>
      <c r="L172" s="9">
        <f>F172*G172</f>
        <v/>
      </c>
      <c r="M172" s="11" t="n">
        <v>185000</v>
      </c>
      <c r="N172" s="11" t="n">
        <v>320000</v>
      </c>
      <c r="O172" s="11" t="n">
        <v>35000</v>
      </c>
      <c r="P172" s="11" t="n">
        <v>120000</v>
      </c>
      <c r="Q172" s="11">
        <f>M172+N172+O172+P172</f>
        <v/>
      </c>
      <c r="R172" s="13">
        <f>ROUND(L172*Q172, 0)</f>
        <v/>
      </c>
    </row>
    <row r="173">
      <c r="A173" s="20" t="n">
        <v>156</v>
      </c>
      <c r="B17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3" s="1" t="inlineStr">
        <is>
          <t>NT2</t>
        </is>
      </c>
      <c r="D173" s="1" t="inlineStr">
        <is>
          <t>Tổng Phenol</t>
        </is>
      </c>
      <c r="E173" s="20" t="inlineStr">
        <is>
          <t>mg/l</t>
        </is>
      </c>
      <c r="F173" s="20" t="n">
        <v>2</v>
      </c>
      <c r="G173" s="20" t="n">
        <v>4</v>
      </c>
      <c r="H173" s="20" t="n">
        <v>1</v>
      </c>
      <c r="I173" s="20" t="n">
        <v>1</v>
      </c>
      <c r="J173" s="1" t="inlineStr"/>
      <c r="K173" s="1" t="inlineStr">
        <is>
          <t>II.9</t>
        </is>
      </c>
      <c r="L173" s="9">
        <f>F173*G173</f>
        <v/>
      </c>
      <c r="M173" s="11" t="n">
        <v>185000</v>
      </c>
      <c r="N173" s="11" t="n">
        <v>320000</v>
      </c>
      <c r="O173" s="11" t="n">
        <v>35000</v>
      </c>
      <c r="P173" s="11" t="n">
        <v>120000</v>
      </c>
      <c r="Q173" s="11">
        <f>M173+N173+O173+P173</f>
        <v/>
      </c>
      <c r="R173" s="13">
        <f>ROUND(L173*Q173, 0)</f>
        <v/>
      </c>
    </row>
    <row r="174">
      <c r="A174" s="20" t="n">
        <v>157</v>
      </c>
      <c r="B17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4" s="1" t="inlineStr">
        <is>
          <t>NT8</t>
        </is>
      </c>
      <c r="D174" s="1" t="inlineStr">
        <is>
          <t>Tổng dầu mỡ khoáng</t>
        </is>
      </c>
      <c r="E174" s="20" t="inlineStr">
        <is>
          <t>mg/l</t>
        </is>
      </c>
      <c r="F174" s="20" t="n">
        <v>2</v>
      </c>
      <c r="G174" s="20" t="n">
        <v>4</v>
      </c>
      <c r="H174" s="20" t="n">
        <v>1</v>
      </c>
      <c r="I174" s="20" t="n">
        <v>1</v>
      </c>
      <c r="J174" s="1" t="inlineStr"/>
      <c r="K174" s="1" t="inlineStr">
        <is>
          <t>II.9</t>
        </is>
      </c>
      <c r="L174" s="9">
        <f>F174*G174</f>
        <v/>
      </c>
      <c r="M174" s="11" t="n">
        <v>185000</v>
      </c>
      <c r="N174" s="11" t="n">
        <v>320000</v>
      </c>
      <c r="O174" s="11" t="n">
        <v>35000</v>
      </c>
      <c r="P174" s="11" t="n">
        <v>120000</v>
      </c>
      <c r="Q174" s="11">
        <f>M174+N174+O174+P174</f>
        <v/>
      </c>
      <c r="R174" s="13">
        <f>ROUND(L174*Q174, 0)</f>
        <v/>
      </c>
    </row>
    <row r="175">
      <c r="A175" s="20" t="n">
        <v>158</v>
      </c>
      <c r="B17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5" s="1" t="inlineStr">
        <is>
          <t>NT10d</t>
        </is>
      </c>
      <c r="D175" s="1" t="inlineStr">
        <is>
          <t>Sunfua</t>
        </is>
      </c>
      <c r="E175" s="20" t="inlineStr">
        <is>
          <t>mg/l</t>
        </is>
      </c>
      <c r="F175" s="20" t="n">
        <v>2</v>
      </c>
      <c r="G175" s="20" t="n">
        <v>4</v>
      </c>
      <c r="H175" s="20" t="n">
        <v>1</v>
      </c>
      <c r="I175" s="20" t="n">
        <v>1</v>
      </c>
      <c r="J175" s="1" t="inlineStr"/>
      <c r="K175" s="1" t="inlineStr">
        <is>
          <t>II.9</t>
        </is>
      </c>
      <c r="L175" s="9">
        <f>F175*G175</f>
        <v/>
      </c>
      <c r="M175" s="11" t="n">
        <v>185000</v>
      </c>
      <c r="N175" s="11" t="n">
        <v>320000</v>
      </c>
      <c r="O175" s="11" t="n">
        <v>35000</v>
      </c>
      <c r="P175" s="11" t="n">
        <v>120000</v>
      </c>
      <c r="Q175" s="11">
        <f>M175+N175+O175+P175</f>
        <v/>
      </c>
      <c r="R175" s="13">
        <f>ROUND(L175*Q175, 0)</f>
        <v/>
      </c>
    </row>
    <row r="176">
      <c r="A176" s="20" t="n">
        <v>159</v>
      </c>
      <c r="B17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6" s="1" t="inlineStr">
        <is>
          <t>NT10h</t>
        </is>
      </c>
      <c r="D176" s="1" t="inlineStr">
        <is>
          <t>Florua</t>
        </is>
      </c>
      <c r="E176" s="20" t="inlineStr">
        <is>
          <t>mg/l</t>
        </is>
      </c>
      <c r="F176" s="20" t="n">
        <v>2</v>
      </c>
      <c r="G176" s="20" t="n">
        <v>4</v>
      </c>
      <c r="H176" s="20" t="n">
        <v>1</v>
      </c>
      <c r="I176" s="20" t="n">
        <v>1</v>
      </c>
      <c r="J176" s="1" t="inlineStr"/>
      <c r="K176" s="1" t="inlineStr">
        <is>
          <t>II.9</t>
        </is>
      </c>
      <c r="L176" s="9">
        <f>F176*G176</f>
        <v/>
      </c>
      <c r="M176" s="11" t="n">
        <v>185000</v>
      </c>
      <c r="N176" s="11" t="n">
        <v>320000</v>
      </c>
      <c r="O176" s="11" t="n">
        <v>35000</v>
      </c>
      <c r="P176" s="11" t="n">
        <v>120000</v>
      </c>
      <c r="Q176" s="11">
        <f>M176+N176+O176+P176</f>
        <v/>
      </c>
      <c r="R176" s="13">
        <f>ROUND(L176*Q176, 0)</f>
        <v/>
      </c>
    </row>
    <row r="177">
      <c r="A177" s="20" t="n">
        <v>160</v>
      </c>
      <c r="B17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7" s="1" t="inlineStr">
        <is>
          <t>NT10b</t>
        </is>
      </c>
      <c r="D177" s="1" t="inlineStr">
        <is>
          <t>Tổng Nitơ</t>
        </is>
      </c>
      <c r="E177" s="20" t="inlineStr">
        <is>
          <t>mg/l</t>
        </is>
      </c>
      <c r="F177" s="20" t="n">
        <v>2</v>
      </c>
      <c r="G177" s="20" t="n">
        <v>4</v>
      </c>
      <c r="H177" s="20" t="n">
        <v>1</v>
      </c>
      <c r="I177" s="20" t="n">
        <v>1</v>
      </c>
      <c r="J177" s="1" t="inlineStr"/>
      <c r="K177" s="1" t="inlineStr">
        <is>
          <t>II.9</t>
        </is>
      </c>
      <c r="L177" s="9">
        <f>F177*G177</f>
        <v/>
      </c>
      <c r="M177" s="11" t="n">
        <v>185000</v>
      </c>
      <c r="N177" s="11" t="n">
        <v>320000</v>
      </c>
      <c r="O177" s="11" t="n">
        <v>35000</v>
      </c>
      <c r="P177" s="11" t="n">
        <v>120000</v>
      </c>
      <c r="Q177" s="11">
        <f>M177+N177+O177+P177</f>
        <v/>
      </c>
      <c r="R177" s="13">
        <f>ROUND(L177*Q177, 0)</f>
        <v/>
      </c>
    </row>
    <row r="178">
      <c r="A178" s="20" t="n">
        <v>161</v>
      </c>
      <c r="B17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8" s="1" t="inlineStr">
        <is>
          <t>NT2</t>
        </is>
      </c>
      <c r="D178" s="1" t="inlineStr">
        <is>
          <t>Tổng photpho (tính theo P)</t>
        </is>
      </c>
      <c r="E178" s="20" t="inlineStr">
        <is>
          <t>mg/l</t>
        </is>
      </c>
      <c r="F178" s="20" t="n">
        <v>2</v>
      </c>
      <c r="G178" s="20" t="n">
        <v>4</v>
      </c>
      <c r="H178" s="20" t="n">
        <v>1</v>
      </c>
      <c r="I178" s="20" t="n">
        <v>1</v>
      </c>
      <c r="J178" s="1" t="inlineStr"/>
      <c r="K178" s="1" t="inlineStr">
        <is>
          <t>II.9</t>
        </is>
      </c>
      <c r="L178" s="9">
        <f>F178*G178</f>
        <v/>
      </c>
      <c r="M178" s="11" t="n">
        <v>185000</v>
      </c>
      <c r="N178" s="11" t="n">
        <v>320000</v>
      </c>
      <c r="O178" s="11" t="n">
        <v>35000</v>
      </c>
      <c r="P178" s="11" t="n">
        <v>120000</v>
      </c>
      <c r="Q178" s="11">
        <f>M178+N178+O178+P178</f>
        <v/>
      </c>
      <c r="R178" s="13">
        <f>ROUND(L178*Q178, 0)</f>
        <v/>
      </c>
    </row>
    <row r="179">
      <c r="A179" s="20" t="n">
        <v>162</v>
      </c>
      <c r="B17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9" s="1" t="inlineStr">
        <is>
          <t>NT10i</t>
        </is>
      </c>
      <c r="D179" s="1" t="inlineStr">
        <is>
          <t>Clorua</t>
        </is>
      </c>
      <c r="E179" s="20" t="inlineStr">
        <is>
          <t>mg/l</t>
        </is>
      </c>
      <c r="F179" s="20" t="n">
        <v>2</v>
      </c>
      <c r="G179" s="20" t="n">
        <v>4</v>
      </c>
      <c r="H179" s="20" t="n">
        <v>1</v>
      </c>
      <c r="I179" s="20" t="n">
        <v>1</v>
      </c>
      <c r="J179" s="1" t="inlineStr"/>
      <c r="K179" s="1" t="inlineStr">
        <is>
          <t>II.9</t>
        </is>
      </c>
      <c r="L179" s="9">
        <f>F179*G179</f>
        <v/>
      </c>
      <c r="M179" s="11" t="n">
        <v>185000</v>
      </c>
      <c r="N179" s="11" t="n">
        <v>320000</v>
      </c>
      <c r="O179" s="11" t="n">
        <v>35000</v>
      </c>
      <c r="P179" s="11" t="n">
        <v>120000</v>
      </c>
      <c r="Q179" s="11">
        <f>M179+N179+O179+P179</f>
        <v/>
      </c>
      <c r="R179" s="13">
        <f>ROUND(L179*Q179, 0)</f>
        <v/>
      </c>
    </row>
    <row r="180">
      <c r="A180" s="20" t="n">
        <v>163</v>
      </c>
      <c r="B18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0" s="1" t="inlineStr">
        <is>
          <t>NT10j</t>
        </is>
      </c>
      <c r="D180" s="1" t="inlineStr">
        <is>
          <t>Clo dư</t>
        </is>
      </c>
      <c r="E180" s="20" t="inlineStr">
        <is>
          <t>mg/l</t>
        </is>
      </c>
      <c r="F180" s="20" t="n">
        <v>2</v>
      </c>
      <c r="G180" s="20" t="n">
        <v>4</v>
      </c>
      <c r="H180" s="20" t="n">
        <v>1</v>
      </c>
      <c r="I180" s="20" t="n">
        <v>1</v>
      </c>
      <c r="J180" s="1" t="inlineStr"/>
      <c r="K180" s="1" t="inlineStr">
        <is>
          <t>II.9</t>
        </is>
      </c>
      <c r="L180" s="9">
        <f>F180*G180</f>
        <v/>
      </c>
      <c r="M180" s="11" t="n">
        <v>185000</v>
      </c>
      <c r="N180" s="11" t="n">
        <v>320000</v>
      </c>
      <c r="O180" s="11" t="n">
        <v>35000</v>
      </c>
      <c r="P180" s="11" t="n">
        <v>120000</v>
      </c>
      <c r="Q180" s="11">
        <f>M180+N180+O180+P180</f>
        <v/>
      </c>
      <c r="R180" s="13">
        <f>ROUND(L180*Q180, 0)</f>
        <v/>
      </c>
    </row>
    <row r="181">
      <c r="A181" s="20" t="n">
        <v>164</v>
      </c>
      <c r="B18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1" s="1" t="inlineStr">
        <is>
          <t>NT7a</t>
        </is>
      </c>
      <c r="D181" s="1" t="inlineStr">
        <is>
          <t>Coliform</t>
        </is>
      </c>
      <c r="E181" s="20" t="inlineStr">
        <is>
          <t>MPN/100ml</t>
        </is>
      </c>
      <c r="F181" s="20" t="n">
        <v>2</v>
      </c>
      <c r="G181" s="20" t="n">
        <v>4</v>
      </c>
      <c r="H181" s="20" t="n">
        <v>1</v>
      </c>
      <c r="I181" s="20" t="n">
        <v>1</v>
      </c>
      <c r="J181" s="1" t="inlineStr"/>
      <c r="K181" s="1" t="inlineStr">
        <is>
          <t>II.9</t>
        </is>
      </c>
      <c r="L181" s="9">
        <f>F181*G181</f>
        <v/>
      </c>
      <c r="M181" s="11" t="n">
        <v>185000</v>
      </c>
      <c r="N181" s="11" t="n">
        <v>320000</v>
      </c>
      <c r="O181" s="11" t="n">
        <v>35000</v>
      </c>
      <c r="P181" s="11" t="n">
        <v>120000</v>
      </c>
      <c r="Q181" s="11">
        <f>M181+N181+O181+P181</f>
        <v/>
      </c>
      <c r="R181" s="13">
        <f>ROUND(L181*Q181, 0)</f>
        <v/>
      </c>
    </row>
    <row r="182">
      <c r="A182" s="15" t="inlineStr"/>
      <c r="B182" s="16" t="inlineStr"/>
      <c r="C182" s="16" t="inlineStr"/>
      <c r="D182" s="17" t="inlineStr">
        <is>
          <t>PHẦN: GIÁM SÁT GIÁM SÁT NƯỚC BIỂN</t>
        </is>
      </c>
      <c r="E182" s="15" t="inlineStr"/>
      <c r="F182" s="15" t="inlineStr"/>
      <c r="G182" s="15" t="inlineStr"/>
      <c r="H182" s="15" t="inlineStr"/>
      <c r="I182" s="15" t="inlineStr"/>
      <c r="J182" s="16" t="inlineStr"/>
      <c r="K182" s="16" t="inlineStr"/>
      <c r="L182" s="18" t="inlineStr"/>
      <c r="M182" s="19" t="inlineStr"/>
      <c r="N182" s="19" t="inlineStr"/>
      <c r="O182" s="19" t="inlineStr"/>
      <c r="P182" s="19" t="inlineStr"/>
      <c r="Q182" s="19" t="inlineStr"/>
      <c r="R182" s="13" t="inlineStr"/>
    </row>
    <row r="183">
      <c r="A183" s="20" t="n">
        <v>165</v>
      </c>
      <c r="B18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3" s="1" t="inlineStr">
        <is>
          <t>NB10</t>
        </is>
      </c>
      <c r="D183" s="1" t="inlineStr">
        <is>
          <t>pH</t>
        </is>
      </c>
      <c r="E183" s="20" t="inlineStr">
        <is>
          <t>-</t>
        </is>
      </c>
      <c r="F183" s="20" t="n">
        <v>5</v>
      </c>
      <c r="G183" s="20" t="n">
        <v>2</v>
      </c>
      <c r="H183" s="20" t="n">
        <v>1</v>
      </c>
      <c r="I183" s="20" t="n">
        <v>1</v>
      </c>
      <c r="J183" s="1" t="inlineStr"/>
      <c r="K183" s="1" t="inlineStr">
        <is>
          <t>II.6</t>
        </is>
      </c>
      <c r="L183" s="9">
        <f>F183*G183</f>
        <v/>
      </c>
      <c r="M183" s="11" t="n">
        <v>185000</v>
      </c>
      <c r="N183" s="11" t="n">
        <v>320000</v>
      </c>
      <c r="O183" s="11" t="n">
        <v>35000</v>
      </c>
      <c r="P183" s="11" t="n">
        <v>120000</v>
      </c>
      <c r="Q183" s="11">
        <f>M183+N183+O183+P183</f>
        <v/>
      </c>
      <c r="R183" s="13">
        <f>ROUND(L183*Q183, 0)</f>
        <v/>
      </c>
    </row>
    <row r="184">
      <c r="A184" s="20" t="n">
        <v>166</v>
      </c>
      <c r="B18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4" s="1" t="inlineStr">
        <is>
          <t>NB5</t>
        </is>
      </c>
      <c r="D184" s="1" t="inlineStr">
        <is>
          <t>Nhiệt độ</t>
        </is>
      </c>
      <c r="E184" s="20" t="inlineStr">
        <is>
          <t>0C</t>
        </is>
      </c>
      <c r="F184" s="20" t="n">
        <v>5</v>
      </c>
      <c r="G184" s="20" t="n">
        <v>2</v>
      </c>
      <c r="H184" s="20" t="n">
        <v>1</v>
      </c>
      <c r="I184" s="20" t="n">
        <v>1</v>
      </c>
      <c r="J184" s="1" t="inlineStr"/>
      <c r="K184" s="1" t="inlineStr">
        <is>
          <t>II.6</t>
        </is>
      </c>
      <c r="L184" s="9">
        <f>F184*G184</f>
        <v/>
      </c>
      <c r="M184" s="11" t="n">
        <v>185000</v>
      </c>
      <c r="N184" s="11" t="n">
        <v>320000</v>
      </c>
      <c r="O184" s="11" t="n">
        <v>35000</v>
      </c>
      <c r="P184" s="11" t="n">
        <v>120000</v>
      </c>
      <c r="Q184" s="11">
        <f>M184+N184+O184+P184</f>
        <v/>
      </c>
      <c r="R184" s="13">
        <f>ROUND(L184*Q184, 0)</f>
        <v/>
      </c>
    </row>
    <row r="185">
      <c r="A185" s="20" t="n">
        <v>167</v>
      </c>
      <c r="B18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5" s="1" t="inlineStr">
        <is>
          <t>NB11</t>
        </is>
      </c>
      <c r="D185" s="1" t="inlineStr">
        <is>
          <t>DO</t>
        </is>
      </c>
      <c r="E185" s="20" t="inlineStr">
        <is>
          <t>mg/l</t>
        </is>
      </c>
      <c r="F185" s="20" t="n">
        <v>5</v>
      </c>
      <c r="G185" s="20" t="n">
        <v>2</v>
      </c>
      <c r="H185" s="20" t="n">
        <v>1</v>
      </c>
      <c r="I185" s="20" t="n">
        <v>1</v>
      </c>
      <c r="J185" s="1" t="inlineStr"/>
      <c r="K185" s="1" t="inlineStr">
        <is>
          <t>II.6</t>
        </is>
      </c>
      <c r="L185" s="9">
        <f>F185*G185</f>
        <v/>
      </c>
      <c r="M185" s="11" t="n">
        <v>185000</v>
      </c>
      <c r="N185" s="11" t="n">
        <v>320000</v>
      </c>
      <c r="O185" s="11" t="n">
        <v>35000</v>
      </c>
      <c r="P185" s="11" t="n">
        <v>120000</v>
      </c>
      <c r="Q185" s="11">
        <f>M185+N185+O185+P185</f>
        <v/>
      </c>
      <c r="R185" s="13">
        <f>ROUND(L185*Q185, 0)</f>
        <v/>
      </c>
    </row>
    <row r="186">
      <c r="A186" s="20" t="n">
        <v>168</v>
      </c>
      <c r="B18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6" s="1" t="inlineStr">
        <is>
          <t>NB17a</t>
        </is>
      </c>
      <c r="D186" s="1" t="inlineStr">
        <is>
          <t>TSS</t>
        </is>
      </c>
      <c r="E186" s="20" t="inlineStr">
        <is>
          <t>mg/l</t>
        </is>
      </c>
      <c r="F186" s="20" t="n">
        <v>5</v>
      </c>
      <c r="G186" s="20" t="n">
        <v>2</v>
      </c>
      <c r="H186" s="20" t="n">
        <v>1</v>
      </c>
      <c r="I186" s="20" t="n">
        <v>1</v>
      </c>
      <c r="J186" s="1" t="inlineStr"/>
      <c r="K186" s="1" t="inlineStr">
        <is>
          <t>II.6</t>
        </is>
      </c>
      <c r="L186" s="9">
        <f>F186*G186</f>
        <v/>
      </c>
      <c r="M186" s="11" t="n">
        <v>185000</v>
      </c>
      <c r="N186" s="11" t="n">
        <v>320000</v>
      </c>
      <c r="O186" s="11" t="n">
        <v>35000</v>
      </c>
      <c r="P186" s="11" t="n">
        <v>120000</v>
      </c>
      <c r="Q186" s="11">
        <f>M186+N186+O186+P186</f>
        <v/>
      </c>
      <c r="R186" s="13">
        <f>ROUND(L186*Q186, 0)</f>
        <v/>
      </c>
    </row>
    <row r="187">
      <c r="A187" s="20" t="n">
        <v>169</v>
      </c>
      <c r="B18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7" s="1" t="inlineStr">
        <is>
          <t>NB15</t>
        </is>
      </c>
      <c r="D187" s="1" t="inlineStr">
        <is>
          <t>Amoni (tính theo N)</t>
        </is>
      </c>
      <c r="E187" s="20" t="inlineStr">
        <is>
          <t>mg/l</t>
        </is>
      </c>
      <c r="F187" s="20" t="n">
        <v>5</v>
      </c>
      <c r="G187" s="20" t="n">
        <v>2</v>
      </c>
      <c r="H187" s="20" t="n">
        <v>1</v>
      </c>
      <c r="I187" s="20" t="n">
        <v>1</v>
      </c>
      <c r="J187" s="1" t="inlineStr"/>
      <c r="K187" s="1" t="inlineStr">
        <is>
          <t>II.6</t>
        </is>
      </c>
      <c r="L187" s="9">
        <f>F187*G187</f>
        <v/>
      </c>
      <c r="M187" s="11" t="n">
        <v>185000</v>
      </c>
      <c r="N187" s="11" t="n">
        <v>320000</v>
      </c>
      <c r="O187" s="11" t="n">
        <v>35000</v>
      </c>
      <c r="P187" s="11" t="n">
        <v>120000</v>
      </c>
      <c r="Q187" s="11">
        <f>M187+N187+O187+P187</f>
        <v/>
      </c>
      <c r="R187" s="13">
        <f>ROUND(L187*Q187, 0)</f>
        <v/>
      </c>
    </row>
    <row r="188">
      <c r="A188" s="20" t="n">
        <v>170</v>
      </c>
      <c r="B18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8" s="1" t="inlineStr">
        <is>
          <t>NB10</t>
        </is>
      </c>
      <c r="D188" s="1" t="inlineStr">
        <is>
          <t>Phosphat</t>
        </is>
      </c>
      <c r="E188" s="20" t="inlineStr">
        <is>
          <t>mg/l</t>
        </is>
      </c>
      <c r="F188" s="20" t="n">
        <v>5</v>
      </c>
      <c r="G188" s="20" t="n">
        <v>2</v>
      </c>
      <c r="H188" s="20" t="n">
        <v>1</v>
      </c>
      <c r="I188" s="20" t="n">
        <v>1</v>
      </c>
      <c r="J188" s="1" t="inlineStr"/>
      <c r="K188" s="1" t="inlineStr">
        <is>
          <t>II.6</t>
        </is>
      </c>
      <c r="L188" s="9">
        <f>F188*G188</f>
        <v/>
      </c>
      <c r="M188" s="11" t="n">
        <v>185000</v>
      </c>
      <c r="N188" s="11" t="n">
        <v>320000</v>
      </c>
      <c r="O188" s="11" t="n">
        <v>35000</v>
      </c>
      <c r="P188" s="11" t="n">
        <v>120000</v>
      </c>
      <c r="Q188" s="11">
        <f>M188+N188+O188+P188</f>
        <v/>
      </c>
      <c r="R188" s="13">
        <f>ROUND(L188*Q188, 0)</f>
        <v/>
      </c>
    </row>
    <row r="189">
      <c r="A189" s="20" t="n">
        <v>171</v>
      </c>
      <c r="B18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9" s="1" t="inlineStr">
        <is>
          <t>NB15</t>
        </is>
      </c>
      <c r="D189" s="1" t="inlineStr">
        <is>
          <t>Florua</t>
        </is>
      </c>
      <c r="E189" s="20" t="inlineStr">
        <is>
          <t>mg/l</t>
        </is>
      </c>
      <c r="F189" s="20" t="n">
        <v>5</v>
      </c>
      <c r="G189" s="20" t="n">
        <v>2</v>
      </c>
      <c r="H189" s="20" t="n">
        <v>1</v>
      </c>
      <c r="I189" s="20" t="n">
        <v>1</v>
      </c>
      <c r="J189" s="1" t="inlineStr"/>
      <c r="K189" s="1" t="inlineStr">
        <is>
          <t>II.6</t>
        </is>
      </c>
      <c r="L189" s="9">
        <f>F189*G189</f>
        <v/>
      </c>
      <c r="M189" s="11" t="n">
        <v>185000</v>
      </c>
      <c r="N189" s="11" t="n">
        <v>320000</v>
      </c>
      <c r="O189" s="11" t="n">
        <v>35000</v>
      </c>
      <c r="P189" s="11" t="n">
        <v>120000</v>
      </c>
      <c r="Q189" s="11">
        <f>M189+N189+O189+P189</f>
        <v/>
      </c>
      <c r="R189" s="13">
        <f>ROUND(L189*Q189, 0)</f>
        <v/>
      </c>
    </row>
    <row r="190">
      <c r="A190" s="20" t="n">
        <v>172</v>
      </c>
      <c r="B19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0" s="1" t="inlineStr">
        <is>
          <t>NB20</t>
        </is>
      </c>
      <c r="D190" s="1" t="inlineStr">
        <is>
          <t>Xyanua</t>
        </is>
      </c>
      <c r="E190" s="20" t="inlineStr">
        <is>
          <t>mg/l</t>
        </is>
      </c>
      <c r="F190" s="20" t="n">
        <v>5</v>
      </c>
      <c r="G190" s="20" t="n">
        <v>2</v>
      </c>
      <c r="H190" s="20" t="n">
        <v>1</v>
      </c>
      <c r="I190" s="20" t="n">
        <v>1</v>
      </c>
      <c r="J190" s="1" t="inlineStr"/>
      <c r="K190" s="1" t="inlineStr">
        <is>
          <t>II.6</t>
        </is>
      </c>
      <c r="L190" s="9">
        <f>F190*G190</f>
        <v/>
      </c>
      <c r="M190" s="11" t="n">
        <v>185000</v>
      </c>
      <c r="N190" s="11" t="n">
        <v>320000</v>
      </c>
      <c r="O190" s="11" t="n">
        <v>35000</v>
      </c>
      <c r="P190" s="11" t="n">
        <v>120000</v>
      </c>
      <c r="Q190" s="11">
        <f>M190+N190+O190+P190</f>
        <v/>
      </c>
      <c r="R190" s="13">
        <f>ROUND(L190*Q190, 0)</f>
        <v/>
      </c>
    </row>
    <row r="191">
      <c r="A191" s="20" t="n">
        <v>173</v>
      </c>
      <c r="B19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1" s="1" t="inlineStr">
        <is>
          <t>NB21</t>
        </is>
      </c>
      <c r="D191" s="1" t="inlineStr">
        <is>
          <t>Cd</t>
        </is>
      </c>
      <c r="E191" s="20" t="inlineStr">
        <is>
          <t>mg/l</t>
        </is>
      </c>
      <c r="F191" s="20" t="n">
        <v>5</v>
      </c>
      <c r="G191" s="20" t="n">
        <v>2</v>
      </c>
      <c r="H191" s="20" t="n">
        <v>1</v>
      </c>
      <c r="I191" s="20" t="n">
        <v>1</v>
      </c>
      <c r="J191" s="1" t="inlineStr"/>
      <c r="K191" s="1" t="inlineStr">
        <is>
          <t>II.6</t>
        </is>
      </c>
      <c r="L191" s="9">
        <f>F191*G191</f>
        <v/>
      </c>
      <c r="M191" s="11" t="n">
        <v>185000</v>
      </c>
      <c r="N191" s="11" t="n">
        <v>320000</v>
      </c>
      <c r="O191" s="11" t="n">
        <v>35000</v>
      </c>
      <c r="P191" s="11" t="n">
        <v>120000</v>
      </c>
      <c r="Q191" s="11">
        <f>M191+N191+O191+P191</f>
        <v/>
      </c>
      <c r="R191" s="13">
        <f>ROUND(L191*Q191, 0)</f>
        <v/>
      </c>
    </row>
    <row r="192">
      <c r="A192" s="20" t="n">
        <v>174</v>
      </c>
      <c r="B19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2" s="1" t="inlineStr">
        <is>
          <t>NB21</t>
        </is>
      </c>
      <c r="D192" s="1" t="inlineStr">
        <is>
          <t>As</t>
        </is>
      </c>
      <c r="E192" s="20" t="inlineStr">
        <is>
          <t>mg/l</t>
        </is>
      </c>
      <c r="F192" s="20" t="n">
        <v>5</v>
      </c>
      <c r="G192" s="20" t="n">
        <v>2</v>
      </c>
      <c r="H192" s="20" t="n">
        <v>1</v>
      </c>
      <c r="I192" s="20" t="n">
        <v>1</v>
      </c>
      <c r="J192" s="1" t="inlineStr"/>
      <c r="K192" s="1" t="inlineStr">
        <is>
          <t>II.6</t>
        </is>
      </c>
      <c r="L192" s="9">
        <f>F192*G192</f>
        <v/>
      </c>
      <c r="M192" s="11" t="n">
        <v>185000</v>
      </c>
      <c r="N192" s="11" t="n">
        <v>320000</v>
      </c>
      <c r="O192" s="11" t="n">
        <v>35000</v>
      </c>
      <c r="P192" s="11" t="n">
        <v>120000</v>
      </c>
      <c r="Q192" s="11">
        <f>M192+N192+O192+P192</f>
        <v/>
      </c>
      <c r="R192" s="13">
        <f>ROUND(L192*Q192, 0)</f>
        <v/>
      </c>
    </row>
    <row r="193">
      <c r="A193" s="20" t="n">
        <v>175</v>
      </c>
      <c r="B19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3" s="1" t="inlineStr">
        <is>
          <t>NB21</t>
        </is>
      </c>
      <c r="D193" s="1" t="inlineStr">
        <is>
          <t>Hg</t>
        </is>
      </c>
      <c r="E193" s="20" t="inlineStr">
        <is>
          <t>mg/l</t>
        </is>
      </c>
      <c r="F193" s="20" t="n">
        <v>5</v>
      </c>
      <c r="G193" s="20" t="n">
        <v>2</v>
      </c>
      <c r="H193" s="20" t="n">
        <v>1</v>
      </c>
      <c r="I193" s="20" t="n">
        <v>1</v>
      </c>
      <c r="J193" s="1" t="inlineStr"/>
      <c r="K193" s="1" t="inlineStr">
        <is>
          <t>II.6</t>
        </is>
      </c>
      <c r="L193" s="9">
        <f>F193*G193</f>
        <v/>
      </c>
      <c r="M193" s="11" t="n">
        <v>185000</v>
      </c>
      <c r="N193" s="11" t="n">
        <v>320000</v>
      </c>
      <c r="O193" s="11" t="n">
        <v>35000</v>
      </c>
      <c r="P193" s="11" t="n">
        <v>120000</v>
      </c>
      <c r="Q193" s="11">
        <f>M193+N193+O193+P193</f>
        <v/>
      </c>
      <c r="R193" s="13">
        <f>ROUND(L193*Q193, 0)</f>
        <v/>
      </c>
    </row>
    <row r="194">
      <c r="A194" s="20" t="n">
        <v>176</v>
      </c>
      <c r="B19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4" s="1" t="inlineStr">
        <is>
          <t>NB21</t>
        </is>
      </c>
      <c r="D194" s="1" t="inlineStr">
        <is>
          <t>Cu</t>
        </is>
      </c>
      <c r="E194" s="20" t="inlineStr">
        <is>
          <t>mg/l</t>
        </is>
      </c>
      <c r="F194" s="20" t="n">
        <v>5</v>
      </c>
      <c r="G194" s="20" t="n">
        <v>2</v>
      </c>
      <c r="H194" s="20" t="n">
        <v>1</v>
      </c>
      <c r="I194" s="20" t="n">
        <v>1</v>
      </c>
      <c r="J194" s="1" t="inlineStr"/>
      <c r="K194" s="1" t="inlineStr">
        <is>
          <t>II.6</t>
        </is>
      </c>
      <c r="L194" s="9">
        <f>F194*G194</f>
        <v/>
      </c>
      <c r="M194" s="11" t="n">
        <v>185000</v>
      </c>
      <c r="N194" s="11" t="n">
        <v>320000</v>
      </c>
      <c r="O194" s="11" t="n">
        <v>35000</v>
      </c>
      <c r="P194" s="11" t="n">
        <v>120000</v>
      </c>
      <c r="Q194" s="11">
        <f>M194+N194+O194+P194</f>
        <v/>
      </c>
      <c r="R194" s="13">
        <f>ROUND(L194*Q194, 0)</f>
        <v/>
      </c>
    </row>
    <row r="195">
      <c r="A195" s="20" t="n">
        <v>177</v>
      </c>
      <c r="B19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5" s="1" t="inlineStr">
        <is>
          <t>NB21</t>
        </is>
      </c>
      <c r="D195" s="1" t="inlineStr">
        <is>
          <t>Pb</t>
        </is>
      </c>
      <c r="E195" s="20" t="inlineStr">
        <is>
          <t>mg/l</t>
        </is>
      </c>
      <c r="F195" s="20" t="n">
        <v>5</v>
      </c>
      <c r="G195" s="20" t="n">
        <v>2</v>
      </c>
      <c r="H195" s="20" t="n">
        <v>1</v>
      </c>
      <c r="I195" s="20" t="n">
        <v>1</v>
      </c>
      <c r="J195" s="1" t="inlineStr"/>
      <c r="K195" s="1" t="inlineStr">
        <is>
          <t>II.6</t>
        </is>
      </c>
      <c r="L195" s="9">
        <f>F195*G195</f>
        <v/>
      </c>
      <c r="M195" s="11" t="n">
        <v>185000</v>
      </c>
      <c r="N195" s="11" t="n">
        <v>320000</v>
      </c>
      <c r="O195" s="11" t="n">
        <v>35000</v>
      </c>
      <c r="P195" s="11" t="n">
        <v>120000</v>
      </c>
      <c r="Q195" s="11">
        <f>M195+N195+O195+P195</f>
        <v/>
      </c>
      <c r="R195" s="13">
        <f>ROUND(L195*Q195, 0)</f>
        <v/>
      </c>
    </row>
    <row r="196">
      <c r="A196" s="20" t="n">
        <v>178</v>
      </c>
      <c r="B19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6" s="1" t="inlineStr">
        <is>
          <t>NB21</t>
        </is>
      </c>
      <c r="D196" s="1" t="inlineStr">
        <is>
          <t>Fe</t>
        </is>
      </c>
      <c r="E196" s="20" t="inlineStr">
        <is>
          <t>mg/l</t>
        </is>
      </c>
      <c r="F196" s="20" t="n">
        <v>5</v>
      </c>
      <c r="G196" s="20" t="n">
        <v>2</v>
      </c>
      <c r="H196" s="20" t="n">
        <v>1</v>
      </c>
      <c r="I196" s="20" t="n">
        <v>1</v>
      </c>
      <c r="J196" s="1" t="inlineStr"/>
      <c r="K196" s="1" t="inlineStr">
        <is>
          <t>II.6</t>
        </is>
      </c>
      <c r="L196" s="9">
        <f>F196*G196</f>
        <v/>
      </c>
      <c r="M196" s="11" t="n">
        <v>185000</v>
      </c>
      <c r="N196" s="11" t="n">
        <v>320000</v>
      </c>
      <c r="O196" s="11" t="n">
        <v>35000</v>
      </c>
      <c r="P196" s="11" t="n">
        <v>120000</v>
      </c>
      <c r="Q196" s="11">
        <f>M196+N196+O196+P196</f>
        <v/>
      </c>
      <c r="R196" s="13">
        <f>ROUND(L196*Q196, 0)</f>
        <v/>
      </c>
    </row>
    <row r="197">
      <c r="A197" s="20" t="n">
        <v>179</v>
      </c>
      <c r="B19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7" s="1" t="inlineStr">
        <is>
          <t>NB21</t>
        </is>
      </c>
      <c r="D197" s="1" t="inlineStr">
        <is>
          <t>Zn</t>
        </is>
      </c>
      <c r="E197" s="20" t="inlineStr">
        <is>
          <t>mg/l</t>
        </is>
      </c>
      <c r="F197" s="20" t="n">
        <v>5</v>
      </c>
      <c r="G197" s="20" t="n">
        <v>2</v>
      </c>
      <c r="H197" s="20" t="n">
        <v>1</v>
      </c>
      <c r="I197" s="20" t="n">
        <v>1</v>
      </c>
      <c r="J197" s="1" t="inlineStr"/>
      <c r="K197" s="1" t="inlineStr">
        <is>
          <t>II.6</t>
        </is>
      </c>
      <c r="L197" s="9">
        <f>F197*G197</f>
        <v/>
      </c>
      <c r="M197" s="11" t="n">
        <v>185000</v>
      </c>
      <c r="N197" s="11" t="n">
        <v>320000</v>
      </c>
      <c r="O197" s="11" t="n">
        <v>35000</v>
      </c>
      <c r="P197" s="11" t="n">
        <v>120000</v>
      </c>
      <c r="Q197" s="11">
        <f>M197+N197+O197+P197</f>
        <v/>
      </c>
      <c r="R197" s="13">
        <f>ROUND(L197*Q197, 0)</f>
        <v/>
      </c>
    </row>
    <row r="198">
      <c r="A198" s="20" t="n">
        <v>180</v>
      </c>
      <c r="B19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8" s="1" t="inlineStr">
        <is>
          <t>NB21</t>
        </is>
      </c>
      <c r="D198" s="1" t="inlineStr">
        <is>
          <t>Tổng Cr</t>
        </is>
      </c>
      <c r="E198" s="20" t="inlineStr">
        <is>
          <t>mg/l</t>
        </is>
      </c>
      <c r="F198" s="20" t="n">
        <v>5</v>
      </c>
      <c r="G198" s="20" t="n">
        <v>2</v>
      </c>
      <c r="H198" s="20" t="n">
        <v>1</v>
      </c>
      <c r="I198" s="20" t="n">
        <v>1</v>
      </c>
      <c r="J198" s="1" t="inlineStr"/>
      <c r="K198" s="1" t="inlineStr">
        <is>
          <t>II.6</t>
        </is>
      </c>
      <c r="L198" s="9">
        <f>F198*G198</f>
        <v/>
      </c>
      <c r="M198" s="11" t="n">
        <v>185000</v>
      </c>
      <c r="N198" s="11" t="n">
        <v>320000</v>
      </c>
      <c r="O198" s="11" t="n">
        <v>35000</v>
      </c>
      <c r="P198" s="11" t="n">
        <v>120000</v>
      </c>
      <c r="Q198" s="11">
        <f>M198+N198+O198+P198</f>
        <v/>
      </c>
      <c r="R198" s="13">
        <f>ROUND(L198*Q198, 0)</f>
        <v/>
      </c>
    </row>
    <row r="199">
      <c r="A199" s="20" t="n">
        <v>181</v>
      </c>
      <c r="B19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9" s="1" t="inlineStr">
        <is>
          <t>NB21</t>
        </is>
      </c>
      <c r="D199" s="1" t="inlineStr">
        <is>
          <t>Mn</t>
        </is>
      </c>
      <c r="E199" s="20" t="inlineStr">
        <is>
          <t>mg/l</t>
        </is>
      </c>
      <c r="F199" s="20" t="n">
        <v>5</v>
      </c>
      <c r="G199" s="20" t="n">
        <v>2</v>
      </c>
      <c r="H199" s="20" t="n">
        <v>1</v>
      </c>
      <c r="I199" s="20" t="n">
        <v>1</v>
      </c>
      <c r="J199" s="1" t="inlineStr"/>
      <c r="K199" s="1" t="inlineStr">
        <is>
          <t>II.6</t>
        </is>
      </c>
      <c r="L199" s="9">
        <f>F199*G199</f>
        <v/>
      </c>
      <c r="M199" s="11" t="n">
        <v>185000</v>
      </c>
      <c r="N199" s="11" t="n">
        <v>320000</v>
      </c>
      <c r="O199" s="11" t="n">
        <v>35000</v>
      </c>
      <c r="P199" s="11" t="n">
        <v>120000</v>
      </c>
      <c r="Q199" s="11">
        <f>M199+N199+O199+P199</f>
        <v/>
      </c>
      <c r="R199" s="13">
        <f>ROUND(L199*Q199, 0)</f>
        <v/>
      </c>
    </row>
    <row r="200">
      <c r="A200" s="20" t="n">
        <v>182</v>
      </c>
      <c r="B20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0" s="1" t="inlineStr">
        <is>
          <t>NB21</t>
        </is>
      </c>
      <c r="D200" s="1" t="inlineStr">
        <is>
          <t>Cr VI</t>
        </is>
      </c>
      <c r="E200" s="20" t="inlineStr">
        <is>
          <t>mg/l</t>
        </is>
      </c>
      <c r="F200" s="20" t="n">
        <v>5</v>
      </c>
      <c r="G200" s="20" t="n">
        <v>2</v>
      </c>
      <c r="H200" s="20" t="n">
        <v>1</v>
      </c>
      <c r="I200" s="20" t="n">
        <v>1</v>
      </c>
      <c r="J200" s="1" t="inlineStr"/>
      <c r="K200" s="1" t="inlineStr">
        <is>
          <t>II.6</t>
        </is>
      </c>
      <c r="L200" s="9">
        <f>F200*G200</f>
        <v/>
      </c>
      <c r="M200" s="11" t="n">
        <v>185000</v>
      </c>
      <c r="N200" s="11" t="n">
        <v>320000</v>
      </c>
      <c r="O200" s="11" t="n">
        <v>35000</v>
      </c>
      <c r="P200" s="11" t="n">
        <v>120000</v>
      </c>
      <c r="Q200" s="11">
        <f>M200+N200+O200+P200</f>
        <v/>
      </c>
      <c r="R200" s="13">
        <f>ROUND(L200*Q200, 0)</f>
        <v/>
      </c>
    </row>
    <row r="201">
      <c r="A201" s="20" t="n">
        <v>183</v>
      </c>
      <c r="B20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1" s="1" t="inlineStr">
        <is>
          <t>NB10</t>
        </is>
      </c>
      <c r="D201" s="1" t="inlineStr">
        <is>
          <t>Tổng Phenol</t>
        </is>
      </c>
      <c r="E201" s="20" t="inlineStr">
        <is>
          <t>mg/l</t>
        </is>
      </c>
      <c r="F201" s="20" t="n">
        <v>5</v>
      </c>
      <c r="G201" s="20" t="n">
        <v>2</v>
      </c>
      <c r="H201" s="20" t="n">
        <v>1</v>
      </c>
      <c r="I201" s="20" t="n">
        <v>1</v>
      </c>
      <c r="J201" s="1" t="inlineStr"/>
      <c r="K201" s="1" t="inlineStr">
        <is>
          <t>II.6</t>
        </is>
      </c>
      <c r="L201" s="9">
        <f>F201*G201</f>
        <v/>
      </c>
      <c r="M201" s="11" t="n">
        <v>185000</v>
      </c>
      <c r="N201" s="11" t="n">
        <v>320000</v>
      </c>
      <c r="O201" s="11" t="n">
        <v>35000</v>
      </c>
      <c r="P201" s="11" t="n">
        <v>120000</v>
      </c>
      <c r="Q201" s="11">
        <f>M201+N201+O201+P201</f>
        <v/>
      </c>
      <c r="R201" s="13">
        <f>ROUND(L201*Q201, 0)</f>
        <v/>
      </c>
    </row>
    <row r="202">
      <c r="A202" s="20" t="n">
        <v>184</v>
      </c>
      <c r="B20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2" s="1" t="inlineStr">
        <is>
          <t>NB22</t>
        </is>
      </c>
      <c r="D202" s="1" t="inlineStr">
        <is>
          <t>Tổng dầu mỡ khoáng</t>
        </is>
      </c>
      <c r="E202" s="20" t="inlineStr">
        <is>
          <t>mg/l</t>
        </is>
      </c>
      <c r="F202" s="20" t="n">
        <v>5</v>
      </c>
      <c r="G202" s="20" t="n">
        <v>2</v>
      </c>
      <c r="H202" s="20" t="n">
        <v>1</v>
      </c>
      <c r="I202" s="20" t="n">
        <v>1</v>
      </c>
      <c r="J202" s="1" t="inlineStr"/>
      <c r="K202" s="1" t="inlineStr">
        <is>
          <t>II.6</t>
        </is>
      </c>
      <c r="L202" s="9">
        <f>F202*G202</f>
        <v/>
      </c>
      <c r="M202" s="11" t="n">
        <v>185000</v>
      </c>
      <c r="N202" s="11" t="n">
        <v>320000</v>
      </c>
      <c r="O202" s="11" t="n">
        <v>35000</v>
      </c>
      <c r="P202" s="11" t="n">
        <v>120000</v>
      </c>
      <c r="Q202" s="11">
        <f>M202+N202+O202+P202</f>
        <v/>
      </c>
      <c r="R202" s="13">
        <f>ROUND(L202*Q202, 0)</f>
        <v/>
      </c>
    </row>
    <row r="203">
      <c r="A203" s="20" t="n">
        <v>185</v>
      </c>
      <c r="B20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3" s="1" t="inlineStr">
        <is>
          <t>NB18</t>
        </is>
      </c>
      <c r="D203" s="1" t="inlineStr">
        <is>
          <t>Coliform</t>
        </is>
      </c>
      <c r="E203" s="20" t="inlineStr">
        <is>
          <t>MPN/100ml</t>
        </is>
      </c>
      <c r="F203" s="20" t="n">
        <v>5</v>
      </c>
      <c r="G203" s="20" t="n">
        <v>2</v>
      </c>
      <c r="H203" s="20" t="n">
        <v>1</v>
      </c>
      <c r="I203" s="20" t="n">
        <v>1</v>
      </c>
      <c r="J203" s="1" t="inlineStr"/>
      <c r="K203" s="1" t="inlineStr">
        <is>
          <t>II.6</t>
        </is>
      </c>
      <c r="L203" s="9">
        <f>F203*G203</f>
        <v/>
      </c>
      <c r="M203" s="11" t="n">
        <v>185000</v>
      </c>
      <c r="N203" s="11" t="n">
        <v>320000</v>
      </c>
      <c r="O203" s="11" t="n">
        <v>35000</v>
      </c>
      <c r="P203" s="11" t="n">
        <v>120000</v>
      </c>
      <c r="Q203" s="11">
        <f>M203+N203+O203+P203</f>
        <v/>
      </c>
      <c r="R203" s="13">
        <f>ROUND(L203*Q203, 0)</f>
        <v/>
      </c>
    </row>
    <row r="204">
      <c r="A204" s="15" t="inlineStr"/>
      <c r="B204" s="16" t="inlineStr"/>
      <c r="C204" s="16" t="inlineStr"/>
      <c r="D204" s="17" t="inlineStr">
        <is>
          <t>PHẦN: GIÁM SÁT GIÁM SÁT BÙN THẢI</t>
        </is>
      </c>
      <c r="E204" s="15" t="inlineStr"/>
      <c r="F204" s="15" t="inlineStr"/>
      <c r="G204" s="15" t="inlineStr"/>
      <c r="H204" s="15" t="inlineStr"/>
      <c r="I204" s="15" t="inlineStr"/>
      <c r="J204" s="16" t="inlineStr"/>
      <c r="K204" s="16" t="inlineStr"/>
      <c r="L204" s="18" t="inlineStr"/>
      <c r="M204" s="19" t="inlineStr"/>
      <c r="N204" s="19" t="inlineStr"/>
      <c r="O204" s="19" t="inlineStr"/>
      <c r="P204" s="19" t="inlineStr"/>
      <c r="Q204" s="19" t="inlineStr"/>
      <c r="R204" s="13" t="inlineStr"/>
    </row>
    <row r="205">
      <c r="A205" s="20" t="n">
        <v>186</v>
      </c>
      <c r="B205" s="1" t="inlineStr">
        <is>
          <t>BT1: Sau hệ thống máy ép bùn công nghiệp thuộc hệ thống xử lý nước thải tập trung NMNĐ Vĩnh Tân 4</t>
        </is>
      </c>
      <c r="C205" s="1" t="inlineStr">
        <is>
          <t>CT2</t>
        </is>
      </c>
      <c r="D205" s="1" t="inlineStr">
        <is>
          <t>pH</t>
        </is>
      </c>
      <c r="E205" s="20" t="inlineStr">
        <is>
          <t>-</t>
        </is>
      </c>
      <c r="F205" s="20" t="n">
        <v>1</v>
      </c>
      <c r="G205" s="20" t="n">
        <v>4</v>
      </c>
      <c r="H205" s="20" t="n">
        <v>1</v>
      </c>
      <c r="I205" s="20" t="n">
        <v>1</v>
      </c>
      <c r="J205" s="1" t="inlineStr"/>
      <c r="K205" s="1" t="inlineStr">
        <is>
          <t>II.11</t>
        </is>
      </c>
      <c r="L205" s="9">
        <f>F205*G205</f>
        <v/>
      </c>
      <c r="M205" s="11" t="n">
        <v>185000</v>
      </c>
      <c r="N205" s="11" t="n">
        <v>320000</v>
      </c>
      <c r="O205" s="11" t="n">
        <v>35000</v>
      </c>
      <c r="P205" s="11" t="n">
        <v>120000</v>
      </c>
      <c r="Q205" s="11">
        <f>M205+N205+O205+P205</f>
        <v/>
      </c>
      <c r="R205" s="13">
        <f>ROUND(L205*Q205, 0)</f>
        <v/>
      </c>
    </row>
    <row r="206">
      <c r="A206" s="20" t="n">
        <v>187</v>
      </c>
      <c r="B206" s="1" t="inlineStr">
        <is>
          <t>BT1: Sau hệ thống máy ép bùn công nghiệp thuộc hệ thống xử lý nước thải tập trung NMNĐ Vĩnh Tân 4</t>
        </is>
      </c>
      <c r="C206" s="1" t="inlineStr">
        <is>
          <t>CT3</t>
        </is>
      </c>
      <c r="D206" s="1" t="inlineStr">
        <is>
          <t>Cyanua (CN-)</t>
        </is>
      </c>
      <c r="E206" s="20" t="inlineStr">
        <is>
          <t>ppm</t>
        </is>
      </c>
      <c r="F206" s="20" t="n">
        <v>1</v>
      </c>
      <c r="G206" s="20" t="n">
        <v>4</v>
      </c>
      <c r="H206" s="20" t="n">
        <v>1</v>
      </c>
      <c r="I206" s="20" t="n">
        <v>1</v>
      </c>
      <c r="J206" s="1" t="inlineStr"/>
      <c r="K206" s="1" t="inlineStr">
        <is>
          <t>II.11</t>
        </is>
      </c>
      <c r="L206" s="9">
        <f>F206*G206</f>
        <v/>
      </c>
      <c r="M206" s="11" t="n">
        <v>185000</v>
      </c>
      <c r="N206" s="11" t="n">
        <v>320000</v>
      </c>
      <c r="O206" s="11" t="n">
        <v>35000</v>
      </c>
      <c r="P206" s="11" t="n">
        <v>120000</v>
      </c>
      <c r="Q206" s="11">
        <f>M206+N206+O206+P206</f>
        <v/>
      </c>
      <c r="R206" s="13">
        <f>ROUND(L206*Q206, 0)</f>
        <v/>
      </c>
    </row>
    <row r="207">
      <c r="A207" s="20" t="n">
        <v>188</v>
      </c>
      <c r="B207" s="1" t="inlineStr">
        <is>
          <t>BT1: Sau hệ thống máy ép bùn công nghiệp thuộc hệ thống xử lý nước thải tập trung NMNĐ Vĩnh Tân 4</t>
        </is>
      </c>
      <c r="C207" s="1" t="inlineStr">
        <is>
          <t>CT4</t>
        </is>
      </c>
      <c r="D207" s="1" t="inlineStr">
        <is>
          <t>Crom (VI)</t>
        </is>
      </c>
      <c r="E207" s="20" t="inlineStr">
        <is>
          <t>mg/l</t>
        </is>
      </c>
      <c r="F207" s="20" t="n">
        <v>1</v>
      </c>
      <c r="G207" s="20" t="n">
        <v>4</v>
      </c>
      <c r="H207" s="20" t="n">
        <v>1</v>
      </c>
      <c r="I207" s="20" t="n">
        <v>1</v>
      </c>
      <c r="J207" s="1" t="inlineStr"/>
      <c r="K207" s="1" t="inlineStr">
        <is>
          <t>II.11</t>
        </is>
      </c>
      <c r="L207" s="9">
        <f>F207*G207</f>
        <v/>
      </c>
      <c r="M207" s="11" t="n">
        <v>185000</v>
      </c>
      <c r="N207" s="11" t="n">
        <v>320000</v>
      </c>
      <c r="O207" s="11" t="n">
        <v>35000</v>
      </c>
      <c r="P207" s="11" t="n">
        <v>120000</v>
      </c>
      <c r="Q207" s="11">
        <f>M207+N207+O207+P207</f>
        <v/>
      </c>
      <c r="R207" s="13">
        <f>ROUND(L207*Q207, 0)</f>
        <v/>
      </c>
    </row>
    <row r="208">
      <c r="A208" s="20" t="n">
        <v>189</v>
      </c>
      <c r="B208" s="1" t="inlineStr">
        <is>
          <t>BT1: Sau hệ thống máy ép bùn công nghiệp thuộc hệ thống xử lý nước thải tập trung NMNĐ Vĩnh Tân 4</t>
        </is>
      </c>
      <c r="C208" s="1" t="inlineStr">
        <is>
          <t>CT7a</t>
        </is>
      </c>
      <c r="D208" s="1" t="inlineStr">
        <is>
          <t>As</t>
        </is>
      </c>
      <c r="E208" s="20" t="inlineStr">
        <is>
          <t>mg/l</t>
        </is>
      </c>
      <c r="F208" s="20" t="n">
        <v>1</v>
      </c>
      <c r="G208" s="20" t="n">
        <v>4</v>
      </c>
      <c r="H208" s="20" t="n">
        <v>1</v>
      </c>
      <c r="I208" s="20" t="n">
        <v>1</v>
      </c>
      <c r="J208" s="1" t="inlineStr"/>
      <c r="K208" s="1" t="inlineStr">
        <is>
          <t>II.11</t>
        </is>
      </c>
      <c r="L208" s="9">
        <f>F208*G208</f>
        <v/>
      </c>
      <c r="M208" s="11" t="n">
        <v>185000</v>
      </c>
      <c r="N208" s="11" t="n">
        <v>320000</v>
      </c>
      <c r="O208" s="11" t="n">
        <v>35000</v>
      </c>
      <c r="P208" s="11" t="n">
        <v>120000</v>
      </c>
      <c r="Q208" s="11">
        <f>M208+N208+O208+P208</f>
        <v/>
      </c>
      <c r="R208" s="13">
        <f>ROUND(L208*Q208, 0)</f>
        <v/>
      </c>
    </row>
    <row r="209">
      <c r="A209" s="20" t="n">
        <v>190</v>
      </c>
      <c r="B209" s="1" t="inlineStr">
        <is>
          <t>BT1: Sau hệ thống máy ép bùn công nghiệp thuộc hệ thống xử lý nước thải tập trung NMNĐ Vĩnh Tân 4</t>
        </is>
      </c>
      <c r="C209" s="1" t="inlineStr">
        <is>
          <t>CT7b</t>
        </is>
      </c>
      <c r="D209" s="1" t="inlineStr">
        <is>
          <t>Hg</t>
        </is>
      </c>
      <c r="E209" s="20" t="inlineStr">
        <is>
          <t>mg/l</t>
        </is>
      </c>
      <c r="F209" s="20" t="n">
        <v>1</v>
      </c>
      <c r="G209" s="20" t="n">
        <v>4</v>
      </c>
      <c r="H209" s="20" t="n">
        <v>1</v>
      </c>
      <c r="I209" s="20" t="n">
        <v>1</v>
      </c>
      <c r="J209" s="1" t="inlineStr"/>
      <c r="K209" s="1" t="inlineStr">
        <is>
          <t>II.11</t>
        </is>
      </c>
      <c r="L209" s="9">
        <f>F209*G209</f>
        <v/>
      </c>
      <c r="M209" s="11" t="n">
        <v>185000</v>
      </c>
      <c r="N209" s="11" t="n">
        <v>320000</v>
      </c>
      <c r="O209" s="11" t="n">
        <v>35000</v>
      </c>
      <c r="P209" s="11" t="n">
        <v>120000</v>
      </c>
      <c r="Q209" s="11">
        <f>M209+N209+O209+P209</f>
        <v/>
      </c>
      <c r="R209" s="13">
        <f>ROUND(L209*Q209, 0)</f>
        <v/>
      </c>
    </row>
    <row r="210">
      <c r="A210" s="20" t="n">
        <v>191</v>
      </c>
      <c r="B210" s="1" t="inlineStr">
        <is>
          <t>BT1: Sau hệ thống máy ép bùn công nghiệp thuộc hệ thống xử lý nước thải tập trung NMNĐ Vĩnh Tân 4</t>
        </is>
      </c>
      <c r="C210" s="1" t="inlineStr">
        <is>
          <t>CT2</t>
        </is>
      </c>
      <c r="D210" s="1" t="inlineStr">
        <is>
          <t>Phenol</t>
        </is>
      </c>
      <c r="E210" s="20" t="inlineStr">
        <is>
          <t>mg/l</t>
        </is>
      </c>
      <c r="F210" s="20" t="n">
        <v>1</v>
      </c>
      <c r="G210" s="20" t="n">
        <v>4</v>
      </c>
      <c r="H210" s="20" t="n">
        <v>1</v>
      </c>
      <c r="I210" s="20" t="n">
        <v>1</v>
      </c>
      <c r="J210" s="1" t="inlineStr"/>
      <c r="K210" s="1" t="inlineStr">
        <is>
          <t>II.11</t>
        </is>
      </c>
      <c r="L210" s="9">
        <f>F210*G210</f>
        <v/>
      </c>
      <c r="M210" s="11" t="n">
        <v>185000</v>
      </c>
      <c r="N210" s="11" t="n">
        <v>320000</v>
      </c>
      <c r="O210" s="11" t="n">
        <v>35000</v>
      </c>
      <c r="P210" s="11" t="n">
        <v>120000</v>
      </c>
      <c r="Q210" s="11">
        <f>M210+N210+O210+P210</f>
        <v/>
      </c>
      <c r="R210" s="13">
        <f>ROUND(L210*Q210, 0)</f>
        <v/>
      </c>
    </row>
    <row r="211">
      <c r="A211" s="20" t="n">
        <v>192</v>
      </c>
      <c r="B211" s="1" t="inlineStr">
        <is>
          <t>BT1: Sau hệ thống máy ép bùn công nghiệp thuộc hệ thống xử lý nước thải tập trung NMNĐ Vĩnh Tân 4</t>
        </is>
      </c>
      <c r="C211" s="1" t="inlineStr">
        <is>
          <t>CT6a</t>
        </is>
      </c>
      <c r="D211" s="1" t="inlineStr">
        <is>
          <t>Pb</t>
        </is>
      </c>
      <c r="E211" s="20" t="inlineStr">
        <is>
          <t>mg/l</t>
        </is>
      </c>
      <c r="F211" s="20" t="n">
        <v>1</v>
      </c>
      <c r="G211" s="20" t="n">
        <v>4</v>
      </c>
      <c r="H211" s="20" t="n">
        <v>1</v>
      </c>
      <c r="I211" s="20" t="n">
        <v>1</v>
      </c>
      <c r="J211" s="1" t="inlineStr"/>
      <c r="K211" s="1" t="inlineStr">
        <is>
          <t>II.11</t>
        </is>
      </c>
      <c r="L211" s="9">
        <f>F211*G211</f>
        <v/>
      </c>
      <c r="M211" s="11" t="n">
        <v>185000</v>
      </c>
      <c r="N211" s="11" t="n">
        <v>320000</v>
      </c>
      <c r="O211" s="11" t="n">
        <v>35000</v>
      </c>
      <c r="P211" s="11" t="n">
        <v>120000</v>
      </c>
      <c r="Q211" s="11">
        <f>M211+N211+O211+P211</f>
        <v/>
      </c>
      <c r="R211" s="13">
        <f>ROUND(L211*Q211, 0)</f>
        <v/>
      </c>
    </row>
    <row r="212">
      <c r="A212" s="20" t="n">
        <v>193</v>
      </c>
      <c r="B212" s="1" t="inlineStr">
        <is>
          <t>BT1: Sau hệ thống máy ép bùn công nghiệp thuộc hệ thống xử lý nước thải tập trung NMNĐ Vĩnh Tân 4</t>
        </is>
      </c>
      <c r="C212" s="1" t="inlineStr">
        <is>
          <t>CT6b</t>
        </is>
      </c>
      <c r="D212" s="1" t="inlineStr">
        <is>
          <t>Cd</t>
        </is>
      </c>
      <c r="E212" s="20" t="inlineStr">
        <is>
          <t>mg/l</t>
        </is>
      </c>
      <c r="F212" s="20" t="n">
        <v>1</v>
      </c>
      <c r="G212" s="20" t="n">
        <v>4</v>
      </c>
      <c r="H212" s="20" t="n">
        <v>1</v>
      </c>
      <c r="I212" s="20" t="n">
        <v>1</v>
      </c>
      <c r="J212" s="1" t="inlineStr"/>
      <c r="K212" s="1" t="inlineStr">
        <is>
          <t>II.11</t>
        </is>
      </c>
      <c r="L212" s="9">
        <f>F212*G212</f>
        <v/>
      </c>
      <c r="M212" s="11" t="n">
        <v>185000</v>
      </c>
      <c r="N212" s="11" t="n">
        <v>320000</v>
      </c>
      <c r="O212" s="11" t="n">
        <v>35000</v>
      </c>
      <c r="P212" s="11" t="n">
        <v>120000</v>
      </c>
      <c r="Q212" s="11">
        <f>M212+N212+O212+P212</f>
        <v/>
      </c>
      <c r="R212" s="13">
        <f>ROUND(L212*Q212, 0)</f>
        <v/>
      </c>
    </row>
    <row r="213">
      <c r="A213" s="20" t="n">
        <v>194</v>
      </c>
      <c r="B213" s="1" t="inlineStr">
        <is>
          <t>BT1: Sau hệ thống máy ép bùn công nghiệp thuộc hệ thống xử lý nước thải tập trung NMNĐ Vĩnh Tân 4</t>
        </is>
      </c>
      <c r="C213" s="1" t="inlineStr">
        <is>
          <t>CT8b</t>
        </is>
      </c>
      <c r="D213" s="1" t="inlineStr">
        <is>
          <t>Zn</t>
        </is>
      </c>
      <c r="E213" s="20" t="inlineStr">
        <is>
          <t>mg/l</t>
        </is>
      </c>
      <c r="F213" s="20" t="n">
        <v>1</v>
      </c>
      <c r="G213" s="20" t="n">
        <v>4</v>
      </c>
      <c r="H213" s="20" t="n">
        <v>1</v>
      </c>
      <c r="I213" s="20" t="n">
        <v>1</v>
      </c>
      <c r="J213" s="1" t="inlineStr"/>
      <c r="K213" s="1" t="inlineStr">
        <is>
          <t>II.11</t>
        </is>
      </c>
      <c r="L213" s="9">
        <f>F213*G213</f>
        <v/>
      </c>
      <c r="M213" s="11" t="n">
        <v>185000</v>
      </c>
      <c r="N213" s="11" t="n">
        <v>320000</v>
      </c>
      <c r="O213" s="11" t="n">
        <v>35000</v>
      </c>
      <c r="P213" s="11" t="n">
        <v>120000</v>
      </c>
      <c r="Q213" s="11">
        <f>M213+N213+O213+P213</f>
        <v/>
      </c>
      <c r="R213" s="13">
        <f>ROUND(L213*Q213, 0)</f>
        <v/>
      </c>
    </row>
    <row r="214">
      <c r="A214" s="20" t="n">
        <v>195</v>
      </c>
      <c r="B214" s="1" t="inlineStr">
        <is>
          <t>BT1: Sau hệ thống máy ép bùn công nghiệp thuộc hệ thống xử lý nước thải tập trung NMNĐ Vĩnh Tân 4</t>
        </is>
      </c>
      <c r="C214" s="1" t="inlineStr">
        <is>
          <t>CT8e</t>
        </is>
      </c>
      <c r="D214" s="1" t="inlineStr">
        <is>
          <t>Ni</t>
        </is>
      </c>
      <c r="E214" s="20" t="inlineStr">
        <is>
          <t>mg/l</t>
        </is>
      </c>
      <c r="F214" s="20" t="n">
        <v>1</v>
      </c>
      <c r="G214" s="20" t="n">
        <v>4</v>
      </c>
      <c r="H214" s="20" t="n">
        <v>1</v>
      </c>
      <c r="I214" s="20" t="n">
        <v>1</v>
      </c>
      <c r="J214" s="1" t="inlineStr"/>
      <c r="K214" s="1" t="inlineStr">
        <is>
          <t>II.11</t>
        </is>
      </c>
      <c r="L214" s="9">
        <f>F214*G214</f>
        <v/>
      </c>
      <c r="M214" s="11" t="n">
        <v>185000</v>
      </c>
      <c r="N214" s="11" t="n">
        <v>320000</v>
      </c>
      <c r="O214" s="11" t="n">
        <v>35000</v>
      </c>
      <c r="P214" s="11" t="n">
        <v>120000</v>
      </c>
      <c r="Q214" s="11">
        <f>M214+N214+O214+P214</f>
        <v/>
      </c>
      <c r="R214" s="13">
        <f>ROUND(L214*Q214, 0)</f>
        <v/>
      </c>
    </row>
    <row r="215">
      <c r="A215" s="20" t="n">
        <v>196</v>
      </c>
      <c r="B215" s="1" t="inlineStr">
        <is>
          <t>BT1: Sau hệ thống máy ép bùn công nghiệp thuộc hệ thống xử lý nước thải tập trung NMNĐ Vĩnh Tân 4</t>
        </is>
      </c>
      <c r="C215" s="1" t="inlineStr">
        <is>
          <t>CT8f</t>
        </is>
      </c>
      <c r="D215" s="1" t="inlineStr">
        <is>
          <t>Ba</t>
        </is>
      </c>
      <c r="E215" s="20" t="inlineStr">
        <is>
          <t>mg/l</t>
        </is>
      </c>
      <c r="F215" s="20" t="n">
        <v>1</v>
      </c>
      <c r="G215" s="20" t="n">
        <v>4</v>
      </c>
      <c r="H215" s="20" t="n">
        <v>1</v>
      </c>
      <c r="I215" s="20" t="n">
        <v>1</v>
      </c>
      <c r="J215" s="1" t="inlineStr"/>
      <c r="K215" s="1" t="inlineStr">
        <is>
          <t>II.11</t>
        </is>
      </c>
      <c r="L215" s="9">
        <f>F215*G215</f>
        <v/>
      </c>
      <c r="M215" s="11" t="n">
        <v>185000</v>
      </c>
      <c r="N215" s="11" t="n">
        <v>320000</v>
      </c>
      <c r="O215" s="11" t="n">
        <v>35000</v>
      </c>
      <c r="P215" s="11" t="n">
        <v>120000</v>
      </c>
      <c r="Q215" s="11">
        <f>M215+N215+O215+P215</f>
        <v/>
      </c>
      <c r="R215" s="13">
        <f>ROUND(L215*Q215, 0)</f>
        <v/>
      </c>
    </row>
    <row r="216">
      <c r="A216" s="20" t="n">
        <v>197</v>
      </c>
      <c r="B216" s="1" t="inlineStr">
        <is>
          <t>BT1: Sau hệ thống máy ép bùn công nghiệp thuộc hệ thống xử lý nước thải tập trung NMNĐ Vĩnh Tân 4</t>
        </is>
      </c>
      <c r="C216" s="1" t="inlineStr">
        <is>
          <t>CT8g</t>
        </is>
      </c>
      <c r="D216" s="1" t="inlineStr">
        <is>
          <t>Se</t>
        </is>
      </c>
      <c r="E216" s="20" t="inlineStr">
        <is>
          <t>mg/l</t>
        </is>
      </c>
      <c r="F216" s="20" t="n">
        <v>1</v>
      </c>
      <c r="G216" s="20" t="n">
        <v>4</v>
      </c>
      <c r="H216" s="20" t="n">
        <v>1</v>
      </c>
      <c r="I216" s="20" t="n">
        <v>1</v>
      </c>
      <c r="J216" s="1" t="inlineStr"/>
      <c r="K216" s="1" t="inlineStr">
        <is>
          <t>II.11</t>
        </is>
      </c>
      <c r="L216" s="9">
        <f>F216*G216</f>
        <v/>
      </c>
      <c r="M216" s="11" t="n">
        <v>185000</v>
      </c>
      <c r="N216" s="11" t="n">
        <v>320000</v>
      </c>
      <c r="O216" s="11" t="n">
        <v>35000</v>
      </c>
      <c r="P216" s="11" t="n">
        <v>120000</v>
      </c>
      <c r="Q216" s="11">
        <f>M216+N216+O216+P216</f>
        <v/>
      </c>
      <c r="R216" s="13">
        <f>ROUND(L216*Q216, 0)</f>
        <v/>
      </c>
    </row>
    <row r="217">
      <c r="A217" s="20" t="n">
        <v>198</v>
      </c>
      <c r="B217" s="1" t="inlineStr">
        <is>
          <t>BT1: Sau hệ thống máy ép bùn công nghiệp thuộc hệ thống xử lý nước thải tập trung NMNĐ Vĩnh Tân 4</t>
        </is>
      </c>
      <c r="C217" s="1" t="inlineStr">
        <is>
          <t>CT8m</t>
        </is>
      </c>
      <c r="D217" s="1" t="inlineStr">
        <is>
          <t>Ag</t>
        </is>
      </c>
      <c r="E217" s="20" t="inlineStr">
        <is>
          <t>mg/l</t>
        </is>
      </c>
      <c r="F217" s="20" t="n">
        <v>1</v>
      </c>
      <c r="G217" s="20" t="n">
        <v>4</v>
      </c>
      <c r="H217" s="20" t="n">
        <v>1</v>
      </c>
      <c r="I217" s="20" t="n">
        <v>1</v>
      </c>
      <c r="J217" s="1" t="inlineStr"/>
      <c r="K217" s="1" t="inlineStr">
        <is>
          <t>II.11</t>
        </is>
      </c>
      <c r="L217" s="9">
        <f>F217*G217</f>
        <v/>
      </c>
      <c r="M217" s="11" t="n">
        <v>185000</v>
      </c>
      <c r="N217" s="11" t="n">
        <v>320000</v>
      </c>
      <c r="O217" s="11" t="n">
        <v>35000</v>
      </c>
      <c r="P217" s="11" t="n">
        <v>120000</v>
      </c>
      <c r="Q217" s="11">
        <f>M217+N217+O217+P217</f>
        <v/>
      </c>
      <c r="R217" s="13">
        <f>ROUND(L217*Q217, 0)</f>
        <v/>
      </c>
    </row>
    <row r="218">
      <c r="A218" s="15" t="inlineStr"/>
      <c r="B218" s="16" t="inlineStr"/>
      <c r="C218" s="16" t="inlineStr"/>
      <c r="D218" s="17" t="inlineStr">
        <is>
          <t>PHẦN: GIÁM SÁT GIÁM SÁT KHÍ THẢI</t>
        </is>
      </c>
      <c r="E218" s="15" t="inlineStr"/>
      <c r="F218" s="15" t="inlineStr"/>
      <c r="G218" s="15" t="inlineStr"/>
      <c r="H218" s="15" t="inlineStr"/>
      <c r="I218" s="15" t="inlineStr"/>
      <c r="J218" s="16" t="inlineStr"/>
      <c r="K218" s="16" t="inlineStr"/>
      <c r="L218" s="18" t="inlineStr"/>
      <c r="M218" s="19" t="inlineStr"/>
      <c r="N218" s="19" t="inlineStr"/>
      <c r="O218" s="19" t="inlineStr"/>
      <c r="P218" s="19" t="inlineStr"/>
      <c r="Q218" s="19" t="inlineStr"/>
      <c r="R218" s="13" t="inlineStr"/>
    </row>
    <row r="219">
      <c r="A219" s="20" t="n">
        <v>199</v>
      </c>
      <c r="B219" s="1" t="inlineStr">
        <is>
          <t>KT1 – Ống khói sau hệ thống xử lý khí thải của NMNĐ Vĩnh Tân 4 mở rộng</t>
        </is>
      </c>
      <c r="C219" s="1" t="inlineStr">
        <is>
          <t>KT16</t>
        </is>
      </c>
      <c r="D219" s="1" t="inlineStr">
        <is>
          <t>Lưu lượng</t>
        </is>
      </c>
      <c r="E219" s="20" t="inlineStr">
        <is>
          <t>m3/h</t>
        </is>
      </c>
      <c r="F219" s="20" t="n">
        <v>1</v>
      </c>
      <c r="G219" s="20" t="n">
        <v>4</v>
      </c>
      <c r="H219" s="20" t="n">
        <v>1</v>
      </c>
      <c r="I219" s="20" t="n">
        <v>1</v>
      </c>
      <c r="J219" s="1" t="inlineStr"/>
      <c r="K219" s="1" t="inlineStr">
        <is>
          <t>II.8</t>
        </is>
      </c>
      <c r="L219" s="9">
        <f>F219*G219</f>
        <v/>
      </c>
      <c r="M219" s="11" t="n">
        <v>185000</v>
      </c>
      <c r="N219" s="11" t="n">
        <v>320000</v>
      </c>
      <c r="O219" s="11" t="n">
        <v>35000</v>
      </c>
      <c r="P219" s="11" t="n">
        <v>120000</v>
      </c>
      <c r="Q219" s="11">
        <f>M219+N219+O219+P219</f>
        <v/>
      </c>
      <c r="R219" s="13">
        <f>ROUND(L219*Q219, 0)</f>
        <v/>
      </c>
    </row>
    <row r="220">
      <c r="A220" s="20" t="n">
        <v>200</v>
      </c>
      <c r="B220" s="1" t="inlineStr">
        <is>
          <t>KT1 – Ống khói sau hệ thống xử lý khí thải của NMNĐ Vĩnh Tân 4 mở rộng</t>
        </is>
      </c>
      <c r="C220" s="1" t="inlineStr">
        <is>
          <t>KT4</t>
        </is>
      </c>
      <c r="D220" s="1" t="inlineStr">
        <is>
          <t>Nhiệt độ</t>
        </is>
      </c>
      <c r="E220" s="20" t="inlineStr">
        <is>
          <t>0C</t>
        </is>
      </c>
      <c r="F220" s="20" t="n">
        <v>1</v>
      </c>
      <c r="G220" s="20" t="n">
        <v>4</v>
      </c>
      <c r="H220" s="20" t="n">
        <v>1</v>
      </c>
      <c r="I220" s="20" t="n">
        <v>1</v>
      </c>
      <c r="J220" s="1" t="inlineStr"/>
      <c r="K220" s="1" t="inlineStr">
        <is>
          <t>II.8</t>
        </is>
      </c>
      <c r="L220" s="9">
        <f>F220*G220</f>
        <v/>
      </c>
      <c r="M220" s="11" t="n">
        <v>185000</v>
      </c>
      <c r="N220" s="11" t="n">
        <v>320000</v>
      </c>
      <c r="O220" s="11" t="n">
        <v>35000</v>
      </c>
      <c r="P220" s="11" t="n">
        <v>120000</v>
      </c>
      <c r="Q220" s="11">
        <f>M220+N220+O220+P220</f>
        <v/>
      </c>
      <c r="R220" s="13">
        <f>ROUND(L220*Q220, 0)</f>
        <v/>
      </c>
    </row>
    <row r="221">
      <c r="A221" s="20" t="n">
        <v>201</v>
      </c>
      <c r="B221" s="1" t="inlineStr">
        <is>
          <t>KT1 – Ống khói sau hệ thống xử lý khí thải của NMNĐ Vĩnh Tân 4 mở rộng</t>
        </is>
      </c>
      <c r="C221" s="1" t="inlineStr">
        <is>
          <t>KT10a</t>
        </is>
      </c>
      <c r="D221" s="1" t="inlineStr">
        <is>
          <t>Bụi tổng</t>
        </is>
      </c>
      <c r="E221" s="20" t="inlineStr">
        <is>
          <t>mg/Nm3</t>
        </is>
      </c>
      <c r="F221" s="20" t="n">
        <v>1</v>
      </c>
      <c r="G221" s="20" t="n">
        <v>4</v>
      </c>
      <c r="H221" s="20" t="n">
        <v>1</v>
      </c>
      <c r="I221" s="20" t="n">
        <v>1</v>
      </c>
      <c r="J221" s="1" t="inlineStr"/>
      <c r="K221" s="1" t="inlineStr">
        <is>
          <t>II.8</t>
        </is>
      </c>
      <c r="L221" s="9">
        <f>F221*G221</f>
        <v/>
      </c>
      <c r="M221" s="11" t="n">
        <v>185000</v>
      </c>
      <c r="N221" s="11" t="n">
        <v>320000</v>
      </c>
      <c r="O221" s="11" t="n">
        <v>35000</v>
      </c>
      <c r="P221" s="11" t="n">
        <v>120000</v>
      </c>
      <c r="Q221" s="11">
        <f>M221+N221+O221+P221</f>
        <v/>
      </c>
      <c r="R221" s="13">
        <f>ROUND(L221*Q221, 0)</f>
        <v/>
      </c>
    </row>
    <row r="222">
      <c r="A222" s="20" t="n">
        <v>202</v>
      </c>
      <c r="B222" s="1" t="inlineStr">
        <is>
          <t>KT1 – Ống khói sau hệ thống xử lý khí thải của NMNĐ Vĩnh Tân 4 mở rộng</t>
        </is>
      </c>
      <c r="C222" s="1" t="inlineStr">
        <is>
          <t>KT9b</t>
        </is>
      </c>
      <c r="D222" s="1" t="inlineStr">
        <is>
          <t>CO</t>
        </is>
      </c>
      <c r="E222" s="20" t="inlineStr">
        <is>
          <t>mg/Nm3</t>
        </is>
      </c>
      <c r="F222" s="20" t="n">
        <v>1</v>
      </c>
      <c r="G222" s="20" t="n">
        <v>4</v>
      </c>
      <c r="H222" s="20" t="n">
        <v>1</v>
      </c>
      <c r="I222" s="20" t="n">
        <v>1</v>
      </c>
      <c r="J222" s="1" t="inlineStr"/>
      <c r="K222" s="1" t="inlineStr">
        <is>
          <t>II.8</t>
        </is>
      </c>
      <c r="L222" s="9">
        <f>F222*G222</f>
        <v/>
      </c>
      <c r="M222" s="11" t="n">
        <v>185000</v>
      </c>
      <c r="N222" s="11" t="n">
        <v>320000</v>
      </c>
      <c r="O222" s="11" t="n">
        <v>35000</v>
      </c>
      <c r="P222" s="11" t="n">
        <v>120000</v>
      </c>
      <c r="Q222" s="11">
        <f>M222+N222+O222+P222</f>
        <v/>
      </c>
      <c r="R222" s="13">
        <f>ROUND(L222*Q222, 0)</f>
        <v/>
      </c>
    </row>
    <row r="223">
      <c r="A223" s="20" t="n">
        <v>203</v>
      </c>
      <c r="B223" s="1" t="inlineStr">
        <is>
          <t>KT1 – Ống khói sau hệ thống xử lý khí thải của NMNĐ Vĩnh Tân 4 mở rộng</t>
        </is>
      </c>
      <c r="C223" s="1" t="inlineStr">
        <is>
          <t>KT9e</t>
        </is>
      </c>
      <c r="D223" s="1" t="inlineStr">
        <is>
          <t>NOx (tính theo NO2)</t>
        </is>
      </c>
      <c r="E223" s="20" t="inlineStr">
        <is>
          <t>mg/Nm3</t>
        </is>
      </c>
      <c r="F223" s="20" t="n">
        <v>1</v>
      </c>
      <c r="G223" s="20" t="n">
        <v>4</v>
      </c>
      <c r="H223" s="20" t="n">
        <v>1</v>
      </c>
      <c r="I223" s="20" t="n">
        <v>1</v>
      </c>
      <c r="J223" s="1" t="inlineStr"/>
      <c r="K223" s="1" t="inlineStr">
        <is>
          <t>II.8</t>
        </is>
      </c>
      <c r="L223" s="9">
        <f>F223*G223</f>
        <v/>
      </c>
      <c r="M223" s="11" t="n">
        <v>185000</v>
      </c>
      <c r="N223" s="11" t="n">
        <v>320000</v>
      </c>
      <c r="O223" s="11" t="n">
        <v>35000</v>
      </c>
      <c r="P223" s="11" t="n">
        <v>120000</v>
      </c>
      <c r="Q223" s="11">
        <f>M223+N223+O223+P223</f>
        <v/>
      </c>
      <c r="R223" s="13">
        <f>ROUND(L223*Q223, 0)</f>
        <v/>
      </c>
    </row>
    <row r="224">
      <c r="A224" s="20" t="n">
        <v>204</v>
      </c>
      <c r="B224" s="1" t="inlineStr">
        <is>
          <t>KT1 – Ống khói sau hệ thống xử lý khí thải của NMNĐ Vĩnh Tân 4 mở rộng</t>
        </is>
      </c>
      <c r="C224" s="1" t="inlineStr">
        <is>
          <t>KT9đ</t>
        </is>
      </c>
      <c r="D224" s="1" t="inlineStr">
        <is>
          <t>SO 2</t>
        </is>
      </c>
      <c r="E224" s="20" t="inlineStr">
        <is>
          <t>mg/Nm3</t>
        </is>
      </c>
      <c r="F224" s="20" t="n">
        <v>1</v>
      </c>
      <c r="G224" s="20" t="n">
        <v>4</v>
      </c>
      <c r="H224" s="20" t="n">
        <v>1</v>
      </c>
      <c r="I224" s="20" t="n">
        <v>1</v>
      </c>
      <c r="J224" s="1" t="inlineStr"/>
      <c r="K224" s="1" t="inlineStr">
        <is>
          <t>II.8</t>
        </is>
      </c>
      <c r="L224" s="9">
        <f>F224*G224</f>
        <v/>
      </c>
      <c r="M224" s="11" t="n">
        <v>185000</v>
      </c>
      <c r="N224" s="11" t="n">
        <v>320000</v>
      </c>
      <c r="O224" s="11" t="n">
        <v>35000</v>
      </c>
      <c r="P224" s="11" t="n">
        <v>120000</v>
      </c>
      <c r="Q224" s="11">
        <f>M224+N224+O224+P224</f>
        <v/>
      </c>
      <c r="R224" s="13">
        <f>ROUND(L224*Q224, 0)</f>
        <v/>
      </c>
    </row>
    <row r="225">
      <c r="A225" s="20" t="n">
        <v>205</v>
      </c>
      <c r="B225" s="1" t="inlineStr">
        <is>
          <t>KT1 – Ống khói sau hệ thống xử lý khí thải của NMNĐ Vĩnh Tân 4 mở rộng</t>
        </is>
      </c>
      <c r="C225" s="1" t="inlineStr">
        <is>
          <t>KT9c</t>
        </is>
      </c>
      <c r="D225" s="1" t="inlineStr">
        <is>
          <t>Amoniac</t>
        </is>
      </c>
      <c r="E225" s="20" t="inlineStr">
        <is>
          <t>mg/Nm3</t>
        </is>
      </c>
      <c r="F225" s="20" t="n">
        <v>1</v>
      </c>
      <c r="G225" s="20" t="n">
        <v>4</v>
      </c>
      <c r="H225" s="20" t="n">
        <v>1</v>
      </c>
      <c r="I225" s="20" t="n">
        <v>1</v>
      </c>
      <c r="J225" s="1" t="inlineStr"/>
      <c r="K225" s="1" t="inlineStr">
        <is>
          <t>II.8</t>
        </is>
      </c>
      <c r="L225" s="9">
        <f>F225*G225</f>
        <v/>
      </c>
      <c r="M225" s="11" t="n">
        <v>185000</v>
      </c>
      <c r="N225" s="11" t="n">
        <v>320000</v>
      </c>
      <c r="O225" s="11" t="n">
        <v>35000</v>
      </c>
      <c r="P225" s="11" t="n">
        <v>120000</v>
      </c>
      <c r="Q225" s="11">
        <f>M225+N225+O225+P225</f>
        <v/>
      </c>
      <c r="R225" s="13">
        <f>ROUND(L225*Q225, 0)</f>
        <v/>
      </c>
    </row>
    <row r="226">
      <c r="A226" s="20" t="n">
        <v>206</v>
      </c>
      <c r="B226" s="1" t="inlineStr">
        <is>
          <t>KT1 – Ống khói sau hệ thống xử lý khí thải của NMNĐ Vĩnh Tân 4 mở rộng</t>
        </is>
      </c>
      <c r="C226" s="1" t="inlineStr">
        <is>
          <t>KT9a</t>
        </is>
      </c>
      <c r="D226" s="1" t="inlineStr">
        <is>
          <t>O2</t>
        </is>
      </c>
      <c r="E226" s="20" t="inlineStr">
        <is>
          <t>%</t>
        </is>
      </c>
      <c r="F226" s="20" t="n">
        <v>1</v>
      </c>
      <c r="G226" s="20" t="n">
        <v>4</v>
      </c>
      <c r="H226" s="20" t="n">
        <v>1</v>
      </c>
      <c r="I226" s="20" t="n">
        <v>1</v>
      </c>
      <c r="J226" s="1" t="inlineStr"/>
      <c r="K226" s="1" t="inlineStr">
        <is>
          <t>II.8</t>
        </is>
      </c>
      <c r="L226" s="9">
        <f>F226*G226</f>
        <v/>
      </c>
      <c r="M226" s="11" t="n">
        <v>185000</v>
      </c>
      <c r="N226" s="11" t="n">
        <v>320000</v>
      </c>
      <c r="O226" s="11" t="n">
        <v>35000</v>
      </c>
      <c r="P226" s="11" t="n">
        <v>120000</v>
      </c>
      <c r="Q226" s="11">
        <f>M226+N226+O226+P226</f>
        <v/>
      </c>
      <c r="R226" s="13">
        <f>ROUND(L226*Q226, 0)</f>
        <v/>
      </c>
    </row>
    <row r="227">
      <c r="A227" s="15" t="inlineStr"/>
      <c r="B227" s="16" t="inlineStr"/>
      <c r="C227" s="16" t="inlineStr"/>
      <c r="D227" s="17" t="inlineStr">
        <is>
          <t>PHẦN: GIÁM SÁT NƯỚC LÀM MÁT, NƯỚC THẢI TỪ HỆ THỐNG KHỬ LƯU HUỲNH BẰNG NƯỚC BIỂN, NƯỚC THẢI TỪ HỆ THỐNG LỌC NƯỚC BIỂN</t>
        </is>
      </c>
      <c r="E227" s="15" t="inlineStr"/>
      <c r="F227" s="15" t="inlineStr"/>
      <c r="G227" s="15" t="inlineStr"/>
      <c r="H227" s="15" t="inlineStr"/>
      <c r="I227" s="15" t="inlineStr"/>
      <c r="J227" s="16" t="inlineStr"/>
      <c r="K227" s="16" t="inlineStr"/>
      <c r="L227" s="18" t="inlineStr"/>
      <c r="M227" s="19" t="inlineStr"/>
      <c r="N227" s="19" t="inlineStr"/>
      <c r="O227" s="19" t="inlineStr"/>
      <c r="P227" s="19" t="inlineStr"/>
      <c r="Q227" s="19" t="inlineStr"/>
      <c r="R227" s="13" t="inlineStr"/>
    </row>
    <row r="228">
      <c r="A228" s="20" t="n">
        <v>207</v>
      </c>
      <c r="B228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8" s="1" t="inlineStr">
        <is>
          <t>NT1</t>
        </is>
      </c>
      <c r="D228" s="1" t="inlineStr">
        <is>
          <t>Nhiệt độ</t>
        </is>
      </c>
      <c r="E228" s="20" t="inlineStr">
        <is>
          <t>0C</t>
        </is>
      </c>
      <c r="F228" s="20" t="n">
        <v>2</v>
      </c>
      <c r="G228" s="20" t="n">
        <v>4</v>
      </c>
      <c r="H228" s="20" t="n">
        <v>1</v>
      </c>
      <c r="I228" s="20" t="n">
        <v>1</v>
      </c>
      <c r="J228" s="1" t="inlineStr"/>
      <c r="K228" s="1" t="inlineStr">
        <is>
          <t>II.9</t>
        </is>
      </c>
      <c r="L228" s="9">
        <f>F228*G228</f>
        <v/>
      </c>
      <c r="M228" s="11" t="n">
        <v>185000</v>
      </c>
      <c r="N228" s="11" t="n">
        <v>320000</v>
      </c>
      <c r="O228" s="11" t="n">
        <v>35000</v>
      </c>
      <c r="P228" s="11" t="n">
        <v>120000</v>
      </c>
      <c r="Q228" s="11">
        <f>M228+N228+O228+P228</f>
        <v/>
      </c>
      <c r="R228" s="13">
        <f>ROUND(L228*Q228, 0)</f>
        <v/>
      </c>
    </row>
    <row r="229">
      <c r="A229" s="20" t="n">
        <v>208</v>
      </c>
      <c r="B229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9" s="1" t="inlineStr">
        <is>
          <t>NT2</t>
        </is>
      </c>
      <c r="D229" s="1" t="inlineStr">
        <is>
          <t>pH</t>
        </is>
      </c>
      <c r="E229" s="20" t="inlineStr">
        <is>
          <t>-</t>
        </is>
      </c>
      <c r="F229" s="20" t="n">
        <v>2</v>
      </c>
      <c r="G229" s="20" t="n">
        <v>4</v>
      </c>
      <c r="H229" s="20" t="n">
        <v>1</v>
      </c>
      <c r="I229" s="20" t="n">
        <v>1</v>
      </c>
      <c r="J229" s="1" t="inlineStr"/>
      <c r="K229" s="1" t="inlineStr">
        <is>
          <t>II.9</t>
        </is>
      </c>
      <c r="L229" s="9">
        <f>F229*G229</f>
        <v/>
      </c>
      <c r="M229" s="11" t="n">
        <v>185000</v>
      </c>
      <c r="N229" s="11" t="n">
        <v>320000</v>
      </c>
      <c r="O229" s="11" t="n">
        <v>35000</v>
      </c>
      <c r="P229" s="11" t="n">
        <v>120000</v>
      </c>
      <c r="Q229" s="11">
        <f>M229+N229+O229+P229</f>
        <v/>
      </c>
      <c r="R229" s="13">
        <f>ROUND(L229*Q229, 0)</f>
        <v/>
      </c>
    </row>
    <row r="230">
      <c r="A230" s="20" t="n">
        <v>209</v>
      </c>
      <c r="B230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0" s="1" t="inlineStr">
        <is>
          <t>NT10j</t>
        </is>
      </c>
      <c r="D230" s="1" t="inlineStr">
        <is>
          <t>Clo dư</t>
        </is>
      </c>
      <c r="E230" s="20" t="inlineStr">
        <is>
          <t>mg/l</t>
        </is>
      </c>
      <c r="F230" s="20" t="n">
        <v>2</v>
      </c>
      <c r="G230" s="20" t="n">
        <v>4</v>
      </c>
      <c r="H230" s="20" t="n">
        <v>1</v>
      </c>
      <c r="I230" s="20" t="n">
        <v>1</v>
      </c>
      <c r="J230" s="1" t="inlineStr"/>
      <c r="K230" s="1" t="inlineStr">
        <is>
          <t>II.9</t>
        </is>
      </c>
      <c r="L230" s="9">
        <f>F230*G230</f>
        <v/>
      </c>
      <c r="M230" s="11" t="n">
        <v>185000</v>
      </c>
      <c r="N230" s="11" t="n">
        <v>320000</v>
      </c>
      <c r="O230" s="11" t="n">
        <v>35000</v>
      </c>
      <c r="P230" s="11" t="n">
        <v>120000</v>
      </c>
      <c r="Q230" s="11">
        <f>M230+N230+O230+P230</f>
        <v/>
      </c>
      <c r="R230" s="13">
        <f>ROUND(L230*Q230, 0)</f>
        <v/>
      </c>
    </row>
    <row r="231">
      <c r="A231" s="20" t="n">
        <v>210</v>
      </c>
      <c r="B231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1" s="1" t="inlineStr">
        <is>
          <t>NT5b</t>
        </is>
      </c>
      <c r="D231" s="1" t="inlineStr">
        <is>
          <t>COD</t>
        </is>
      </c>
      <c r="E231" s="20" t="inlineStr">
        <is>
          <t>mg/l</t>
        </is>
      </c>
      <c r="F231" s="20" t="n">
        <v>2</v>
      </c>
      <c r="G231" s="20" t="n">
        <v>4</v>
      </c>
      <c r="H231" s="20" t="n">
        <v>1</v>
      </c>
      <c r="I231" s="20" t="n">
        <v>1</v>
      </c>
      <c r="J231" s="1" t="inlineStr"/>
      <c r="K231" s="1" t="inlineStr">
        <is>
          <t>II.9</t>
        </is>
      </c>
      <c r="L231" s="9">
        <f>F231*G231</f>
        <v/>
      </c>
      <c r="M231" s="11" t="n">
        <v>185000</v>
      </c>
      <c r="N231" s="11" t="n">
        <v>320000</v>
      </c>
      <c r="O231" s="11" t="n">
        <v>35000</v>
      </c>
      <c r="P231" s="11" t="n">
        <v>120000</v>
      </c>
      <c r="Q231" s="11">
        <f>M231+N231+O231+P231</f>
        <v/>
      </c>
      <c r="R231" s="13">
        <f>ROUND(L231*Q231, 0)</f>
        <v/>
      </c>
    </row>
    <row r="232">
      <c r="A232" s="20" t="n">
        <v>211</v>
      </c>
      <c r="B232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2" s="1" t="inlineStr">
        <is>
          <t>NT6</t>
        </is>
      </c>
      <c r="D232" s="1" t="inlineStr">
        <is>
          <t>TSS</t>
        </is>
      </c>
      <c r="E232" s="20" t="inlineStr">
        <is>
          <t>mg/l</t>
        </is>
      </c>
      <c r="F232" s="20" t="n">
        <v>2</v>
      </c>
      <c r="G232" s="20" t="n">
        <v>4</v>
      </c>
      <c r="H232" s="20" t="n">
        <v>1</v>
      </c>
      <c r="I232" s="20" t="n">
        <v>1</v>
      </c>
      <c r="J232" s="1" t="inlineStr"/>
      <c r="K232" s="1" t="inlineStr">
        <is>
          <t>II.9</t>
        </is>
      </c>
      <c r="L232" s="9">
        <f>F232*G232</f>
        <v/>
      </c>
      <c r="M232" s="11" t="n">
        <v>185000</v>
      </c>
      <c r="N232" s="11" t="n">
        <v>320000</v>
      </c>
      <c r="O232" s="11" t="n">
        <v>35000</v>
      </c>
      <c r="P232" s="11" t="n">
        <v>120000</v>
      </c>
      <c r="Q232" s="11">
        <f>M232+N232+O232+P232</f>
        <v/>
      </c>
      <c r="R232" s="13">
        <f>ROUND(L232*Q232, 0)</f>
        <v/>
      </c>
    </row>
    <row r="233">
      <c r="A233" s="20" t="n">
        <v>212</v>
      </c>
      <c r="B233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3" s="1" t="inlineStr">
        <is>
          <t>MỤC 2</t>
        </is>
      </c>
      <c r="D233" s="1" t="inlineStr">
        <is>
          <t>Tiêu đề: Nước thải sau xử lý của HTXLNT tập trung</t>
        </is>
      </c>
      <c r="E233" s="20" t="inlineStr">
        <is>
          <t>Header</t>
        </is>
      </c>
      <c r="F233" s="20" t="n">
        <v>1</v>
      </c>
      <c r="G233" s="20" t="n">
        <v>1</v>
      </c>
      <c r="H233" s="20" t="n">
        <v>1</v>
      </c>
      <c r="I233" s="20" t="n">
        <v>1</v>
      </c>
      <c r="J233" s="1" t="inlineStr"/>
      <c r="K233" s="1" t="inlineStr"/>
      <c r="L233" s="9">
        <f>F233*G233</f>
        <v/>
      </c>
      <c r="M233" s="11" t="n">
        <v>185000</v>
      </c>
      <c r="N233" s="11" t="n">
        <v>320000</v>
      </c>
      <c r="O233" s="11" t="n">
        <v>35000</v>
      </c>
      <c r="P233" s="11" t="n">
        <v>120000</v>
      </c>
      <c r="Q233" s="11">
        <f>M233+N233+O233+P233</f>
        <v/>
      </c>
      <c r="R233" s="13">
        <f>ROUND(L233*Q233, 0)</f>
        <v/>
      </c>
    </row>
    <row r="234">
      <c r="A234" s="20" t="n">
        <v>213</v>
      </c>
      <c r="B23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4" s="1" t="inlineStr">
        <is>
          <t>NT1</t>
        </is>
      </c>
      <c r="D234" s="1" t="inlineStr">
        <is>
          <t>Nhiệt độ</t>
        </is>
      </c>
      <c r="E234" s="20" t="inlineStr">
        <is>
          <t>0C</t>
        </is>
      </c>
      <c r="F234" s="20" t="n">
        <v>2</v>
      </c>
      <c r="G234" s="20" t="n">
        <v>4</v>
      </c>
      <c r="H234" s="20" t="n">
        <v>1</v>
      </c>
      <c r="I234" s="20" t="n">
        <v>1</v>
      </c>
      <c r="J234" s="1" t="inlineStr"/>
      <c r="K234" s="1" t="inlineStr">
        <is>
          <t>II.9</t>
        </is>
      </c>
      <c r="L234" s="9">
        <f>F234*G234</f>
        <v/>
      </c>
      <c r="M234" s="11" t="n">
        <v>185000</v>
      </c>
      <c r="N234" s="11" t="n">
        <v>320000</v>
      </c>
      <c r="O234" s="11" t="n">
        <v>35000</v>
      </c>
      <c r="P234" s="11" t="n">
        <v>120000</v>
      </c>
      <c r="Q234" s="11">
        <f>M234+N234+O234+P234</f>
        <v/>
      </c>
      <c r="R234" s="13">
        <f>ROUND(L234*Q234, 0)</f>
        <v/>
      </c>
    </row>
    <row r="235">
      <c r="A235" s="20" t="n">
        <v>214</v>
      </c>
      <c r="B23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5" s="1" t="inlineStr">
        <is>
          <t>NT2</t>
        </is>
      </c>
      <c r="D235" s="1" t="inlineStr">
        <is>
          <t>pH</t>
        </is>
      </c>
      <c r="E235" s="20" t="inlineStr">
        <is>
          <t>-</t>
        </is>
      </c>
      <c r="F235" s="20" t="n">
        <v>2</v>
      </c>
      <c r="G235" s="20" t="n">
        <v>4</v>
      </c>
      <c r="H235" s="20" t="n">
        <v>1</v>
      </c>
      <c r="I235" s="20" t="n">
        <v>1</v>
      </c>
      <c r="J235" s="1" t="inlineStr"/>
      <c r="K235" s="1" t="inlineStr">
        <is>
          <t>II.9</t>
        </is>
      </c>
      <c r="L235" s="9">
        <f>F235*G235</f>
        <v/>
      </c>
      <c r="M235" s="11" t="n">
        <v>185000</v>
      </c>
      <c r="N235" s="11" t="n">
        <v>320000</v>
      </c>
      <c r="O235" s="11" t="n">
        <v>35000</v>
      </c>
      <c r="P235" s="11" t="n">
        <v>120000</v>
      </c>
      <c r="Q235" s="11">
        <f>M235+N235+O235+P235</f>
        <v/>
      </c>
      <c r="R235" s="13">
        <f>ROUND(L235*Q235, 0)</f>
        <v/>
      </c>
    </row>
    <row r="236">
      <c r="A236" s="20" t="n">
        <v>215</v>
      </c>
      <c r="B23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6" s="1" t="inlineStr">
        <is>
          <t>NT4b</t>
        </is>
      </c>
      <c r="D236" s="1" t="inlineStr">
        <is>
          <t>Độ màu</t>
        </is>
      </c>
      <c r="E236" s="20" t="inlineStr">
        <is>
          <t>Pt/Co</t>
        </is>
      </c>
      <c r="F236" s="20" t="n">
        <v>2</v>
      </c>
      <c r="G236" s="20" t="n">
        <v>4</v>
      </c>
      <c r="H236" s="20" t="n">
        <v>1</v>
      </c>
      <c r="I236" s="20" t="n">
        <v>1</v>
      </c>
      <c r="J236" s="1" t="inlineStr"/>
      <c r="K236" s="1" t="inlineStr">
        <is>
          <t>II.9</t>
        </is>
      </c>
      <c r="L236" s="9">
        <f>F236*G236</f>
        <v/>
      </c>
      <c r="M236" s="11" t="n">
        <v>185000</v>
      </c>
      <c r="N236" s="11" t="n">
        <v>320000</v>
      </c>
      <c r="O236" s="11" t="n">
        <v>35000</v>
      </c>
      <c r="P236" s="11" t="n">
        <v>120000</v>
      </c>
      <c r="Q236" s="11">
        <f>M236+N236+O236+P236</f>
        <v/>
      </c>
      <c r="R236" s="13">
        <f>ROUND(L236*Q236, 0)</f>
        <v/>
      </c>
    </row>
    <row r="237">
      <c r="A237" s="20" t="n">
        <v>216</v>
      </c>
      <c r="B23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7" s="1" t="inlineStr">
        <is>
          <t>NT5a</t>
        </is>
      </c>
      <c r="D237" s="1" t="inlineStr">
        <is>
          <t>BOD5</t>
        </is>
      </c>
      <c r="E237" s="20" t="inlineStr">
        <is>
          <t>mg/l</t>
        </is>
      </c>
      <c r="F237" s="20" t="n">
        <v>2</v>
      </c>
      <c r="G237" s="20" t="n">
        <v>4</v>
      </c>
      <c r="H237" s="20" t="n">
        <v>1</v>
      </c>
      <c r="I237" s="20" t="n">
        <v>1</v>
      </c>
      <c r="J237" s="1" t="inlineStr"/>
      <c r="K237" s="1" t="inlineStr">
        <is>
          <t>II.9</t>
        </is>
      </c>
      <c r="L237" s="9">
        <f>F237*G237</f>
        <v/>
      </c>
      <c r="M237" s="11" t="n">
        <v>185000</v>
      </c>
      <c r="N237" s="11" t="n">
        <v>320000</v>
      </c>
      <c r="O237" s="11" t="n">
        <v>35000</v>
      </c>
      <c r="P237" s="11" t="n">
        <v>120000</v>
      </c>
      <c r="Q237" s="11">
        <f>M237+N237+O237+P237</f>
        <v/>
      </c>
      <c r="R237" s="13">
        <f>ROUND(L237*Q237, 0)</f>
        <v/>
      </c>
    </row>
    <row r="238">
      <c r="A238" s="20" t="n">
        <v>217</v>
      </c>
      <c r="B23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8" s="1" t="inlineStr">
        <is>
          <t>NT5b</t>
        </is>
      </c>
      <c r="D238" s="1" t="inlineStr">
        <is>
          <t>COD</t>
        </is>
      </c>
      <c r="E238" s="20" t="inlineStr">
        <is>
          <t>mg/l</t>
        </is>
      </c>
      <c r="F238" s="20" t="n">
        <v>2</v>
      </c>
      <c r="G238" s="20" t="n">
        <v>4</v>
      </c>
      <c r="H238" s="20" t="n">
        <v>1</v>
      </c>
      <c r="I238" s="20" t="n">
        <v>1</v>
      </c>
      <c r="J238" s="1" t="inlineStr"/>
      <c r="K238" s="1" t="inlineStr">
        <is>
          <t>II.9</t>
        </is>
      </c>
      <c r="L238" s="9">
        <f>F238*G238</f>
        <v/>
      </c>
      <c r="M238" s="11" t="n">
        <v>185000</v>
      </c>
      <c r="N238" s="11" t="n">
        <v>320000</v>
      </c>
      <c r="O238" s="11" t="n">
        <v>35000</v>
      </c>
      <c r="P238" s="11" t="n">
        <v>120000</v>
      </c>
      <c r="Q238" s="11">
        <f>M238+N238+O238+P238</f>
        <v/>
      </c>
      <c r="R238" s="13">
        <f>ROUND(L238*Q238, 0)</f>
        <v/>
      </c>
    </row>
    <row r="239">
      <c r="A239" s="20" t="n">
        <v>218</v>
      </c>
      <c r="B23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9" s="1" t="inlineStr">
        <is>
          <t>NT6</t>
        </is>
      </c>
      <c r="D239" s="1" t="inlineStr">
        <is>
          <t>TSS</t>
        </is>
      </c>
      <c r="E239" s="20" t="inlineStr">
        <is>
          <t>mg/l</t>
        </is>
      </c>
      <c r="F239" s="20" t="n">
        <v>2</v>
      </c>
      <c r="G239" s="20" t="n">
        <v>4</v>
      </c>
      <c r="H239" s="20" t="n">
        <v>1</v>
      </c>
      <c r="I239" s="20" t="n">
        <v>1</v>
      </c>
      <c r="J239" s="1" t="inlineStr"/>
      <c r="K239" s="1" t="inlineStr">
        <is>
          <t>II.9</t>
        </is>
      </c>
      <c r="L239" s="9">
        <f>F239*G239</f>
        <v/>
      </c>
      <c r="M239" s="11" t="n">
        <v>185000</v>
      </c>
      <c r="N239" s="11" t="n">
        <v>320000</v>
      </c>
      <c r="O239" s="11" t="n">
        <v>35000</v>
      </c>
      <c r="P239" s="11" t="n">
        <v>120000</v>
      </c>
      <c r="Q239" s="11">
        <f>M239+N239+O239+P239</f>
        <v/>
      </c>
      <c r="R239" s="13">
        <f>ROUND(L239*Q239, 0)</f>
        <v/>
      </c>
    </row>
    <row r="240">
      <c r="A240" s="20" t="n">
        <v>219</v>
      </c>
      <c r="B24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0" s="1" t="inlineStr">
        <is>
          <t>NT10c</t>
        </is>
      </c>
      <c r="D240" s="1" t="inlineStr">
        <is>
          <t>Amoni (tính theo N)</t>
        </is>
      </c>
      <c r="E240" s="20" t="inlineStr">
        <is>
          <t>mg/l</t>
        </is>
      </c>
      <c r="F240" s="20" t="n">
        <v>2</v>
      </c>
      <c r="G240" s="20" t="n">
        <v>4</v>
      </c>
      <c r="H240" s="20" t="n">
        <v>1</v>
      </c>
      <c r="I240" s="20" t="n">
        <v>1</v>
      </c>
      <c r="J240" s="1" t="inlineStr"/>
      <c r="K240" s="1" t="inlineStr">
        <is>
          <t>II.9</t>
        </is>
      </c>
      <c r="L240" s="9">
        <f>F240*G240</f>
        <v/>
      </c>
      <c r="M240" s="11" t="n">
        <v>185000</v>
      </c>
      <c r="N240" s="11" t="n">
        <v>320000</v>
      </c>
      <c r="O240" s="11" t="n">
        <v>35000</v>
      </c>
      <c r="P240" s="11" t="n">
        <v>120000</v>
      </c>
      <c r="Q240" s="11">
        <f>M240+N240+O240+P240</f>
        <v/>
      </c>
      <c r="R240" s="13">
        <f>ROUND(L240*Q240, 0)</f>
        <v/>
      </c>
    </row>
    <row r="241">
      <c r="A241" s="20" t="n">
        <v>220</v>
      </c>
      <c r="B24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1" s="1" t="inlineStr">
        <is>
          <t>NT10l1</t>
        </is>
      </c>
      <c r="D241" s="1" t="inlineStr">
        <is>
          <t>Asen</t>
        </is>
      </c>
      <c r="E241" s="20" t="inlineStr">
        <is>
          <t>mg/l</t>
        </is>
      </c>
      <c r="F241" s="20" t="n">
        <v>2</v>
      </c>
      <c r="G241" s="20" t="n">
        <v>4</v>
      </c>
      <c r="H241" s="20" t="n">
        <v>1</v>
      </c>
      <c r="I241" s="20" t="n">
        <v>1</v>
      </c>
      <c r="J241" s="1" t="inlineStr"/>
      <c r="K241" s="1" t="inlineStr">
        <is>
          <t>II.9</t>
        </is>
      </c>
      <c r="L241" s="9">
        <f>F241*G241</f>
        <v/>
      </c>
      <c r="M241" s="11" t="n">
        <v>185000</v>
      </c>
      <c r="N241" s="11" t="n">
        <v>320000</v>
      </c>
      <c r="O241" s="11" t="n">
        <v>35000</v>
      </c>
      <c r="P241" s="11" t="n">
        <v>120000</v>
      </c>
      <c r="Q241" s="11">
        <f>M241+N241+O241+P241</f>
        <v/>
      </c>
      <c r="R241" s="13">
        <f>ROUND(L241*Q241, 0)</f>
        <v/>
      </c>
    </row>
    <row r="242">
      <c r="A242" s="20" t="n">
        <v>221</v>
      </c>
      <c r="B24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2" s="1" t="inlineStr">
        <is>
          <t>NT10l2</t>
        </is>
      </c>
      <c r="D242" s="1" t="inlineStr">
        <is>
          <t>Thủy ngân</t>
        </is>
      </c>
      <c r="E242" s="20" t="inlineStr">
        <is>
          <t>mg/l</t>
        </is>
      </c>
      <c r="F242" s="20" t="n">
        <v>2</v>
      </c>
      <c r="G242" s="20" t="n">
        <v>4</v>
      </c>
      <c r="H242" s="20" t="n">
        <v>1</v>
      </c>
      <c r="I242" s="20" t="n">
        <v>1</v>
      </c>
      <c r="J242" s="1" t="inlineStr"/>
      <c r="K242" s="1" t="inlineStr">
        <is>
          <t>II.9</t>
        </is>
      </c>
      <c r="L242" s="9">
        <f>F242*G242</f>
        <v/>
      </c>
      <c r="M242" s="11" t="n">
        <v>185000</v>
      </c>
      <c r="N242" s="11" t="n">
        <v>320000</v>
      </c>
      <c r="O242" s="11" t="n">
        <v>35000</v>
      </c>
      <c r="P242" s="11" t="n">
        <v>120000</v>
      </c>
      <c r="Q242" s="11">
        <f>M242+N242+O242+P242</f>
        <v/>
      </c>
      <c r="R242" s="13">
        <f>ROUND(L242*Q242, 0)</f>
        <v/>
      </c>
    </row>
    <row r="243">
      <c r="A243" s="20" t="n">
        <v>222</v>
      </c>
      <c r="B24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3" s="1" t="inlineStr">
        <is>
          <t>NT10đ</t>
        </is>
      </c>
      <c r="D243" s="1" t="inlineStr">
        <is>
          <t>Crom (VI)</t>
        </is>
      </c>
      <c r="E243" s="20" t="inlineStr">
        <is>
          <t>mg/l</t>
        </is>
      </c>
      <c r="F243" s="20" t="n">
        <v>2</v>
      </c>
      <c r="G243" s="20" t="n">
        <v>4</v>
      </c>
      <c r="H243" s="20" t="n">
        <v>1</v>
      </c>
      <c r="I243" s="20" t="n">
        <v>1</v>
      </c>
      <c r="J243" s="1" t="inlineStr"/>
      <c r="K243" s="1" t="inlineStr">
        <is>
          <t>II.9</t>
        </is>
      </c>
      <c r="L243" s="9">
        <f>F243*G243</f>
        <v/>
      </c>
      <c r="M243" s="11" t="n">
        <v>185000</v>
      </c>
      <c r="N243" s="11" t="n">
        <v>320000</v>
      </c>
      <c r="O243" s="11" t="n">
        <v>35000</v>
      </c>
      <c r="P243" s="11" t="n">
        <v>120000</v>
      </c>
      <c r="Q243" s="11">
        <f>M243+N243+O243+P243</f>
        <v/>
      </c>
      <c r="R243" s="13">
        <f>ROUND(L243*Q243, 0)</f>
        <v/>
      </c>
    </row>
    <row r="244">
      <c r="A244" s="20" t="n">
        <v>223</v>
      </c>
      <c r="B24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4" s="1" t="inlineStr">
        <is>
          <t>NT10m5</t>
        </is>
      </c>
      <c r="D244" s="1" t="inlineStr">
        <is>
          <t>Crom (III)</t>
        </is>
      </c>
      <c r="E244" s="20" t="inlineStr">
        <is>
          <t>mg/l</t>
        </is>
      </c>
      <c r="F244" s="20" t="n">
        <v>2</v>
      </c>
      <c r="G244" s="20" t="n">
        <v>4</v>
      </c>
      <c r="H244" s="20" t="n">
        <v>1</v>
      </c>
      <c r="I244" s="20" t="n">
        <v>1</v>
      </c>
      <c r="J244" s="1" t="inlineStr"/>
      <c r="K244" s="1" t="inlineStr">
        <is>
          <t>II.9</t>
        </is>
      </c>
      <c r="L244" s="9">
        <f>F244*G244</f>
        <v/>
      </c>
      <c r="M244" s="11" t="n">
        <v>185000</v>
      </c>
      <c r="N244" s="11" t="n">
        <v>320000</v>
      </c>
      <c r="O244" s="11" t="n">
        <v>35000</v>
      </c>
      <c r="P244" s="11" t="n">
        <v>120000</v>
      </c>
      <c r="Q244" s="11">
        <f>M244+N244+O244+P244</f>
        <v/>
      </c>
      <c r="R244" s="13">
        <f>ROUND(L244*Q244, 0)</f>
        <v/>
      </c>
    </row>
    <row r="245">
      <c r="A245" s="20" t="n">
        <v>224</v>
      </c>
      <c r="B24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5" s="1" t="inlineStr">
        <is>
          <t>NT10k1</t>
        </is>
      </c>
      <c r="D245" s="1" t="inlineStr">
        <is>
          <t>Chì</t>
        </is>
      </c>
      <c r="E245" s="20" t="inlineStr">
        <is>
          <t>mg/l</t>
        </is>
      </c>
      <c r="F245" s="20" t="n">
        <v>2</v>
      </c>
      <c r="G245" s="20" t="n">
        <v>4</v>
      </c>
      <c r="H245" s="20" t="n">
        <v>1</v>
      </c>
      <c r="I245" s="20" t="n">
        <v>1</v>
      </c>
      <c r="J245" s="1" t="inlineStr"/>
      <c r="K245" s="1" t="inlineStr">
        <is>
          <t>II.9</t>
        </is>
      </c>
      <c r="L245" s="9">
        <f>F245*G245</f>
        <v/>
      </c>
      <c r="M245" s="11" t="n">
        <v>185000</v>
      </c>
      <c r="N245" s="11" t="n">
        <v>320000</v>
      </c>
      <c r="O245" s="11" t="n">
        <v>35000</v>
      </c>
      <c r="P245" s="11" t="n">
        <v>120000</v>
      </c>
      <c r="Q245" s="11">
        <f>M245+N245+O245+P245</f>
        <v/>
      </c>
      <c r="R245" s="13">
        <f>ROUND(L245*Q245, 0)</f>
        <v/>
      </c>
    </row>
    <row r="246">
      <c r="A246" s="20" t="n">
        <v>225</v>
      </c>
      <c r="B24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6" s="1" t="inlineStr">
        <is>
          <t>NT10k2</t>
        </is>
      </c>
      <c r="D246" s="1" t="inlineStr">
        <is>
          <t>Cadimi</t>
        </is>
      </c>
      <c r="E246" s="20" t="inlineStr">
        <is>
          <t>mg/l</t>
        </is>
      </c>
      <c r="F246" s="20" t="n">
        <v>2</v>
      </c>
      <c r="G246" s="20" t="n">
        <v>4</v>
      </c>
      <c r="H246" s="20" t="n">
        <v>1</v>
      </c>
      <c r="I246" s="20" t="n">
        <v>1</v>
      </c>
      <c r="J246" s="1" t="inlineStr"/>
      <c r="K246" s="1" t="inlineStr">
        <is>
          <t>II.9</t>
        </is>
      </c>
      <c r="L246" s="9">
        <f>F246*G246</f>
        <v/>
      </c>
      <c r="M246" s="11" t="n">
        <v>185000</v>
      </c>
      <c r="N246" s="11" t="n">
        <v>320000</v>
      </c>
      <c r="O246" s="11" t="n">
        <v>35000</v>
      </c>
      <c r="P246" s="11" t="n">
        <v>120000</v>
      </c>
      <c r="Q246" s="11">
        <f>M246+N246+O246+P246</f>
        <v/>
      </c>
      <c r="R246" s="13">
        <f>ROUND(L246*Q246, 0)</f>
        <v/>
      </c>
    </row>
    <row r="247">
      <c r="A247" s="20" t="n">
        <v>226</v>
      </c>
      <c r="B24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7" s="1" t="inlineStr">
        <is>
          <t>NT10m1</t>
        </is>
      </c>
      <c r="D247" s="1" t="inlineStr">
        <is>
          <t>Đồng</t>
        </is>
      </c>
      <c r="E247" s="20" t="inlineStr">
        <is>
          <t>mg/l</t>
        </is>
      </c>
      <c r="F247" s="20" t="n">
        <v>2</v>
      </c>
      <c r="G247" s="20" t="n">
        <v>4</v>
      </c>
      <c r="H247" s="20" t="n">
        <v>1</v>
      </c>
      <c r="I247" s="20" t="n">
        <v>1</v>
      </c>
      <c r="J247" s="1" t="inlineStr"/>
      <c r="K247" s="1" t="inlineStr">
        <is>
          <t>II.9</t>
        </is>
      </c>
      <c r="L247" s="9">
        <f>F247*G247</f>
        <v/>
      </c>
      <c r="M247" s="11" t="n">
        <v>185000</v>
      </c>
      <c r="N247" s="11" t="n">
        <v>320000</v>
      </c>
      <c r="O247" s="11" t="n">
        <v>35000</v>
      </c>
      <c r="P247" s="11" t="n">
        <v>120000</v>
      </c>
      <c r="Q247" s="11">
        <f>M247+N247+O247+P247</f>
        <v/>
      </c>
      <c r="R247" s="13">
        <f>ROUND(L247*Q247, 0)</f>
        <v/>
      </c>
    </row>
    <row r="248">
      <c r="A248" s="20" t="n">
        <v>227</v>
      </c>
      <c r="B24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8" s="1" t="inlineStr">
        <is>
          <t>NT10m2</t>
        </is>
      </c>
      <c r="D248" s="1" t="inlineStr">
        <is>
          <t>Kẽm</t>
        </is>
      </c>
      <c r="E248" s="20" t="inlineStr">
        <is>
          <t>mg/l</t>
        </is>
      </c>
      <c r="F248" s="20" t="n">
        <v>2</v>
      </c>
      <c r="G248" s="20" t="n">
        <v>4</v>
      </c>
      <c r="H248" s="20" t="n">
        <v>1</v>
      </c>
      <c r="I248" s="20" t="n">
        <v>1</v>
      </c>
      <c r="J248" s="1" t="inlineStr"/>
      <c r="K248" s="1" t="inlineStr">
        <is>
          <t>II.9</t>
        </is>
      </c>
      <c r="L248" s="9">
        <f>F248*G248</f>
        <v/>
      </c>
      <c r="M248" s="11" t="n">
        <v>185000</v>
      </c>
      <c r="N248" s="11" t="n">
        <v>320000</v>
      </c>
      <c r="O248" s="11" t="n">
        <v>35000</v>
      </c>
      <c r="P248" s="11" t="n">
        <v>120000</v>
      </c>
      <c r="Q248" s="11">
        <f>M248+N248+O248+P248</f>
        <v/>
      </c>
      <c r="R248" s="13">
        <f>ROUND(L248*Q248, 0)</f>
        <v/>
      </c>
    </row>
    <row r="249">
      <c r="A249" s="20" t="n">
        <v>228</v>
      </c>
      <c r="B24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9" s="1" t="inlineStr">
        <is>
          <t>NT10m6</t>
        </is>
      </c>
      <c r="D249" s="1" t="inlineStr">
        <is>
          <t>Niken</t>
        </is>
      </c>
      <c r="E249" s="20" t="inlineStr">
        <is>
          <t>mg/l</t>
        </is>
      </c>
      <c r="F249" s="20" t="n">
        <v>2</v>
      </c>
      <c r="G249" s="20" t="n">
        <v>4</v>
      </c>
      <c r="H249" s="20" t="n">
        <v>1</v>
      </c>
      <c r="I249" s="20" t="n">
        <v>1</v>
      </c>
      <c r="J249" s="1" t="inlineStr"/>
      <c r="K249" s="1" t="inlineStr">
        <is>
          <t>II.9</t>
        </is>
      </c>
      <c r="L249" s="9">
        <f>F249*G249</f>
        <v/>
      </c>
      <c r="M249" s="11" t="n">
        <v>185000</v>
      </c>
      <c r="N249" s="11" t="n">
        <v>320000</v>
      </c>
      <c r="O249" s="11" t="n">
        <v>35000</v>
      </c>
      <c r="P249" s="11" t="n">
        <v>120000</v>
      </c>
      <c r="Q249" s="11">
        <f>M249+N249+O249+P249</f>
        <v/>
      </c>
      <c r="R249" s="13">
        <f>ROUND(L249*Q249, 0)</f>
        <v/>
      </c>
    </row>
    <row r="250">
      <c r="A250" s="20" t="n">
        <v>229</v>
      </c>
      <c r="B25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0" s="1" t="inlineStr">
        <is>
          <t>NT10m3</t>
        </is>
      </c>
      <c r="D250" s="1" t="inlineStr">
        <is>
          <t>Mangan</t>
        </is>
      </c>
      <c r="E250" s="20" t="inlineStr">
        <is>
          <t>mg/l</t>
        </is>
      </c>
      <c r="F250" s="20" t="n">
        <v>2</v>
      </c>
      <c r="G250" s="20" t="n">
        <v>4</v>
      </c>
      <c r="H250" s="20" t="n">
        <v>1</v>
      </c>
      <c r="I250" s="20" t="n">
        <v>1</v>
      </c>
      <c r="J250" s="1" t="inlineStr"/>
      <c r="K250" s="1" t="inlineStr">
        <is>
          <t>II.9</t>
        </is>
      </c>
      <c r="L250" s="9">
        <f>F250*G250</f>
        <v/>
      </c>
      <c r="M250" s="11" t="n">
        <v>185000</v>
      </c>
      <c r="N250" s="11" t="n">
        <v>320000</v>
      </c>
      <c r="O250" s="11" t="n">
        <v>35000</v>
      </c>
      <c r="P250" s="11" t="n">
        <v>120000</v>
      </c>
      <c r="Q250" s="11">
        <f>M250+N250+O250+P250</f>
        <v/>
      </c>
      <c r="R250" s="13">
        <f>ROUND(L250*Q250, 0)</f>
        <v/>
      </c>
    </row>
    <row r="251">
      <c r="A251" s="20" t="n">
        <v>230</v>
      </c>
      <c r="B25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1" s="1" t="inlineStr">
        <is>
          <t>NT10m4</t>
        </is>
      </c>
      <c r="D251" s="1" t="inlineStr">
        <is>
          <t>Sắt</t>
        </is>
      </c>
      <c r="E251" s="20" t="inlineStr">
        <is>
          <t>mg/l</t>
        </is>
      </c>
      <c r="F251" s="20" t="n">
        <v>2</v>
      </c>
      <c r="G251" s="20" t="n">
        <v>4</v>
      </c>
      <c r="H251" s="20" t="n">
        <v>1</v>
      </c>
      <c r="I251" s="20" t="n">
        <v>1</v>
      </c>
      <c r="J251" s="1" t="inlineStr"/>
      <c r="K251" s="1" t="inlineStr">
        <is>
          <t>II.9</t>
        </is>
      </c>
      <c r="L251" s="9">
        <f>F251*G251</f>
        <v/>
      </c>
      <c r="M251" s="11" t="n">
        <v>185000</v>
      </c>
      <c r="N251" s="11" t="n">
        <v>320000</v>
      </c>
      <c r="O251" s="11" t="n">
        <v>35000</v>
      </c>
      <c r="P251" s="11" t="n">
        <v>120000</v>
      </c>
      <c r="Q251" s="11">
        <f>M251+N251+O251+P251</f>
        <v/>
      </c>
      <c r="R251" s="13">
        <f>ROUND(L251*Q251, 0)</f>
        <v/>
      </c>
    </row>
    <row r="252">
      <c r="A252" s="20" t="n">
        <v>231</v>
      </c>
      <c r="B25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2" s="1" t="inlineStr">
        <is>
          <t>NT9</t>
        </is>
      </c>
      <c r="D252" s="1" t="inlineStr">
        <is>
          <t>Tổng xianua</t>
        </is>
      </c>
      <c r="E252" s="20" t="inlineStr">
        <is>
          <t>mg/l</t>
        </is>
      </c>
      <c r="F252" s="20" t="n">
        <v>2</v>
      </c>
      <c r="G252" s="20" t="n">
        <v>4</v>
      </c>
      <c r="H252" s="20" t="n">
        <v>1</v>
      </c>
      <c r="I252" s="20" t="n">
        <v>1</v>
      </c>
      <c r="J252" s="1" t="inlineStr"/>
      <c r="K252" s="1" t="inlineStr">
        <is>
          <t>II.9</t>
        </is>
      </c>
      <c r="L252" s="9">
        <f>F252*G252</f>
        <v/>
      </c>
      <c r="M252" s="11" t="n">
        <v>185000</v>
      </c>
      <c r="N252" s="11" t="n">
        <v>320000</v>
      </c>
      <c r="O252" s="11" t="n">
        <v>35000</v>
      </c>
      <c r="P252" s="11" t="n">
        <v>120000</v>
      </c>
      <c r="Q252" s="11">
        <f>M252+N252+O252+P252</f>
        <v/>
      </c>
      <c r="R252" s="13">
        <f>ROUND(L252*Q252, 0)</f>
        <v/>
      </c>
    </row>
    <row r="253">
      <c r="A253" s="20" t="n">
        <v>232</v>
      </c>
      <c r="B25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3" s="1" t="inlineStr">
        <is>
          <t>NT2</t>
        </is>
      </c>
      <c r="D253" s="1" t="inlineStr">
        <is>
          <t>Tổng Phenol</t>
        </is>
      </c>
      <c r="E253" s="20" t="inlineStr">
        <is>
          <t>mg/l</t>
        </is>
      </c>
      <c r="F253" s="20" t="n">
        <v>2</v>
      </c>
      <c r="G253" s="20" t="n">
        <v>4</v>
      </c>
      <c r="H253" s="20" t="n">
        <v>1</v>
      </c>
      <c r="I253" s="20" t="n">
        <v>1</v>
      </c>
      <c r="J253" s="1" t="inlineStr"/>
      <c r="K253" s="1" t="inlineStr">
        <is>
          <t>II.9</t>
        </is>
      </c>
      <c r="L253" s="9">
        <f>F253*G253</f>
        <v/>
      </c>
      <c r="M253" s="11" t="n">
        <v>185000</v>
      </c>
      <c r="N253" s="11" t="n">
        <v>320000</v>
      </c>
      <c r="O253" s="11" t="n">
        <v>35000</v>
      </c>
      <c r="P253" s="11" t="n">
        <v>120000</v>
      </c>
      <c r="Q253" s="11">
        <f>M253+N253+O253+P253</f>
        <v/>
      </c>
      <c r="R253" s="13">
        <f>ROUND(L253*Q253, 0)</f>
        <v/>
      </c>
    </row>
    <row r="254">
      <c r="A254" s="20" t="n">
        <v>233</v>
      </c>
      <c r="B25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4" s="1" t="inlineStr">
        <is>
          <t>NT8</t>
        </is>
      </c>
      <c r="D254" s="1" t="inlineStr">
        <is>
          <t>Tổng dầu mỡ khoáng</t>
        </is>
      </c>
      <c r="E254" s="20" t="inlineStr">
        <is>
          <t>mg/l</t>
        </is>
      </c>
      <c r="F254" s="20" t="n">
        <v>2</v>
      </c>
      <c r="G254" s="20" t="n">
        <v>4</v>
      </c>
      <c r="H254" s="20" t="n">
        <v>1</v>
      </c>
      <c r="I254" s="20" t="n">
        <v>1</v>
      </c>
      <c r="J254" s="1" t="inlineStr"/>
      <c r="K254" s="1" t="inlineStr">
        <is>
          <t>II.9</t>
        </is>
      </c>
      <c r="L254" s="9">
        <f>F254*G254</f>
        <v/>
      </c>
      <c r="M254" s="11" t="n">
        <v>185000</v>
      </c>
      <c r="N254" s="11" t="n">
        <v>320000</v>
      </c>
      <c r="O254" s="11" t="n">
        <v>35000</v>
      </c>
      <c r="P254" s="11" t="n">
        <v>120000</v>
      </c>
      <c r="Q254" s="11">
        <f>M254+N254+O254+P254</f>
        <v/>
      </c>
      <c r="R254" s="13">
        <f>ROUND(L254*Q254, 0)</f>
        <v/>
      </c>
    </row>
    <row r="255">
      <c r="A255" s="20" t="n">
        <v>234</v>
      </c>
      <c r="B25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5" s="1" t="inlineStr">
        <is>
          <t>NT10d</t>
        </is>
      </c>
      <c r="D255" s="1" t="inlineStr">
        <is>
          <t>Sunfua</t>
        </is>
      </c>
      <c r="E255" s="20" t="inlineStr">
        <is>
          <t>mg/l</t>
        </is>
      </c>
      <c r="F255" s="20" t="n">
        <v>2</v>
      </c>
      <c r="G255" s="20" t="n">
        <v>4</v>
      </c>
      <c r="H255" s="20" t="n">
        <v>1</v>
      </c>
      <c r="I255" s="20" t="n">
        <v>1</v>
      </c>
      <c r="J255" s="1" t="inlineStr"/>
      <c r="K255" s="1" t="inlineStr">
        <is>
          <t>II.9</t>
        </is>
      </c>
      <c r="L255" s="9">
        <f>F255*G255</f>
        <v/>
      </c>
      <c r="M255" s="11" t="n">
        <v>185000</v>
      </c>
      <c r="N255" s="11" t="n">
        <v>320000</v>
      </c>
      <c r="O255" s="11" t="n">
        <v>35000</v>
      </c>
      <c r="P255" s="11" t="n">
        <v>120000</v>
      </c>
      <c r="Q255" s="11">
        <f>M255+N255+O255+P255</f>
        <v/>
      </c>
      <c r="R255" s="13">
        <f>ROUND(L255*Q255, 0)</f>
        <v/>
      </c>
    </row>
    <row r="256">
      <c r="A256" s="20" t="n">
        <v>235</v>
      </c>
      <c r="B25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6" s="1" t="inlineStr">
        <is>
          <t>NT10h</t>
        </is>
      </c>
      <c r="D256" s="1" t="inlineStr">
        <is>
          <t>Florua</t>
        </is>
      </c>
      <c r="E256" s="20" t="inlineStr">
        <is>
          <t>mg/l</t>
        </is>
      </c>
      <c r="F256" s="20" t="n">
        <v>2</v>
      </c>
      <c r="G256" s="20" t="n">
        <v>4</v>
      </c>
      <c r="H256" s="20" t="n">
        <v>1</v>
      </c>
      <c r="I256" s="20" t="n">
        <v>1</v>
      </c>
      <c r="J256" s="1" t="inlineStr"/>
      <c r="K256" s="1" t="inlineStr">
        <is>
          <t>II.9</t>
        </is>
      </c>
      <c r="L256" s="9">
        <f>F256*G256</f>
        <v/>
      </c>
      <c r="M256" s="11" t="n">
        <v>185000</v>
      </c>
      <c r="N256" s="11" t="n">
        <v>320000</v>
      </c>
      <c r="O256" s="11" t="n">
        <v>35000</v>
      </c>
      <c r="P256" s="11" t="n">
        <v>120000</v>
      </c>
      <c r="Q256" s="11">
        <f>M256+N256+O256+P256</f>
        <v/>
      </c>
      <c r="R256" s="13">
        <f>ROUND(L256*Q256, 0)</f>
        <v/>
      </c>
    </row>
    <row r="257">
      <c r="A257" s="20" t="n">
        <v>236</v>
      </c>
      <c r="B25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7" s="1" t="inlineStr">
        <is>
          <t>NT10b</t>
        </is>
      </c>
      <c r="D257" s="1" t="inlineStr">
        <is>
          <t>Tổng Nitơ</t>
        </is>
      </c>
      <c r="E257" s="20" t="inlineStr">
        <is>
          <t>mg/l</t>
        </is>
      </c>
      <c r="F257" s="20" t="n">
        <v>2</v>
      </c>
      <c r="G257" s="20" t="n">
        <v>4</v>
      </c>
      <c r="H257" s="20" t="n">
        <v>1</v>
      </c>
      <c r="I257" s="20" t="n">
        <v>1</v>
      </c>
      <c r="J257" s="1" t="inlineStr"/>
      <c r="K257" s="1" t="inlineStr">
        <is>
          <t>II.9</t>
        </is>
      </c>
      <c r="L257" s="9">
        <f>F257*G257</f>
        <v/>
      </c>
      <c r="M257" s="11" t="n">
        <v>185000</v>
      </c>
      <c r="N257" s="11" t="n">
        <v>320000</v>
      </c>
      <c r="O257" s="11" t="n">
        <v>35000</v>
      </c>
      <c r="P257" s="11" t="n">
        <v>120000</v>
      </c>
      <c r="Q257" s="11">
        <f>M257+N257+O257+P257</f>
        <v/>
      </c>
      <c r="R257" s="13">
        <f>ROUND(L257*Q257, 0)</f>
        <v/>
      </c>
    </row>
    <row r="258">
      <c r="A258" s="20" t="n">
        <v>237</v>
      </c>
      <c r="B25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8" s="1" t="inlineStr">
        <is>
          <t>NT2</t>
        </is>
      </c>
      <c r="D258" s="1" t="inlineStr">
        <is>
          <t>Tổng photpho (tính theo P)</t>
        </is>
      </c>
      <c r="E258" s="20" t="inlineStr">
        <is>
          <t>mg/l</t>
        </is>
      </c>
      <c r="F258" s="20" t="n">
        <v>2</v>
      </c>
      <c r="G258" s="20" t="n">
        <v>4</v>
      </c>
      <c r="H258" s="20" t="n">
        <v>1</v>
      </c>
      <c r="I258" s="20" t="n">
        <v>1</v>
      </c>
      <c r="J258" s="1" t="inlineStr"/>
      <c r="K258" s="1" t="inlineStr">
        <is>
          <t>II.9</t>
        </is>
      </c>
      <c r="L258" s="9">
        <f>F258*G258</f>
        <v/>
      </c>
      <c r="M258" s="11" t="n">
        <v>185000</v>
      </c>
      <c r="N258" s="11" t="n">
        <v>320000</v>
      </c>
      <c r="O258" s="11" t="n">
        <v>35000</v>
      </c>
      <c r="P258" s="11" t="n">
        <v>120000</v>
      </c>
      <c r="Q258" s="11">
        <f>M258+N258+O258+P258</f>
        <v/>
      </c>
      <c r="R258" s="13">
        <f>ROUND(L258*Q258, 0)</f>
        <v/>
      </c>
    </row>
    <row r="259">
      <c r="A259" s="20" t="n">
        <v>238</v>
      </c>
      <c r="B25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9" s="1" t="inlineStr">
        <is>
          <t>NT10i</t>
        </is>
      </c>
      <c r="D259" s="1" t="inlineStr">
        <is>
          <t>Clorua</t>
        </is>
      </c>
      <c r="E259" s="20" t="inlineStr">
        <is>
          <t>mg/l</t>
        </is>
      </c>
      <c r="F259" s="20" t="n">
        <v>2</v>
      </c>
      <c r="G259" s="20" t="n">
        <v>4</v>
      </c>
      <c r="H259" s="20" t="n">
        <v>1</v>
      </c>
      <c r="I259" s="20" t="n">
        <v>1</v>
      </c>
      <c r="J259" s="1" t="inlineStr"/>
      <c r="K259" s="1" t="inlineStr">
        <is>
          <t>II.9</t>
        </is>
      </c>
      <c r="L259" s="9">
        <f>F259*G259</f>
        <v/>
      </c>
      <c r="M259" s="11" t="n">
        <v>185000</v>
      </c>
      <c r="N259" s="11" t="n">
        <v>320000</v>
      </c>
      <c r="O259" s="11" t="n">
        <v>35000</v>
      </c>
      <c r="P259" s="11" t="n">
        <v>120000</v>
      </c>
      <c r="Q259" s="11">
        <f>M259+N259+O259+P259</f>
        <v/>
      </c>
      <c r="R259" s="13">
        <f>ROUND(L259*Q259, 0)</f>
        <v/>
      </c>
    </row>
    <row r="260">
      <c r="A260" s="20" t="n">
        <v>239</v>
      </c>
      <c r="B26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0" s="1" t="inlineStr">
        <is>
          <t>NT10j</t>
        </is>
      </c>
      <c r="D260" s="1" t="inlineStr">
        <is>
          <t>Clo dư</t>
        </is>
      </c>
      <c r="E260" s="20" t="inlineStr">
        <is>
          <t>mg/l</t>
        </is>
      </c>
      <c r="F260" s="20" t="n">
        <v>2</v>
      </c>
      <c r="G260" s="20" t="n">
        <v>4</v>
      </c>
      <c r="H260" s="20" t="n">
        <v>1</v>
      </c>
      <c r="I260" s="20" t="n">
        <v>1</v>
      </c>
      <c r="J260" s="1" t="inlineStr"/>
      <c r="K260" s="1" t="inlineStr">
        <is>
          <t>II.9</t>
        </is>
      </c>
      <c r="L260" s="9">
        <f>F260*G260</f>
        <v/>
      </c>
      <c r="M260" s="11" t="n">
        <v>185000</v>
      </c>
      <c r="N260" s="11" t="n">
        <v>320000</v>
      </c>
      <c r="O260" s="11" t="n">
        <v>35000</v>
      </c>
      <c r="P260" s="11" t="n">
        <v>120000</v>
      </c>
      <c r="Q260" s="11">
        <f>M260+N260+O260+P260</f>
        <v/>
      </c>
      <c r="R260" s="13">
        <f>ROUND(L260*Q260, 0)</f>
        <v/>
      </c>
    </row>
    <row r="261">
      <c r="A261" s="20" t="n">
        <v>240</v>
      </c>
      <c r="B26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1" s="1" t="inlineStr">
        <is>
          <t>NT7a</t>
        </is>
      </c>
      <c r="D261" s="1" t="inlineStr">
        <is>
          <t>Coliform</t>
        </is>
      </c>
      <c r="E261" s="20" t="inlineStr">
        <is>
          <t>MPN/100ml</t>
        </is>
      </c>
      <c r="F261" s="20" t="n">
        <v>2</v>
      </c>
      <c r="G261" s="20" t="n">
        <v>4</v>
      </c>
      <c r="H261" s="20" t="n">
        <v>1</v>
      </c>
      <c r="I261" s="20" t="n">
        <v>1</v>
      </c>
      <c r="J261" s="1" t="inlineStr"/>
      <c r="K261" s="1" t="inlineStr">
        <is>
          <t>II.9</t>
        </is>
      </c>
      <c r="L261" s="9">
        <f>F261*G261</f>
        <v/>
      </c>
      <c r="M261" s="11" t="n">
        <v>185000</v>
      </c>
      <c r="N261" s="11" t="n">
        <v>320000</v>
      </c>
      <c r="O261" s="11" t="n">
        <v>35000</v>
      </c>
      <c r="P261" s="11" t="n">
        <v>120000</v>
      </c>
      <c r="Q261" s="11">
        <f>M261+N261+O261+P261</f>
        <v/>
      </c>
      <c r="R261" s="13">
        <f>ROUND(L261*Q261, 0)</f>
        <v/>
      </c>
    </row>
    <row r="262">
      <c r="A262" s="15" t="inlineStr"/>
      <c r="B262" s="16" t="inlineStr"/>
      <c r="C262" s="16" t="inlineStr"/>
      <c r="D262" s="17" t="inlineStr">
        <is>
          <t>PHẦN: GIÁM SÁT GIÁM SÁT BÙN THẢI</t>
        </is>
      </c>
      <c r="E262" s="15" t="inlineStr"/>
      <c r="F262" s="15" t="inlineStr"/>
      <c r="G262" s="15" t="inlineStr"/>
      <c r="H262" s="15" t="inlineStr"/>
      <c r="I262" s="15" t="inlineStr"/>
      <c r="J262" s="16" t="inlineStr"/>
      <c r="K262" s="16" t="inlineStr"/>
      <c r="L262" s="18" t="inlineStr"/>
      <c r="M262" s="19" t="inlineStr"/>
      <c r="N262" s="19" t="inlineStr"/>
      <c r="O262" s="19" t="inlineStr"/>
      <c r="P262" s="19" t="inlineStr"/>
      <c r="Q262" s="19" t="inlineStr"/>
      <c r="R262" s="13" t="inlineStr"/>
    </row>
    <row r="263">
      <c r="A263" s="20" t="n">
        <v>241</v>
      </c>
      <c r="B263" s="1" t="inlineStr">
        <is>
          <t>BT1: Sau hệ thống máy ép bùn công nghiệp thuộc hệ thống xử lý nước thải tập trung NMNĐ Vĩnh Tân 4 mở rộng</t>
        </is>
      </c>
      <c r="C263" s="1" t="inlineStr">
        <is>
          <t>CT2</t>
        </is>
      </c>
      <c r="D263" s="1" t="inlineStr">
        <is>
          <t>pH</t>
        </is>
      </c>
      <c r="E263" s="20" t="inlineStr">
        <is>
          <t>-</t>
        </is>
      </c>
      <c r="F263" s="20" t="n">
        <v>1</v>
      </c>
      <c r="G263" s="20" t="n">
        <v>4</v>
      </c>
      <c r="H263" s="20" t="n">
        <v>1</v>
      </c>
      <c r="I263" s="20" t="n">
        <v>1</v>
      </c>
      <c r="J263" s="1" t="inlineStr"/>
      <c r="K263" s="1" t="inlineStr">
        <is>
          <t>II.11</t>
        </is>
      </c>
      <c r="L263" s="9">
        <f>F263*G263</f>
        <v/>
      </c>
      <c r="M263" s="11" t="n">
        <v>185000</v>
      </c>
      <c r="N263" s="11" t="n">
        <v>320000</v>
      </c>
      <c r="O263" s="11" t="n">
        <v>35000</v>
      </c>
      <c r="P263" s="11" t="n">
        <v>120000</v>
      </c>
      <c r="Q263" s="11">
        <f>M263+N263+O263+P263</f>
        <v/>
      </c>
      <c r="R263" s="13">
        <f>ROUND(L263*Q263, 0)</f>
        <v/>
      </c>
    </row>
    <row r="264">
      <c r="A264" s="20" t="n">
        <v>242</v>
      </c>
      <c r="B264" s="1" t="inlineStr">
        <is>
          <t>BT1: Sau hệ thống máy ép bùn công nghiệp thuộc hệ thống xử lý nước thải tập trung NMNĐ Vĩnh Tân 4 mở rộng</t>
        </is>
      </c>
      <c r="C264" s="1" t="inlineStr">
        <is>
          <t>CT3</t>
        </is>
      </c>
      <c r="D264" s="1" t="inlineStr">
        <is>
          <t>Cyanua (CN-)</t>
        </is>
      </c>
      <c r="E264" s="20" t="inlineStr">
        <is>
          <t>ppm</t>
        </is>
      </c>
      <c r="F264" s="20" t="n">
        <v>1</v>
      </c>
      <c r="G264" s="20" t="n">
        <v>4</v>
      </c>
      <c r="H264" s="20" t="n">
        <v>1</v>
      </c>
      <c r="I264" s="20" t="n">
        <v>1</v>
      </c>
      <c r="J264" s="1" t="inlineStr"/>
      <c r="K264" s="1" t="inlineStr">
        <is>
          <t>II.11</t>
        </is>
      </c>
      <c r="L264" s="9">
        <f>F264*G264</f>
        <v/>
      </c>
      <c r="M264" s="11" t="n">
        <v>185000</v>
      </c>
      <c r="N264" s="11" t="n">
        <v>320000</v>
      </c>
      <c r="O264" s="11" t="n">
        <v>35000</v>
      </c>
      <c r="P264" s="11" t="n">
        <v>120000</v>
      </c>
      <c r="Q264" s="11">
        <f>M264+N264+O264+P264</f>
        <v/>
      </c>
      <c r="R264" s="13">
        <f>ROUND(L264*Q264, 0)</f>
        <v/>
      </c>
    </row>
    <row r="265">
      <c r="A265" s="20" t="n">
        <v>243</v>
      </c>
      <c r="B265" s="1" t="inlineStr">
        <is>
          <t>BT1: Sau hệ thống máy ép bùn công nghiệp thuộc hệ thống xử lý nước thải tập trung NMNĐ Vĩnh Tân 4 mở rộng</t>
        </is>
      </c>
      <c r="C265" s="1" t="inlineStr">
        <is>
          <t>CT4</t>
        </is>
      </c>
      <c r="D265" s="1" t="inlineStr">
        <is>
          <t>Crom (VI)</t>
        </is>
      </c>
      <c r="E265" s="20" t="inlineStr">
        <is>
          <t>mg/l</t>
        </is>
      </c>
      <c r="F265" s="20" t="n">
        <v>1</v>
      </c>
      <c r="G265" s="20" t="n">
        <v>4</v>
      </c>
      <c r="H265" s="20" t="n">
        <v>1</v>
      </c>
      <c r="I265" s="20" t="n">
        <v>1</v>
      </c>
      <c r="J265" s="1" t="inlineStr"/>
      <c r="K265" s="1" t="inlineStr">
        <is>
          <t>II.11</t>
        </is>
      </c>
      <c r="L265" s="9">
        <f>F265*G265</f>
        <v/>
      </c>
      <c r="M265" s="11" t="n">
        <v>185000</v>
      </c>
      <c r="N265" s="11" t="n">
        <v>320000</v>
      </c>
      <c r="O265" s="11" t="n">
        <v>35000</v>
      </c>
      <c r="P265" s="11" t="n">
        <v>120000</v>
      </c>
      <c r="Q265" s="11">
        <f>M265+N265+O265+P265</f>
        <v/>
      </c>
      <c r="R265" s="13">
        <f>ROUND(L265*Q265, 0)</f>
        <v/>
      </c>
    </row>
    <row r="266">
      <c r="A266" s="20" t="n">
        <v>244</v>
      </c>
      <c r="B266" s="1" t="inlineStr">
        <is>
          <t>BT1: Sau hệ thống máy ép bùn công nghiệp thuộc hệ thống xử lý nước thải tập trung NMNĐ Vĩnh Tân 4 mở rộng</t>
        </is>
      </c>
      <c r="C266" s="1" t="inlineStr">
        <is>
          <t>CT7a</t>
        </is>
      </c>
      <c r="D266" s="1" t="inlineStr">
        <is>
          <t>As</t>
        </is>
      </c>
      <c r="E266" s="20" t="inlineStr">
        <is>
          <t>mg/l</t>
        </is>
      </c>
      <c r="F266" s="20" t="n">
        <v>1</v>
      </c>
      <c r="G266" s="20" t="n">
        <v>4</v>
      </c>
      <c r="H266" s="20" t="n">
        <v>1</v>
      </c>
      <c r="I266" s="20" t="n">
        <v>1</v>
      </c>
      <c r="J266" s="1" t="inlineStr"/>
      <c r="K266" s="1" t="inlineStr">
        <is>
          <t>II.11</t>
        </is>
      </c>
      <c r="L266" s="9">
        <f>F266*G266</f>
        <v/>
      </c>
      <c r="M266" s="11" t="n">
        <v>185000</v>
      </c>
      <c r="N266" s="11" t="n">
        <v>320000</v>
      </c>
      <c r="O266" s="11" t="n">
        <v>35000</v>
      </c>
      <c r="P266" s="11" t="n">
        <v>120000</v>
      </c>
      <c r="Q266" s="11">
        <f>M266+N266+O266+P266</f>
        <v/>
      </c>
      <c r="R266" s="13">
        <f>ROUND(L266*Q266, 0)</f>
        <v/>
      </c>
    </row>
    <row r="267">
      <c r="A267" s="20" t="n">
        <v>245</v>
      </c>
      <c r="B267" s="1" t="inlineStr">
        <is>
          <t>BT1: Sau hệ thống máy ép bùn công nghiệp thuộc hệ thống xử lý nước thải tập trung NMNĐ Vĩnh Tân 4 mở rộng</t>
        </is>
      </c>
      <c r="C267" s="1" t="inlineStr">
        <is>
          <t>CT7b</t>
        </is>
      </c>
      <c r="D267" s="1" t="inlineStr">
        <is>
          <t>Hg</t>
        </is>
      </c>
      <c r="E267" s="20" t="inlineStr">
        <is>
          <t>mg/l</t>
        </is>
      </c>
      <c r="F267" s="20" t="n">
        <v>1</v>
      </c>
      <c r="G267" s="20" t="n">
        <v>4</v>
      </c>
      <c r="H267" s="20" t="n">
        <v>1</v>
      </c>
      <c r="I267" s="20" t="n">
        <v>1</v>
      </c>
      <c r="J267" s="1" t="inlineStr"/>
      <c r="K267" s="1" t="inlineStr">
        <is>
          <t>II.11</t>
        </is>
      </c>
      <c r="L267" s="9">
        <f>F267*G267</f>
        <v/>
      </c>
      <c r="M267" s="11" t="n">
        <v>185000</v>
      </c>
      <c r="N267" s="11" t="n">
        <v>320000</v>
      </c>
      <c r="O267" s="11" t="n">
        <v>35000</v>
      </c>
      <c r="P267" s="11" t="n">
        <v>120000</v>
      </c>
      <c r="Q267" s="11">
        <f>M267+N267+O267+P267</f>
        <v/>
      </c>
      <c r="R267" s="13">
        <f>ROUND(L267*Q267, 0)</f>
        <v/>
      </c>
    </row>
    <row r="268">
      <c r="A268" s="20" t="n">
        <v>246</v>
      </c>
      <c r="B268" s="1" t="inlineStr">
        <is>
          <t>BT1: Sau hệ thống máy ép bùn công nghiệp thuộc hệ thống xử lý nước thải tập trung NMNĐ Vĩnh Tân 4 mở rộng</t>
        </is>
      </c>
      <c r="C268" s="1" t="inlineStr">
        <is>
          <t>CT2</t>
        </is>
      </c>
      <c r="D268" s="1" t="inlineStr">
        <is>
          <t>Phenol</t>
        </is>
      </c>
      <c r="E268" s="20" t="inlineStr">
        <is>
          <t>mg/l</t>
        </is>
      </c>
      <c r="F268" s="20" t="n">
        <v>1</v>
      </c>
      <c r="G268" s="20" t="n">
        <v>4</v>
      </c>
      <c r="H268" s="20" t="n">
        <v>1</v>
      </c>
      <c r="I268" s="20" t="n">
        <v>1</v>
      </c>
      <c r="J268" s="1" t="inlineStr"/>
      <c r="K268" s="1" t="inlineStr">
        <is>
          <t>II.11</t>
        </is>
      </c>
      <c r="L268" s="9">
        <f>F268*G268</f>
        <v/>
      </c>
      <c r="M268" s="11" t="n">
        <v>185000</v>
      </c>
      <c r="N268" s="11" t="n">
        <v>320000</v>
      </c>
      <c r="O268" s="11" t="n">
        <v>35000</v>
      </c>
      <c r="P268" s="11" t="n">
        <v>120000</v>
      </c>
      <c r="Q268" s="11">
        <f>M268+N268+O268+P268</f>
        <v/>
      </c>
      <c r="R268" s="13">
        <f>ROUND(L268*Q268, 0)</f>
        <v/>
      </c>
    </row>
    <row r="269">
      <c r="A269" s="20" t="n">
        <v>247</v>
      </c>
      <c r="B269" s="1" t="inlineStr">
        <is>
          <t>BT1: Sau hệ thống máy ép bùn công nghiệp thuộc hệ thống xử lý nước thải tập trung NMNĐ Vĩnh Tân 4 mở rộng</t>
        </is>
      </c>
      <c r="C269" s="1" t="inlineStr">
        <is>
          <t>CT6a</t>
        </is>
      </c>
      <c r="D269" s="1" t="inlineStr">
        <is>
          <t>Pb</t>
        </is>
      </c>
      <c r="E269" s="20" t="inlineStr">
        <is>
          <t>mg/l</t>
        </is>
      </c>
      <c r="F269" s="20" t="n">
        <v>1</v>
      </c>
      <c r="G269" s="20" t="n">
        <v>4</v>
      </c>
      <c r="H269" s="20" t="n">
        <v>1</v>
      </c>
      <c r="I269" s="20" t="n">
        <v>1</v>
      </c>
      <c r="J269" s="1" t="inlineStr"/>
      <c r="K269" s="1" t="inlineStr">
        <is>
          <t>II.11</t>
        </is>
      </c>
      <c r="L269" s="9">
        <f>F269*G269</f>
        <v/>
      </c>
      <c r="M269" s="11" t="n">
        <v>185000</v>
      </c>
      <c r="N269" s="11" t="n">
        <v>320000</v>
      </c>
      <c r="O269" s="11" t="n">
        <v>35000</v>
      </c>
      <c r="P269" s="11" t="n">
        <v>120000</v>
      </c>
      <c r="Q269" s="11">
        <f>M269+N269+O269+P269</f>
        <v/>
      </c>
      <c r="R269" s="13">
        <f>ROUND(L269*Q269, 0)</f>
        <v/>
      </c>
    </row>
    <row r="270">
      <c r="A270" s="20" t="n">
        <v>248</v>
      </c>
      <c r="B270" s="1" t="inlineStr">
        <is>
          <t>BT1: Sau hệ thống máy ép bùn công nghiệp thuộc hệ thống xử lý nước thải tập trung NMNĐ Vĩnh Tân 4 mở rộng</t>
        </is>
      </c>
      <c r="C270" s="1" t="inlineStr">
        <is>
          <t>CT6b</t>
        </is>
      </c>
      <c r="D270" s="1" t="inlineStr">
        <is>
          <t>Cd</t>
        </is>
      </c>
      <c r="E270" s="20" t="inlineStr">
        <is>
          <t>mg/l</t>
        </is>
      </c>
      <c r="F270" s="20" t="n">
        <v>1</v>
      </c>
      <c r="G270" s="20" t="n">
        <v>4</v>
      </c>
      <c r="H270" s="20" t="n">
        <v>1</v>
      </c>
      <c r="I270" s="20" t="n">
        <v>1</v>
      </c>
      <c r="J270" s="1" t="inlineStr"/>
      <c r="K270" s="1" t="inlineStr">
        <is>
          <t>II.11</t>
        </is>
      </c>
      <c r="L270" s="9">
        <f>F270*G270</f>
        <v/>
      </c>
      <c r="M270" s="11" t="n">
        <v>185000</v>
      </c>
      <c r="N270" s="11" t="n">
        <v>320000</v>
      </c>
      <c r="O270" s="11" t="n">
        <v>35000</v>
      </c>
      <c r="P270" s="11" t="n">
        <v>120000</v>
      </c>
      <c r="Q270" s="11">
        <f>M270+N270+O270+P270</f>
        <v/>
      </c>
      <c r="R270" s="13">
        <f>ROUND(L270*Q270, 0)</f>
        <v/>
      </c>
    </row>
    <row r="271">
      <c r="A271" s="20" t="n">
        <v>249</v>
      </c>
      <c r="B271" s="1" t="inlineStr">
        <is>
          <t>BT1: Sau hệ thống máy ép bùn công nghiệp thuộc hệ thống xử lý nước thải tập trung NMNĐ Vĩnh Tân 4 mở rộng</t>
        </is>
      </c>
      <c r="C271" s="1" t="inlineStr">
        <is>
          <t>CT8b</t>
        </is>
      </c>
      <c r="D271" s="1" t="inlineStr">
        <is>
          <t>Zn</t>
        </is>
      </c>
      <c r="E271" s="20" t="inlineStr">
        <is>
          <t>mg/l</t>
        </is>
      </c>
      <c r="F271" s="20" t="n">
        <v>1</v>
      </c>
      <c r="G271" s="20" t="n">
        <v>4</v>
      </c>
      <c r="H271" s="20" t="n">
        <v>1</v>
      </c>
      <c r="I271" s="20" t="n">
        <v>1</v>
      </c>
      <c r="J271" s="1" t="inlineStr"/>
      <c r="K271" s="1" t="inlineStr">
        <is>
          <t>II.11</t>
        </is>
      </c>
      <c r="L271" s="9">
        <f>F271*G271</f>
        <v/>
      </c>
      <c r="M271" s="11" t="n">
        <v>185000</v>
      </c>
      <c r="N271" s="11" t="n">
        <v>320000</v>
      </c>
      <c r="O271" s="11" t="n">
        <v>35000</v>
      </c>
      <c r="P271" s="11" t="n">
        <v>120000</v>
      </c>
      <c r="Q271" s="11">
        <f>M271+N271+O271+P271</f>
        <v/>
      </c>
      <c r="R271" s="13">
        <f>ROUND(L271*Q271, 0)</f>
        <v/>
      </c>
    </row>
    <row r="272">
      <c r="A272" s="20" t="n">
        <v>250</v>
      </c>
      <c r="B272" s="1" t="inlineStr">
        <is>
          <t>BT1: Sau hệ thống máy ép bùn công nghiệp thuộc hệ thống xử lý nước thải tập trung NMNĐ Vĩnh Tân 4 mở rộng</t>
        </is>
      </c>
      <c r="C272" s="1" t="inlineStr">
        <is>
          <t>CT8e</t>
        </is>
      </c>
      <c r="D272" s="1" t="inlineStr">
        <is>
          <t>Ni</t>
        </is>
      </c>
      <c r="E272" s="20" t="inlineStr">
        <is>
          <t>mg/l</t>
        </is>
      </c>
      <c r="F272" s="20" t="n">
        <v>1</v>
      </c>
      <c r="G272" s="20" t="n">
        <v>4</v>
      </c>
      <c r="H272" s="20" t="n">
        <v>1</v>
      </c>
      <c r="I272" s="20" t="n">
        <v>1</v>
      </c>
      <c r="J272" s="1" t="inlineStr"/>
      <c r="K272" s="1" t="inlineStr">
        <is>
          <t>II.11</t>
        </is>
      </c>
      <c r="L272" s="9">
        <f>F272*G272</f>
        <v/>
      </c>
      <c r="M272" s="11" t="n">
        <v>185000</v>
      </c>
      <c r="N272" s="11" t="n">
        <v>320000</v>
      </c>
      <c r="O272" s="11" t="n">
        <v>35000</v>
      </c>
      <c r="P272" s="11" t="n">
        <v>120000</v>
      </c>
      <c r="Q272" s="11">
        <f>M272+N272+O272+P272</f>
        <v/>
      </c>
      <c r="R272" s="13">
        <f>ROUND(L272*Q272, 0)</f>
        <v/>
      </c>
    </row>
    <row r="273">
      <c r="A273" s="20" t="n">
        <v>251</v>
      </c>
      <c r="B273" s="1" t="inlineStr">
        <is>
          <t>BT1: Sau hệ thống máy ép bùn công nghiệp thuộc hệ thống xử lý nước thải tập trung NMNĐ Vĩnh Tân 4 mở rộng</t>
        </is>
      </c>
      <c r="C273" s="1" t="inlineStr">
        <is>
          <t>CT8f</t>
        </is>
      </c>
      <c r="D273" s="1" t="inlineStr">
        <is>
          <t>Ba</t>
        </is>
      </c>
      <c r="E273" s="20" t="inlineStr">
        <is>
          <t>mg/l</t>
        </is>
      </c>
      <c r="F273" s="20" t="n">
        <v>1</v>
      </c>
      <c r="G273" s="20" t="n">
        <v>4</v>
      </c>
      <c r="H273" s="20" t="n">
        <v>1</v>
      </c>
      <c r="I273" s="20" t="n">
        <v>1</v>
      </c>
      <c r="J273" s="1" t="inlineStr"/>
      <c r="K273" s="1" t="inlineStr">
        <is>
          <t>II.11</t>
        </is>
      </c>
      <c r="L273" s="9">
        <f>F273*G273</f>
        <v/>
      </c>
      <c r="M273" s="11" t="n">
        <v>185000</v>
      </c>
      <c r="N273" s="11" t="n">
        <v>320000</v>
      </c>
      <c r="O273" s="11" t="n">
        <v>35000</v>
      </c>
      <c r="P273" s="11" t="n">
        <v>120000</v>
      </c>
      <c r="Q273" s="11">
        <f>M273+N273+O273+P273</f>
        <v/>
      </c>
      <c r="R273" s="13">
        <f>ROUND(L273*Q273, 0)</f>
        <v/>
      </c>
    </row>
    <row r="274">
      <c r="A274" s="20" t="n">
        <v>252</v>
      </c>
      <c r="B274" s="1" t="inlineStr">
        <is>
          <t>BT1: Sau hệ thống máy ép bùn công nghiệp thuộc hệ thống xử lý nước thải tập trung NMNĐ Vĩnh Tân 4 mở rộng</t>
        </is>
      </c>
      <c r="C274" s="1" t="inlineStr">
        <is>
          <t>CT8g</t>
        </is>
      </c>
      <c r="D274" s="1" t="inlineStr">
        <is>
          <t>Se</t>
        </is>
      </c>
      <c r="E274" s="20" t="inlineStr">
        <is>
          <t>mg/l</t>
        </is>
      </c>
      <c r="F274" s="20" t="n">
        <v>1</v>
      </c>
      <c r="G274" s="20" t="n">
        <v>4</v>
      </c>
      <c r="H274" s="20" t="n">
        <v>1</v>
      </c>
      <c r="I274" s="20" t="n">
        <v>1</v>
      </c>
      <c r="J274" s="1" t="inlineStr"/>
      <c r="K274" s="1" t="inlineStr">
        <is>
          <t>II.11</t>
        </is>
      </c>
      <c r="L274" s="9">
        <f>F274*G274</f>
        <v/>
      </c>
      <c r="M274" s="11" t="n">
        <v>185000</v>
      </c>
      <c r="N274" s="11" t="n">
        <v>320000</v>
      </c>
      <c r="O274" s="11" t="n">
        <v>35000</v>
      </c>
      <c r="P274" s="11" t="n">
        <v>120000</v>
      </c>
      <c r="Q274" s="11">
        <f>M274+N274+O274+P274</f>
        <v/>
      </c>
      <c r="R274" s="13">
        <f>ROUND(L274*Q274, 0)</f>
        <v/>
      </c>
    </row>
    <row r="275">
      <c r="A275" s="20" t="n">
        <v>253</v>
      </c>
      <c r="B275" s="1" t="inlineStr">
        <is>
          <t>BT1: Sau hệ thống máy ép bùn công nghiệp thuộc hệ thống xử lý nước thải tập trung NMNĐ Vĩnh Tân 4 mở rộng</t>
        </is>
      </c>
      <c r="C275" s="1" t="inlineStr">
        <is>
          <t>CT8m</t>
        </is>
      </c>
      <c r="D275" s="1" t="inlineStr">
        <is>
          <t>Ag</t>
        </is>
      </c>
      <c r="E275" s="20" t="inlineStr">
        <is>
          <t>mg/l</t>
        </is>
      </c>
      <c r="F275" s="20" t="n">
        <v>1</v>
      </c>
      <c r="G275" s="20" t="n">
        <v>4</v>
      </c>
      <c r="H275" s="20" t="n">
        <v>1</v>
      </c>
      <c r="I275" s="20" t="n">
        <v>1</v>
      </c>
      <c r="J275" s="1" t="inlineStr"/>
      <c r="K275" s="1" t="inlineStr">
        <is>
          <t>II.11</t>
        </is>
      </c>
      <c r="L275" s="9">
        <f>F275*G275</f>
        <v/>
      </c>
      <c r="M275" s="11" t="n">
        <v>185000</v>
      </c>
      <c r="N275" s="11" t="n">
        <v>320000</v>
      </c>
      <c r="O275" s="11" t="n">
        <v>35000</v>
      </c>
      <c r="P275" s="11" t="n">
        <v>120000</v>
      </c>
      <c r="Q275" s="11">
        <f>M275+N275+O275+P275</f>
        <v/>
      </c>
      <c r="R275" s="13">
        <f>ROUND(L275*Q275,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46" customWidth="1" min="4" max="4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>HAO PHÍ VẬT LIỆU, NHÂN CÔNG, MÁY VÀ CÔNG CỤ DỤNG CỤ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7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8" t="inlineStr">
        <is>
          <t>STT</t>
        </is>
      </c>
      <c r="B5" s="8" t="inlineStr">
        <is>
          <t>Mã hiệu</t>
        </is>
      </c>
      <c r="C5" s="8" t="inlineStr">
        <is>
          <t>TT Vật tư</t>
        </is>
      </c>
      <c r="D5" s="8" t="inlineStr">
        <is>
          <t>Tên công tác / Thành phần hao phí</t>
        </is>
      </c>
      <c r="E5" s="8" t="inlineStr">
        <is>
          <t>Đơn vị</t>
        </is>
      </c>
      <c r="F5" s="8" t="inlineStr">
        <is>
          <t>Khối lượng công trình (Q)</t>
        </is>
      </c>
      <c r="G5" s="8" t="inlineStr">
        <is>
          <t>Định mức VL</t>
        </is>
      </c>
      <c r="H5" s="8" t="inlineStr">
        <is>
          <t>Định mức NC</t>
        </is>
      </c>
      <c r="I5" s="8" t="inlineStr">
        <is>
          <t>Định mức CCDC</t>
        </is>
      </c>
      <c r="J5" s="8" t="inlineStr">
        <is>
          <t>Định mức Máy</t>
        </is>
      </c>
      <c r="K5" s="8" t="inlineStr">
        <is>
          <t>Khối lượng VL</t>
        </is>
      </c>
      <c r="L5" s="8" t="inlineStr">
        <is>
          <t>Khối lượng NC</t>
        </is>
      </c>
      <c r="M5" s="8" t="inlineStr">
        <is>
          <t>Khối lượng CCDC</t>
        </is>
      </c>
      <c r="N5" s="8" t="inlineStr">
        <is>
          <t>Khối lượng Máy</t>
        </is>
      </c>
      <c r="O5" s="8" t="inlineStr">
        <is>
          <t>Ghi chú bóc tách</t>
        </is>
      </c>
    </row>
    <row r="6">
      <c r="A6" s="21">
        <f>'Công trình'!A7</f>
        <v/>
      </c>
      <c r="B6" s="21">
        <f>'Công trình'!C7</f>
        <v/>
      </c>
      <c r="C6" s="21" t="inlineStr"/>
      <c r="D6" s="22">
        <f>'Công trình'!D7</f>
        <v/>
      </c>
      <c r="E6" s="21">
        <f>'Công trình'!E7</f>
        <v/>
      </c>
      <c r="F6" s="21">
        <f>'Công trình'!L7</f>
        <v/>
      </c>
      <c r="G6" s="23" t="inlineStr"/>
      <c r="H6" s="23" t="inlineStr"/>
      <c r="I6" s="23" t="inlineStr"/>
      <c r="J6" s="23" t="inlineStr"/>
      <c r="K6" s="23" t="inlineStr"/>
      <c r="L6" s="23" t="inlineStr"/>
      <c r="M6" s="23" t="inlineStr"/>
      <c r="N6" s="23" t="inlineStr"/>
      <c r="O6" s="21" t="inlineStr">
        <is>
          <t>PAKT &amp; Định mức TT20</t>
        </is>
      </c>
    </row>
    <row r="7">
      <c r="A7" s="1" t="inlineStr"/>
      <c r="B7" s="1" t="inlineStr">
        <is>
          <t>NC_LDKT</t>
        </is>
      </c>
      <c r="C7" s="1" t="inlineStr">
        <is>
          <t>LĐKT</t>
        </is>
      </c>
      <c r="D7" s="1" t="inlineStr">
        <is>
          <t xml:space="preserve"> - Kỹ sư / Kiểm định viên / Quan trắc viên</t>
        </is>
      </c>
      <c r="E7" s="1" t="inlineStr">
        <is>
          <t>công</t>
        </is>
      </c>
      <c r="F7" s="1" t="inlineStr"/>
      <c r="G7" s="24" t="inlineStr"/>
      <c r="H7" s="24" t="n">
        <v>0.176</v>
      </c>
      <c r="I7" s="24" t="inlineStr"/>
      <c r="J7" s="24" t="inlineStr"/>
      <c r="K7" s="24" t="inlineStr"/>
      <c r="L7" s="24">
        <f>ROUND(F6*H7, 4)</f>
        <v/>
      </c>
      <c r="M7" s="24" t="inlineStr"/>
      <c r="N7" s="24" t="inlineStr"/>
      <c r="O7" s="1" t="inlineStr">
        <is>
          <t>TTLT 56/2015</t>
        </is>
      </c>
    </row>
    <row r="8">
      <c r="A8" s="1" t="inlineStr"/>
      <c r="B8" s="1" t="inlineStr">
        <is>
          <t>NC_LDPT</t>
        </is>
      </c>
      <c r="C8" s="1" t="inlineStr">
        <is>
          <t>LĐPT</t>
        </is>
      </c>
      <c r="D8" s="1" t="inlineStr">
        <is>
          <t xml:space="preserve"> - Lao động phổ thông phụ việc hiện trường</t>
        </is>
      </c>
      <c r="E8" s="1" t="inlineStr">
        <is>
          <t>công</t>
        </is>
      </c>
      <c r="F8" s="1" t="inlineStr"/>
      <c r="G8" s="24" t="inlineStr"/>
      <c r="H8" s="24" t="n">
        <v>0.044</v>
      </c>
      <c r="I8" s="24" t="inlineStr"/>
      <c r="J8" s="24" t="inlineStr"/>
      <c r="K8" s="24" t="inlineStr"/>
      <c r="L8" s="24">
        <f>ROUND(F6*H8, 4)</f>
        <v/>
      </c>
      <c r="M8" s="24" t="inlineStr"/>
      <c r="N8" s="24" t="inlineStr"/>
      <c r="O8" s="1" t="inlineStr">
        <is>
          <t>Hỗ trợ ngoại nghiệp</t>
        </is>
      </c>
    </row>
    <row r="9">
      <c r="A9" s="1" t="inlineStr"/>
      <c r="B9" s="1" t="inlineStr">
        <is>
          <t>CCDC_01</t>
        </is>
      </c>
      <c r="C9" s="1" t="inlineStr">
        <is>
          <t>CCDC</t>
        </is>
      </c>
      <c r="D9" s="1" t="inlineStr">
        <is>
          <t xml:space="preserve"> - Ca dụng cụ, thiết bị nhỏ đo đạc/lấy mẫu</t>
        </is>
      </c>
      <c r="E9" s="1" t="inlineStr">
        <is>
          <t>ca</t>
        </is>
      </c>
      <c r="F9" s="1" t="inlineStr"/>
      <c r="G9" s="24" t="inlineStr"/>
      <c r="H9" s="24" t="inlineStr"/>
      <c r="I9" s="24" t="n">
        <v>0.1</v>
      </c>
      <c r="J9" s="24" t="inlineStr"/>
      <c r="K9" s="24" t="inlineStr"/>
      <c r="L9" s="24" t="inlineStr"/>
      <c r="M9" s="24">
        <f>ROUND(F6*I9, 4)</f>
        <v/>
      </c>
      <c r="N9" s="24" t="inlineStr"/>
      <c r="O9" s="1" t="inlineStr">
        <is>
          <t>Khoản 4.2 TT20</t>
        </is>
      </c>
    </row>
    <row r="10">
      <c r="A10" s="1" t="inlineStr"/>
      <c r="B10" s="1" t="inlineStr">
        <is>
          <t>CCDC_PHU</t>
        </is>
      </c>
      <c r="C10" s="1" t="inlineStr">
        <is>
          <t>CCDC_PHỤ</t>
        </is>
      </c>
      <c r="D10" s="1" t="inlineStr">
        <is>
          <t xml:space="preserve"> - Dụng cụ phụ khác (10% CCDC chính)</t>
        </is>
      </c>
      <c r="E10" s="1" t="inlineStr">
        <is>
          <t>%</t>
        </is>
      </c>
      <c r="F10" s="1" t="inlineStr"/>
      <c r="G10" s="24" t="inlineStr"/>
      <c r="H10" s="24" t="inlineStr"/>
      <c r="I10" s="24" t="n">
        <v>0.1</v>
      </c>
      <c r="J10" s="24" t="inlineStr"/>
      <c r="K10" s="24" t="inlineStr"/>
      <c r="L10" s="24" t="inlineStr"/>
      <c r="M10" s="24">
        <f>ROUND(M9*I10, 4)</f>
        <v/>
      </c>
      <c r="N10" s="24" t="inlineStr"/>
      <c r="O10" s="1" t="inlineStr">
        <is>
          <t>10% Khoản 4.2 TT20</t>
        </is>
      </c>
    </row>
    <row r="11">
      <c r="A11" s="1" t="inlineStr"/>
      <c r="B11" s="1" t="inlineStr">
        <is>
          <t>M_KHTSCD</t>
        </is>
      </c>
      <c r="C11" s="1" t="inlineStr">
        <is>
          <t>MÁY</t>
        </is>
      </c>
      <c r="D11" s="1" t="inlineStr">
        <is>
          <t xml:space="preserve"> - Khấu hao thiết bị quan trắc chuyên dụng</t>
        </is>
      </c>
      <c r="E11" s="1" t="inlineStr">
        <is>
          <t>ca</t>
        </is>
      </c>
      <c r="F11" s="1" t="inlineStr"/>
      <c r="G11" s="24" t="inlineStr"/>
      <c r="H11" s="24" t="inlineStr"/>
      <c r="I11" s="24" t="inlineStr"/>
      <c r="J11" s="24" t="n">
        <v>0.08</v>
      </c>
      <c r="K11" s="24" t="inlineStr"/>
      <c r="L11" s="24" t="inlineStr"/>
      <c r="M11" s="24" t="inlineStr"/>
      <c r="N11" s="24">
        <f>ROUND(F6*J11, 4)</f>
        <v/>
      </c>
      <c r="O11" s="1" t="inlineStr">
        <is>
          <t>TT 45/2013</t>
        </is>
      </c>
    </row>
    <row r="12">
      <c r="A12" s="1" t="inlineStr"/>
      <c r="B12" s="1" t="inlineStr">
        <is>
          <t>M_NANGLUONG</t>
        </is>
      </c>
      <c r="C12" s="1" t="inlineStr">
        <is>
          <t>ĐIỆN</t>
        </is>
      </c>
      <c r="D12" s="1" t="inlineStr">
        <is>
          <t xml:space="preserve"> - Năng lượng điện vận hành thiết bị PTN</t>
        </is>
      </c>
      <c r="E12" s="1" t="inlineStr">
        <is>
          <t>kWh</t>
        </is>
      </c>
      <c r="F12" s="1" t="inlineStr"/>
      <c r="G12" s="24" t="inlineStr"/>
      <c r="H12" s="24" t="inlineStr"/>
      <c r="I12" s="24" t="inlineStr"/>
      <c r="J12" s="24" t="n">
        <v>0.5</v>
      </c>
      <c r="K12" s="24" t="inlineStr"/>
      <c r="L12" s="24" t="inlineStr"/>
      <c r="M12" s="24" t="inlineStr"/>
      <c r="N12" s="24">
        <f>ROUND(F6*J12, 4)</f>
        <v/>
      </c>
      <c r="O12" s="1" t="inlineStr">
        <is>
          <t>Điện năng PTN</t>
        </is>
      </c>
    </row>
    <row r="13">
      <c r="A13" s="1" t="inlineStr"/>
      <c r="B13" s="1" t="inlineStr">
        <is>
          <t>VL_01</t>
        </is>
      </c>
      <c r="C13" s="1" t="inlineStr">
        <is>
          <t>VL</t>
        </is>
      </c>
      <c r="D13" s="1" t="inlineStr">
        <is>
          <t xml:space="preserve"> - Hóa chất phân tích tinh khiết, màng lọc, chuẩn</t>
        </is>
      </c>
      <c r="E13" s="1" t="inlineStr">
        <is>
          <t>bộ</t>
        </is>
      </c>
      <c r="F13" s="1" t="inlineStr"/>
      <c r="G13" s="24" t="n">
        <v>0.04</v>
      </c>
      <c r="H13" s="24" t="inlineStr"/>
      <c r="I13" s="24" t="inlineStr"/>
      <c r="J13" s="24" t="inlineStr"/>
      <c r="K13" s="24">
        <f>ROUND(F6*G13, 4)</f>
        <v/>
      </c>
      <c r="L13" s="24" t="inlineStr"/>
      <c r="M13" s="24" t="inlineStr"/>
      <c r="N13" s="24" t="inlineStr"/>
      <c r="O13" s="1" t="inlineStr">
        <is>
          <t>Khoản 4.4 TT20</t>
        </is>
      </c>
    </row>
    <row r="14">
      <c r="A14" s="1" t="inlineStr"/>
      <c r="B14" s="1" t="inlineStr">
        <is>
          <t>VL_KHAC</t>
        </is>
      </c>
      <c r="C14" s="1" t="inlineStr">
        <is>
          <t>VL_PHỤ</t>
        </is>
      </c>
      <c r="D14" s="1" t="inlineStr">
        <is>
          <t xml:space="preserve"> - Vật liệu phụ khác (8% vật liệu chính)</t>
        </is>
      </c>
      <c r="E14" s="1" t="inlineStr">
        <is>
          <t>%</t>
        </is>
      </c>
      <c r="F14" s="1" t="inlineStr"/>
      <c r="G14" s="24" t="n">
        <v>0.08</v>
      </c>
      <c r="H14" s="24" t="inlineStr"/>
      <c r="I14" s="24" t="inlineStr"/>
      <c r="J14" s="24" t="inlineStr"/>
      <c r="K14" s="24">
        <f>ROUND(K13*G14, 4)</f>
        <v/>
      </c>
      <c r="L14" s="24" t="inlineStr"/>
      <c r="M14" s="24" t="inlineStr"/>
      <c r="N14" s="24" t="inlineStr"/>
      <c r="O14" s="1" t="inlineStr">
        <is>
          <t>8% Khoản 4.4 TT20</t>
        </is>
      </c>
    </row>
    <row r="15">
      <c r="A15" s="21">
        <f>'Công trình'!A8</f>
        <v/>
      </c>
      <c r="B15" s="21">
        <f>'Công trình'!C8</f>
        <v/>
      </c>
      <c r="C15" s="21" t="inlineStr"/>
      <c r="D15" s="22">
        <f>'Công trình'!D8</f>
        <v/>
      </c>
      <c r="E15" s="21">
        <f>'Công trình'!E8</f>
        <v/>
      </c>
      <c r="F15" s="21">
        <f>'Công trình'!L8</f>
        <v/>
      </c>
      <c r="G15" s="23" t="inlineStr"/>
      <c r="H15" s="23" t="inlineStr"/>
      <c r="I15" s="23" t="inlineStr"/>
      <c r="J15" s="23" t="inlineStr"/>
      <c r="K15" s="23" t="inlineStr"/>
      <c r="L15" s="23" t="inlineStr"/>
      <c r="M15" s="23" t="inlineStr"/>
      <c r="N15" s="23" t="inlineStr"/>
      <c r="O15" s="21" t="inlineStr">
        <is>
          <t>PAKT &amp; Định mức TT20</t>
        </is>
      </c>
    </row>
    <row r="16">
      <c r="A16" s="1" t="inlineStr"/>
      <c r="B16" s="1" t="inlineStr">
        <is>
          <t>NC_LDKT</t>
        </is>
      </c>
      <c r="C16" s="1" t="inlineStr">
        <is>
          <t>LĐKT</t>
        </is>
      </c>
      <c r="D16" s="1" t="inlineStr">
        <is>
          <t xml:space="preserve"> - Kỹ sư / Kiểm định viên / Quan trắc viên</t>
        </is>
      </c>
      <c r="E16" s="1" t="inlineStr">
        <is>
          <t>công</t>
        </is>
      </c>
      <c r="F16" s="1" t="inlineStr"/>
      <c r="G16" s="24" t="inlineStr"/>
      <c r="H16" s="24" t="n">
        <v>0.176</v>
      </c>
      <c r="I16" s="24" t="inlineStr"/>
      <c r="J16" s="24" t="inlineStr"/>
      <c r="K16" s="24" t="inlineStr"/>
      <c r="L16" s="24">
        <f>ROUND(F15*H16, 4)</f>
        <v/>
      </c>
      <c r="M16" s="24" t="inlineStr"/>
      <c r="N16" s="24" t="inlineStr"/>
      <c r="O16" s="1" t="inlineStr">
        <is>
          <t>TTLT 56/2015</t>
        </is>
      </c>
    </row>
    <row r="17">
      <c r="A17" s="1" t="inlineStr"/>
      <c r="B17" s="1" t="inlineStr">
        <is>
          <t>NC_LDPT</t>
        </is>
      </c>
      <c r="C17" s="1" t="inlineStr">
        <is>
          <t>LĐPT</t>
        </is>
      </c>
      <c r="D17" s="1" t="inlineStr">
        <is>
          <t xml:space="preserve"> - Lao động phổ thông phụ việc hiện trường</t>
        </is>
      </c>
      <c r="E17" s="1" t="inlineStr">
        <is>
          <t>công</t>
        </is>
      </c>
      <c r="F17" s="1" t="inlineStr"/>
      <c r="G17" s="24" t="inlineStr"/>
      <c r="H17" s="24" t="n">
        <v>0.044</v>
      </c>
      <c r="I17" s="24" t="inlineStr"/>
      <c r="J17" s="24" t="inlineStr"/>
      <c r="K17" s="24" t="inlineStr"/>
      <c r="L17" s="24">
        <f>ROUND(F15*H17, 4)</f>
        <v/>
      </c>
      <c r="M17" s="24" t="inlineStr"/>
      <c r="N17" s="24" t="inlineStr"/>
      <c r="O17" s="1" t="inlineStr">
        <is>
          <t>Hỗ trợ ngoại nghiệp</t>
        </is>
      </c>
    </row>
    <row r="18">
      <c r="A18" s="1" t="inlineStr"/>
      <c r="B18" s="1" t="inlineStr">
        <is>
          <t>CCDC_01</t>
        </is>
      </c>
      <c r="C18" s="1" t="inlineStr">
        <is>
          <t>CCDC</t>
        </is>
      </c>
      <c r="D18" s="1" t="inlineStr">
        <is>
          <t xml:space="preserve"> - Ca dụng cụ, thiết bị nhỏ đo đạc/lấy mẫu</t>
        </is>
      </c>
      <c r="E18" s="1" t="inlineStr">
        <is>
          <t>ca</t>
        </is>
      </c>
      <c r="F18" s="1" t="inlineStr"/>
      <c r="G18" s="24" t="inlineStr"/>
      <c r="H18" s="24" t="inlineStr"/>
      <c r="I18" s="24" t="n">
        <v>0.1</v>
      </c>
      <c r="J18" s="24" t="inlineStr"/>
      <c r="K18" s="24" t="inlineStr"/>
      <c r="L18" s="24" t="inlineStr"/>
      <c r="M18" s="24">
        <f>ROUND(F15*I18, 4)</f>
        <v/>
      </c>
      <c r="N18" s="24" t="inlineStr"/>
      <c r="O18" s="1" t="inlineStr">
        <is>
          <t>Khoản 4.2 TT20</t>
        </is>
      </c>
    </row>
    <row r="19">
      <c r="A19" s="1" t="inlineStr"/>
      <c r="B19" s="1" t="inlineStr">
        <is>
          <t>CCDC_PHU</t>
        </is>
      </c>
      <c r="C19" s="1" t="inlineStr">
        <is>
          <t>CCDC_PHỤ</t>
        </is>
      </c>
      <c r="D19" s="1" t="inlineStr">
        <is>
          <t xml:space="preserve"> - Dụng cụ phụ khác (10% CCDC chính)</t>
        </is>
      </c>
      <c r="E19" s="1" t="inlineStr">
        <is>
          <t>%</t>
        </is>
      </c>
      <c r="F19" s="1" t="inlineStr"/>
      <c r="G19" s="24" t="inlineStr"/>
      <c r="H19" s="24" t="inlineStr"/>
      <c r="I19" s="24" t="n">
        <v>0.1</v>
      </c>
      <c r="J19" s="24" t="inlineStr"/>
      <c r="K19" s="24" t="inlineStr"/>
      <c r="L19" s="24" t="inlineStr"/>
      <c r="M19" s="24">
        <f>ROUND(M18*I19, 4)</f>
        <v/>
      </c>
      <c r="N19" s="24" t="inlineStr"/>
      <c r="O19" s="1" t="inlineStr">
        <is>
          <t>10% Khoản 4.2 TT20</t>
        </is>
      </c>
    </row>
    <row r="20">
      <c r="A20" s="1" t="inlineStr"/>
      <c r="B20" s="1" t="inlineStr">
        <is>
          <t>M_KHTSCD</t>
        </is>
      </c>
      <c r="C20" s="1" t="inlineStr">
        <is>
          <t>MÁY</t>
        </is>
      </c>
      <c r="D20" s="1" t="inlineStr">
        <is>
          <t xml:space="preserve"> - Khấu hao thiết bị quan trắc chuyên dụng</t>
        </is>
      </c>
      <c r="E20" s="1" t="inlineStr">
        <is>
          <t>ca</t>
        </is>
      </c>
      <c r="F20" s="1" t="inlineStr"/>
      <c r="G20" s="24" t="inlineStr"/>
      <c r="H20" s="24" t="inlineStr"/>
      <c r="I20" s="24" t="inlineStr"/>
      <c r="J20" s="24" t="n">
        <v>0.08</v>
      </c>
      <c r="K20" s="24" t="inlineStr"/>
      <c r="L20" s="24" t="inlineStr"/>
      <c r="M20" s="24" t="inlineStr"/>
      <c r="N20" s="24">
        <f>ROUND(F15*J20, 4)</f>
        <v/>
      </c>
      <c r="O20" s="1" t="inlineStr">
        <is>
          <t>TT 45/2013</t>
        </is>
      </c>
    </row>
    <row r="21">
      <c r="A21" s="1" t="inlineStr"/>
      <c r="B21" s="1" t="inlineStr">
        <is>
          <t>M_NANGLUONG</t>
        </is>
      </c>
      <c r="C21" s="1" t="inlineStr">
        <is>
          <t>ĐIỆN</t>
        </is>
      </c>
      <c r="D21" s="1" t="inlineStr">
        <is>
          <t xml:space="preserve"> - Năng lượng điện vận hành thiết bị PTN</t>
        </is>
      </c>
      <c r="E21" s="1" t="inlineStr">
        <is>
          <t>kWh</t>
        </is>
      </c>
      <c r="F21" s="1" t="inlineStr"/>
      <c r="G21" s="24" t="inlineStr"/>
      <c r="H21" s="24" t="inlineStr"/>
      <c r="I21" s="24" t="inlineStr"/>
      <c r="J21" s="24" t="n">
        <v>0.5</v>
      </c>
      <c r="K21" s="24" t="inlineStr"/>
      <c r="L21" s="24" t="inlineStr"/>
      <c r="M21" s="24" t="inlineStr"/>
      <c r="N21" s="24">
        <f>ROUND(F15*J21, 4)</f>
        <v/>
      </c>
      <c r="O21" s="1" t="inlineStr">
        <is>
          <t>Điện năng PTN</t>
        </is>
      </c>
    </row>
    <row r="22">
      <c r="A22" s="1" t="inlineStr"/>
      <c r="B22" s="1" t="inlineStr">
        <is>
          <t>VL_01</t>
        </is>
      </c>
      <c r="C22" s="1" t="inlineStr">
        <is>
          <t>VL</t>
        </is>
      </c>
      <c r="D22" s="1" t="inlineStr">
        <is>
          <t xml:space="preserve"> - Hóa chất phân tích tinh khiết, màng lọc, chuẩn</t>
        </is>
      </c>
      <c r="E22" s="1" t="inlineStr">
        <is>
          <t>bộ</t>
        </is>
      </c>
      <c r="F22" s="1" t="inlineStr"/>
      <c r="G22" s="24" t="n">
        <v>0.04</v>
      </c>
      <c r="H22" s="24" t="inlineStr"/>
      <c r="I22" s="24" t="inlineStr"/>
      <c r="J22" s="24" t="inlineStr"/>
      <c r="K22" s="24">
        <f>ROUND(F15*G22, 4)</f>
        <v/>
      </c>
      <c r="L22" s="24" t="inlineStr"/>
      <c r="M22" s="24" t="inlineStr"/>
      <c r="N22" s="24" t="inlineStr"/>
      <c r="O22" s="1" t="inlineStr">
        <is>
          <t>Khoản 4.4 TT20</t>
        </is>
      </c>
    </row>
    <row r="23">
      <c r="A23" s="1" t="inlineStr"/>
      <c r="B23" s="1" t="inlineStr">
        <is>
          <t>VL_KHAC</t>
        </is>
      </c>
      <c r="C23" s="1" t="inlineStr">
        <is>
          <t>VL_PHỤ</t>
        </is>
      </c>
      <c r="D23" s="1" t="inlineStr">
        <is>
          <t xml:space="preserve"> - Vật liệu phụ khác (8% vật liệu chính)</t>
        </is>
      </c>
      <c r="E23" s="1" t="inlineStr">
        <is>
          <t>%</t>
        </is>
      </c>
      <c r="F23" s="1" t="inlineStr"/>
      <c r="G23" s="24" t="n">
        <v>0.08</v>
      </c>
      <c r="H23" s="24" t="inlineStr"/>
      <c r="I23" s="24" t="inlineStr"/>
      <c r="J23" s="24" t="inlineStr"/>
      <c r="K23" s="24">
        <f>ROUND(K22*G23, 4)</f>
        <v/>
      </c>
      <c r="L23" s="24" t="inlineStr"/>
      <c r="M23" s="24" t="inlineStr"/>
      <c r="N23" s="24" t="inlineStr"/>
      <c r="O23" s="1" t="inlineStr">
        <is>
          <t>8% Khoản 4.4 TT20</t>
        </is>
      </c>
    </row>
    <row r="24">
      <c r="A24" s="21">
        <f>'Công trình'!A9</f>
        <v/>
      </c>
      <c r="B24" s="21">
        <f>'Công trình'!C9</f>
        <v/>
      </c>
      <c r="C24" s="21" t="inlineStr"/>
      <c r="D24" s="22">
        <f>'Công trình'!D9</f>
        <v/>
      </c>
      <c r="E24" s="21">
        <f>'Công trình'!E9</f>
        <v/>
      </c>
      <c r="F24" s="21">
        <f>'Công trình'!L9</f>
        <v/>
      </c>
      <c r="G24" s="23" t="inlineStr"/>
      <c r="H24" s="23" t="inlineStr"/>
      <c r="I24" s="23" t="inlineStr"/>
      <c r="J24" s="23" t="inlineStr"/>
      <c r="K24" s="23" t="inlineStr"/>
      <c r="L24" s="23" t="inlineStr"/>
      <c r="M24" s="23" t="inlineStr"/>
      <c r="N24" s="23" t="inlineStr"/>
      <c r="O24" s="21" t="inlineStr">
        <is>
          <t>PAKT &amp; Định mức TT20</t>
        </is>
      </c>
    </row>
    <row r="25">
      <c r="A25" s="1" t="inlineStr"/>
      <c r="B25" s="1" t="inlineStr">
        <is>
          <t>NC_LDKT</t>
        </is>
      </c>
      <c r="C25" s="1" t="inlineStr">
        <is>
          <t>LĐKT</t>
        </is>
      </c>
      <c r="D25" s="1" t="inlineStr">
        <is>
          <t xml:space="preserve"> - Kỹ sư / Kiểm định viên / Quan trắc viên</t>
        </is>
      </c>
      <c r="E25" s="1" t="inlineStr">
        <is>
          <t>công</t>
        </is>
      </c>
      <c r="F25" s="1" t="inlineStr"/>
      <c r="G25" s="24" t="inlineStr"/>
      <c r="H25" s="24" t="n">
        <v>0.176</v>
      </c>
      <c r="I25" s="24" t="inlineStr"/>
      <c r="J25" s="24" t="inlineStr"/>
      <c r="K25" s="24" t="inlineStr"/>
      <c r="L25" s="24">
        <f>ROUND(F24*H25, 4)</f>
        <v/>
      </c>
      <c r="M25" s="24" t="inlineStr"/>
      <c r="N25" s="24" t="inlineStr"/>
      <c r="O25" s="1" t="inlineStr">
        <is>
          <t>TTLT 56/2015</t>
        </is>
      </c>
    </row>
    <row r="26">
      <c r="A26" s="1" t="inlineStr"/>
      <c r="B26" s="1" t="inlineStr">
        <is>
          <t>NC_LDPT</t>
        </is>
      </c>
      <c r="C26" s="1" t="inlineStr">
        <is>
          <t>LĐPT</t>
        </is>
      </c>
      <c r="D26" s="1" t="inlineStr">
        <is>
          <t xml:space="preserve"> - Lao động phổ thông phụ việc hiện trường</t>
        </is>
      </c>
      <c r="E26" s="1" t="inlineStr">
        <is>
          <t>công</t>
        </is>
      </c>
      <c r="F26" s="1" t="inlineStr"/>
      <c r="G26" s="24" t="inlineStr"/>
      <c r="H26" s="24" t="n">
        <v>0.044</v>
      </c>
      <c r="I26" s="24" t="inlineStr"/>
      <c r="J26" s="24" t="inlineStr"/>
      <c r="K26" s="24" t="inlineStr"/>
      <c r="L26" s="24">
        <f>ROUND(F24*H26, 4)</f>
        <v/>
      </c>
      <c r="M26" s="24" t="inlineStr"/>
      <c r="N26" s="24" t="inlineStr"/>
      <c r="O26" s="1" t="inlineStr">
        <is>
          <t>Hỗ trợ ngoại nghiệp</t>
        </is>
      </c>
    </row>
    <row r="27">
      <c r="A27" s="1" t="inlineStr"/>
      <c r="B27" s="1" t="inlineStr">
        <is>
          <t>CCDC_01</t>
        </is>
      </c>
      <c r="C27" s="1" t="inlineStr">
        <is>
          <t>CCDC</t>
        </is>
      </c>
      <c r="D27" s="1" t="inlineStr">
        <is>
          <t xml:space="preserve"> - Ca dụng cụ, thiết bị nhỏ đo đạc/lấy mẫu</t>
        </is>
      </c>
      <c r="E27" s="1" t="inlineStr">
        <is>
          <t>ca</t>
        </is>
      </c>
      <c r="F27" s="1" t="inlineStr"/>
      <c r="G27" s="24" t="inlineStr"/>
      <c r="H27" s="24" t="inlineStr"/>
      <c r="I27" s="24" t="n">
        <v>0.1</v>
      </c>
      <c r="J27" s="24" t="inlineStr"/>
      <c r="K27" s="24" t="inlineStr"/>
      <c r="L27" s="24" t="inlineStr"/>
      <c r="M27" s="24">
        <f>ROUND(F24*I27, 4)</f>
        <v/>
      </c>
      <c r="N27" s="24" t="inlineStr"/>
      <c r="O27" s="1" t="inlineStr">
        <is>
          <t>Khoản 4.2 TT20</t>
        </is>
      </c>
    </row>
    <row r="28">
      <c r="A28" s="1" t="inlineStr"/>
      <c r="B28" s="1" t="inlineStr">
        <is>
          <t>CCDC_PHU</t>
        </is>
      </c>
      <c r="C28" s="1" t="inlineStr">
        <is>
          <t>CCDC_PHỤ</t>
        </is>
      </c>
      <c r="D28" s="1" t="inlineStr">
        <is>
          <t xml:space="preserve"> - Dụng cụ phụ khác (10% CCDC chính)</t>
        </is>
      </c>
      <c r="E28" s="1" t="inlineStr">
        <is>
          <t>%</t>
        </is>
      </c>
      <c r="F28" s="1" t="inlineStr"/>
      <c r="G28" s="24" t="inlineStr"/>
      <c r="H28" s="24" t="inlineStr"/>
      <c r="I28" s="24" t="n">
        <v>0.1</v>
      </c>
      <c r="J28" s="24" t="inlineStr"/>
      <c r="K28" s="24" t="inlineStr"/>
      <c r="L28" s="24" t="inlineStr"/>
      <c r="M28" s="24">
        <f>ROUND(M27*I28, 4)</f>
        <v/>
      </c>
      <c r="N28" s="24" t="inlineStr"/>
      <c r="O28" s="1" t="inlineStr">
        <is>
          <t>10% Khoản 4.2 TT20</t>
        </is>
      </c>
    </row>
    <row r="29">
      <c r="A29" s="1" t="inlineStr"/>
      <c r="B29" s="1" t="inlineStr">
        <is>
          <t>M_KHTSCD</t>
        </is>
      </c>
      <c r="C29" s="1" t="inlineStr">
        <is>
          <t>MÁY</t>
        </is>
      </c>
      <c r="D29" s="1" t="inlineStr">
        <is>
          <t xml:space="preserve"> - Khấu hao thiết bị quan trắc chuyên dụng</t>
        </is>
      </c>
      <c r="E29" s="1" t="inlineStr">
        <is>
          <t>ca</t>
        </is>
      </c>
      <c r="F29" s="1" t="inlineStr"/>
      <c r="G29" s="24" t="inlineStr"/>
      <c r="H29" s="24" t="inlineStr"/>
      <c r="I29" s="24" t="inlineStr"/>
      <c r="J29" s="24" t="n">
        <v>0.08</v>
      </c>
      <c r="K29" s="24" t="inlineStr"/>
      <c r="L29" s="24" t="inlineStr"/>
      <c r="M29" s="24" t="inlineStr"/>
      <c r="N29" s="24">
        <f>ROUND(F24*J29, 4)</f>
        <v/>
      </c>
      <c r="O29" s="1" t="inlineStr">
        <is>
          <t>TT 45/2013</t>
        </is>
      </c>
    </row>
    <row r="30">
      <c r="A30" s="1" t="inlineStr"/>
      <c r="B30" s="1" t="inlineStr">
        <is>
          <t>M_NANGLUONG</t>
        </is>
      </c>
      <c r="C30" s="1" t="inlineStr">
        <is>
          <t>ĐIỆN</t>
        </is>
      </c>
      <c r="D30" s="1" t="inlineStr">
        <is>
          <t xml:space="preserve"> - Năng lượng điện vận hành thiết bị PTN</t>
        </is>
      </c>
      <c r="E30" s="1" t="inlineStr">
        <is>
          <t>kWh</t>
        </is>
      </c>
      <c r="F30" s="1" t="inlineStr"/>
      <c r="G30" s="24" t="inlineStr"/>
      <c r="H30" s="24" t="inlineStr"/>
      <c r="I30" s="24" t="inlineStr"/>
      <c r="J30" s="24" t="n">
        <v>0.5</v>
      </c>
      <c r="K30" s="24" t="inlineStr"/>
      <c r="L30" s="24" t="inlineStr"/>
      <c r="M30" s="24" t="inlineStr"/>
      <c r="N30" s="24">
        <f>ROUND(F24*J30, 4)</f>
        <v/>
      </c>
      <c r="O30" s="1" t="inlineStr">
        <is>
          <t>Điện năng PTN</t>
        </is>
      </c>
    </row>
    <row r="31">
      <c r="A31" s="1" t="inlineStr"/>
      <c r="B31" s="1" t="inlineStr">
        <is>
          <t>VL_01</t>
        </is>
      </c>
      <c r="C31" s="1" t="inlineStr">
        <is>
          <t>VL</t>
        </is>
      </c>
      <c r="D31" s="1" t="inlineStr">
        <is>
          <t xml:space="preserve"> - Hóa chất phân tích tinh khiết, màng lọc, chuẩn</t>
        </is>
      </c>
      <c r="E31" s="1" t="inlineStr">
        <is>
          <t>bộ</t>
        </is>
      </c>
      <c r="F31" s="1" t="inlineStr"/>
      <c r="G31" s="24" t="n">
        <v>0.04</v>
      </c>
      <c r="H31" s="24" t="inlineStr"/>
      <c r="I31" s="24" t="inlineStr"/>
      <c r="J31" s="24" t="inlineStr"/>
      <c r="K31" s="24">
        <f>ROUND(F24*G31, 4)</f>
        <v/>
      </c>
      <c r="L31" s="24" t="inlineStr"/>
      <c r="M31" s="24" t="inlineStr"/>
      <c r="N31" s="24" t="inlineStr"/>
      <c r="O31" s="1" t="inlineStr">
        <is>
          <t>Khoản 4.4 TT20</t>
        </is>
      </c>
    </row>
    <row r="32">
      <c r="A32" s="1" t="inlineStr"/>
      <c r="B32" s="1" t="inlineStr">
        <is>
          <t>VL_KHAC</t>
        </is>
      </c>
      <c r="C32" s="1" t="inlineStr">
        <is>
          <t>VL_PHỤ</t>
        </is>
      </c>
      <c r="D32" s="1" t="inlineStr">
        <is>
          <t xml:space="preserve"> - Vật liệu phụ khác (8% vật liệu chính)</t>
        </is>
      </c>
      <c r="E32" s="1" t="inlineStr">
        <is>
          <t>%</t>
        </is>
      </c>
      <c r="F32" s="1" t="inlineStr"/>
      <c r="G32" s="24" t="n">
        <v>0.08</v>
      </c>
      <c r="H32" s="24" t="inlineStr"/>
      <c r="I32" s="24" t="inlineStr"/>
      <c r="J32" s="24" t="inlineStr"/>
      <c r="K32" s="24">
        <f>ROUND(K31*G32, 4)</f>
        <v/>
      </c>
      <c r="L32" s="24" t="inlineStr"/>
      <c r="M32" s="24" t="inlineStr"/>
      <c r="N32" s="24" t="inlineStr"/>
      <c r="O32" s="1" t="inlineStr">
        <is>
          <t>8% Khoản 4.4 TT20</t>
        </is>
      </c>
    </row>
    <row r="33">
      <c r="A33" s="21">
        <f>'Công trình'!A10</f>
        <v/>
      </c>
      <c r="B33" s="21">
        <f>'Công trình'!C10</f>
        <v/>
      </c>
      <c r="C33" s="21" t="inlineStr"/>
      <c r="D33" s="22">
        <f>'Công trình'!D10</f>
        <v/>
      </c>
      <c r="E33" s="21">
        <f>'Công trình'!E10</f>
        <v/>
      </c>
      <c r="F33" s="21">
        <f>'Công trình'!L10</f>
        <v/>
      </c>
      <c r="G33" s="23" t="inlineStr"/>
      <c r="H33" s="23" t="inlineStr"/>
      <c r="I33" s="23" t="inlineStr"/>
      <c r="J33" s="23" t="inlineStr"/>
      <c r="K33" s="23" t="inlineStr"/>
      <c r="L33" s="23" t="inlineStr"/>
      <c r="M33" s="23" t="inlineStr"/>
      <c r="N33" s="23" t="inlineStr"/>
      <c r="O33" s="21" t="inlineStr">
        <is>
          <t>PAKT &amp; Định mức TT20</t>
        </is>
      </c>
    </row>
    <row r="34">
      <c r="A34" s="1" t="inlineStr"/>
      <c r="B34" s="1" t="inlineStr">
        <is>
          <t>NC_LDKT</t>
        </is>
      </c>
      <c r="C34" s="1" t="inlineStr">
        <is>
          <t>LĐKT</t>
        </is>
      </c>
      <c r="D34" s="1" t="inlineStr">
        <is>
          <t xml:space="preserve"> - Kỹ sư / Kiểm định viên / Quan trắc viên</t>
        </is>
      </c>
      <c r="E34" s="1" t="inlineStr">
        <is>
          <t>công</t>
        </is>
      </c>
      <c r="F34" s="1" t="inlineStr"/>
      <c r="G34" s="24" t="inlineStr"/>
      <c r="H34" s="24" t="n">
        <v>0.176</v>
      </c>
      <c r="I34" s="24" t="inlineStr"/>
      <c r="J34" s="24" t="inlineStr"/>
      <c r="K34" s="24" t="inlineStr"/>
      <c r="L34" s="24">
        <f>ROUND(F33*H34, 4)</f>
        <v/>
      </c>
      <c r="M34" s="24" t="inlineStr"/>
      <c r="N34" s="24" t="inlineStr"/>
      <c r="O34" s="1" t="inlineStr">
        <is>
          <t>TTLT 56/2015</t>
        </is>
      </c>
    </row>
    <row r="35">
      <c r="A35" s="1" t="inlineStr"/>
      <c r="B35" s="1" t="inlineStr">
        <is>
          <t>NC_LDPT</t>
        </is>
      </c>
      <c r="C35" s="1" t="inlineStr">
        <is>
          <t>LĐPT</t>
        </is>
      </c>
      <c r="D35" s="1" t="inlineStr">
        <is>
          <t xml:space="preserve"> - Lao động phổ thông phụ việc hiện trường</t>
        </is>
      </c>
      <c r="E35" s="1" t="inlineStr">
        <is>
          <t>công</t>
        </is>
      </c>
      <c r="F35" s="1" t="inlineStr"/>
      <c r="G35" s="24" t="inlineStr"/>
      <c r="H35" s="24" t="n">
        <v>0.044</v>
      </c>
      <c r="I35" s="24" t="inlineStr"/>
      <c r="J35" s="24" t="inlineStr"/>
      <c r="K35" s="24" t="inlineStr"/>
      <c r="L35" s="24">
        <f>ROUND(F33*H35, 4)</f>
        <v/>
      </c>
      <c r="M35" s="24" t="inlineStr"/>
      <c r="N35" s="24" t="inlineStr"/>
      <c r="O35" s="1" t="inlineStr">
        <is>
          <t>Hỗ trợ ngoại nghiệp</t>
        </is>
      </c>
    </row>
    <row r="36">
      <c r="A36" s="1" t="inlineStr"/>
      <c r="B36" s="1" t="inlineStr">
        <is>
          <t>CCDC_01</t>
        </is>
      </c>
      <c r="C36" s="1" t="inlineStr">
        <is>
          <t>CCDC</t>
        </is>
      </c>
      <c r="D36" s="1" t="inlineStr">
        <is>
          <t xml:space="preserve"> - Ca dụng cụ, thiết bị nhỏ đo đạc/lấy mẫu</t>
        </is>
      </c>
      <c r="E36" s="1" t="inlineStr">
        <is>
          <t>ca</t>
        </is>
      </c>
      <c r="F36" s="1" t="inlineStr"/>
      <c r="G36" s="24" t="inlineStr"/>
      <c r="H36" s="24" t="inlineStr"/>
      <c r="I36" s="24" t="n">
        <v>0.1</v>
      </c>
      <c r="J36" s="24" t="inlineStr"/>
      <c r="K36" s="24" t="inlineStr"/>
      <c r="L36" s="24" t="inlineStr"/>
      <c r="M36" s="24">
        <f>ROUND(F33*I36, 4)</f>
        <v/>
      </c>
      <c r="N36" s="24" t="inlineStr"/>
      <c r="O36" s="1" t="inlineStr">
        <is>
          <t>Khoản 4.2 TT20</t>
        </is>
      </c>
    </row>
    <row r="37">
      <c r="A37" s="1" t="inlineStr"/>
      <c r="B37" s="1" t="inlineStr">
        <is>
          <t>CCDC_PHU</t>
        </is>
      </c>
      <c r="C37" s="1" t="inlineStr">
        <is>
          <t>CCDC_PHỤ</t>
        </is>
      </c>
      <c r="D37" s="1" t="inlineStr">
        <is>
          <t xml:space="preserve"> - Dụng cụ phụ khác (10% CCDC chính)</t>
        </is>
      </c>
      <c r="E37" s="1" t="inlineStr">
        <is>
          <t>%</t>
        </is>
      </c>
      <c r="F37" s="1" t="inlineStr"/>
      <c r="G37" s="24" t="inlineStr"/>
      <c r="H37" s="24" t="inlineStr"/>
      <c r="I37" s="24" t="n">
        <v>0.1</v>
      </c>
      <c r="J37" s="24" t="inlineStr"/>
      <c r="K37" s="24" t="inlineStr"/>
      <c r="L37" s="24" t="inlineStr"/>
      <c r="M37" s="24">
        <f>ROUND(M36*I37, 4)</f>
        <v/>
      </c>
      <c r="N37" s="24" t="inlineStr"/>
      <c r="O37" s="1" t="inlineStr">
        <is>
          <t>10% Khoản 4.2 TT20</t>
        </is>
      </c>
    </row>
    <row r="38">
      <c r="A38" s="1" t="inlineStr"/>
      <c r="B38" s="1" t="inlineStr">
        <is>
          <t>M_KHTSCD</t>
        </is>
      </c>
      <c r="C38" s="1" t="inlineStr">
        <is>
          <t>MÁY</t>
        </is>
      </c>
      <c r="D38" s="1" t="inlineStr">
        <is>
          <t xml:space="preserve"> - Khấu hao thiết bị quan trắc chuyên dụng</t>
        </is>
      </c>
      <c r="E38" s="1" t="inlineStr">
        <is>
          <t>ca</t>
        </is>
      </c>
      <c r="F38" s="1" t="inlineStr"/>
      <c r="G38" s="24" t="inlineStr"/>
      <c r="H38" s="24" t="inlineStr"/>
      <c r="I38" s="24" t="inlineStr"/>
      <c r="J38" s="24" t="n">
        <v>0.08</v>
      </c>
      <c r="K38" s="24" t="inlineStr"/>
      <c r="L38" s="24" t="inlineStr"/>
      <c r="M38" s="24" t="inlineStr"/>
      <c r="N38" s="24">
        <f>ROUND(F33*J38, 4)</f>
        <v/>
      </c>
      <c r="O38" s="1" t="inlineStr">
        <is>
          <t>TT 45/2013</t>
        </is>
      </c>
    </row>
    <row r="39">
      <c r="A39" s="1" t="inlineStr"/>
      <c r="B39" s="1" t="inlineStr">
        <is>
          <t>M_NANGLUONG</t>
        </is>
      </c>
      <c r="C39" s="1" t="inlineStr">
        <is>
          <t>ĐIỆN</t>
        </is>
      </c>
      <c r="D39" s="1" t="inlineStr">
        <is>
          <t xml:space="preserve"> - Năng lượng điện vận hành thiết bị PTN</t>
        </is>
      </c>
      <c r="E39" s="1" t="inlineStr">
        <is>
          <t>kWh</t>
        </is>
      </c>
      <c r="F39" s="1" t="inlineStr"/>
      <c r="G39" s="24" t="inlineStr"/>
      <c r="H39" s="24" t="inlineStr"/>
      <c r="I39" s="24" t="inlineStr"/>
      <c r="J39" s="24" t="n">
        <v>0.5</v>
      </c>
      <c r="K39" s="24" t="inlineStr"/>
      <c r="L39" s="24" t="inlineStr"/>
      <c r="M39" s="24" t="inlineStr"/>
      <c r="N39" s="24">
        <f>ROUND(F33*J39, 4)</f>
        <v/>
      </c>
      <c r="O39" s="1" t="inlineStr">
        <is>
          <t>Điện năng PTN</t>
        </is>
      </c>
    </row>
    <row r="40">
      <c r="A40" s="1" t="inlineStr"/>
      <c r="B40" s="1" t="inlineStr">
        <is>
          <t>VL_01</t>
        </is>
      </c>
      <c r="C40" s="1" t="inlineStr">
        <is>
          <t>VL</t>
        </is>
      </c>
      <c r="D40" s="1" t="inlineStr">
        <is>
          <t xml:space="preserve"> - Hóa chất phân tích tinh khiết, màng lọc, chuẩn</t>
        </is>
      </c>
      <c r="E40" s="1" t="inlineStr">
        <is>
          <t>bộ</t>
        </is>
      </c>
      <c r="F40" s="1" t="inlineStr"/>
      <c r="G40" s="24" t="n">
        <v>0.04</v>
      </c>
      <c r="H40" s="24" t="inlineStr"/>
      <c r="I40" s="24" t="inlineStr"/>
      <c r="J40" s="24" t="inlineStr"/>
      <c r="K40" s="24">
        <f>ROUND(F33*G40, 4)</f>
        <v/>
      </c>
      <c r="L40" s="24" t="inlineStr"/>
      <c r="M40" s="24" t="inlineStr"/>
      <c r="N40" s="24" t="inlineStr"/>
      <c r="O40" s="1" t="inlineStr">
        <is>
          <t>Khoản 4.4 TT20</t>
        </is>
      </c>
    </row>
    <row r="41">
      <c r="A41" s="1" t="inlineStr"/>
      <c r="B41" s="1" t="inlineStr">
        <is>
          <t>VL_KHAC</t>
        </is>
      </c>
      <c r="C41" s="1" t="inlineStr">
        <is>
          <t>VL_PHỤ</t>
        </is>
      </c>
      <c r="D41" s="1" t="inlineStr">
        <is>
          <t xml:space="preserve"> - Vật liệu phụ khác (8% vật liệu chính)</t>
        </is>
      </c>
      <c r="E41" s="1" t="inlineStr">
        <is>
          <t>%</t>
        </is>
      </c>
      <c r="F41" s="1" t="inlineStr"/>
      <c r="G41" s="24" t="n">
        <v>0.08</v>
      </c>
      <c r="H41" s="24" t="inlineStr"/>
      <c r="I41" s="24" t="inlineStr"/>
      <c r="J41" s="24" t="inlineStr"/>
      <c r="K41" s="24">
        <f>ROUND(K40*G41, 4)</f>
        <v/>
      </c>
      <c r="L41" s="24" t="inlineStr"/>
      <c r="M41" s="24" t="inlineStr"/>
      <c r="N41" s="24" t="inlineStr"/>
      <c r="O41" s="1" t="inlineStr">
        <is>
          <t>8% Khoản 4.4 TT20</t>
        </is>
      </c>
    </row>
    <row r="42">
      <c r="A42" s="21">
        <f>'Công trình'!A11</f>
        <v/>
      </c>
      <c r="B42" s="21">
        <f>'Công trình'!C11</f>
        <v/>
      </c>
      <c r="C42" s="21" t="inlineStr"/>
      <c r="D42" s="22">
        <f>'Công trình'!D11</f>
        <v/>
      </c>
      <c r="E42" s="21">
        <f>'Công trình'!E11</f>
        <v/>
      </c>
      <c r="F42" s="21">
        <f>'Công trình'!L11</f>
        <v/>
      </c>
      <c r="G42" s="23" t="inlineStr"/>
      <c r="H42" s="23" t="inlineStr"/>
      <c r="I42" s="23" t="inlineStr"/>
      <c r="J42" s="23" t="inlineStr"/>
      <c r="K42" s="23" t="inlineStr"/>
      <c r="L42" s="23" t="inlineStr"/>
      <c r="M42" s="23" t="inlineStr"/>
      <c r="N42" s="23" t="inlineStr"/>
      <c r="O42" s="21" t="inlineStr">
        <is>
          <t>PAKT &amp; Định mức TT20</t>
        </is>
      </c>
    </row>
    <row r="43">
      <c r="A43" s="1" t="inlineStr"/>
      <c r="B43" s="1" t="inlineStr">
        <is>
          <t>NC_LDKT</t>
        </is>
      </c>
      <c r="C43" s="1" t="inlineStr">
        <is>
          <t>LĐKT</t>
        </is>
      </c>
      <c r="D43" s="1" t="inlineStr">
        <is>
          <t xml:space="preserve"> - Kỹ sư / Kiểm định viên / Quan trắc viên</t>
        </is>
      </c>
      <c r="E43" s="1" t="inlineStr">
        <is>
          <t>công</t>
        </is>
      </c>
      <c r="F43" s="1" t="inlineStr"/>
      <c r="G43" s="24" t="inlineStr"/>
      <c r="H43" s="24" t="n">
        <v>0.176</v>
      </c>
      <c r="I43" s="24" t="inlineStr"/>
      <c r="J43" s="24" t="inlineStr"/>
      <c r="K43" s="24" t="inlineStr"/>
      <c r="L43" s="24">
        <f>ROUND(F42*H43, 4)</f>
        <v/>
      </c>
      <c r="M43" s="24" t="inlineStr"/>
      <c r="N43" s="24" t="inlineStr"/>
      <c r="O43" s="1" t="inlineStr">
        <is>
          <t>TTLT 56/2015</t>
        </is>
      </c>
    </row>
    <row r="44">
      <c r="A44" s="1" t="inlineStr"/>
      <c r="B44" s="1" t="inlineStr">
        <is>
          <t>NC_LDPT</t>
        </is>
      </c>
      <c r="C44" s="1" t="inlineStr">
        <is>
          <t>LĐPT</t>
        </is>
      </c>
      <c r="D44" s="1" t="inlineStr">
        <is>
          <t xml:space="preserve"> - Lao động phổ thông phụ việc hiện trường</t>
        </is>
      </c>
      <c r="E44" s="1" t="inlineStr">
        <is>
          <t>công</t>
        </is>
      </c>
      <c r="F44" s="1" t="inlineStr"/>
      <c r="G44" s="24" t="inlineStr"/>
      <c r="H44" s="24" t="n">
        <v>0.044</v>
      </c>
      <c r="I44" s="24" t="inlineStr"/>
      <c r="J44" s="24" t="inlineStr"/>
      <c r="K44" s="24" t="inlineStr"/>
      <c r="L44" s="24">
        <f>ROUND(F42*H44, 4)</f>
        <v/>
      </c>
      <c r="M44" s="24" t="inlineStr"/>
      <c r="N44" s="24" t="inlineStr"/>
      <c r="O44" s="1" t="inlineStr">
        <is>
          <t>Hỗ trợ ngoại nghiệp</t>
        </is>
      </c>
    </row>
    <row r="45">
      <c r="A45" s="1" t="inlineStr"/>
      <c r="B45" s="1" t="inlineStr">
        <is>
          <t>CCDC_01</t>
        </is>
      </c>
      <c r="C45" s="1" t="inlineStr">
        <is>
          <t>CCDC</t>
        </is>
      </c>
      <c r="D45" s="1" t="inlineStr">
        <is>
          <t xml:space="preserve"> - Ca dụng cụ, thiết bị nhỏ đo đạc/lấy mẫu</t>
        </is>
      </c>
      <c r="E45" s="1" t="inlineStr">
        <is>
          <t>ca</t>
        </is>
      </c>
      <c r="F45" s="1" t="inlineStr"/>
      <c r="G45" s="24" t="inlineStr"/>
      <c r="H45" s="24" t="inlineStr"/>
      <c r="I45" s="24" t="n">
        <v>0.1</v>
      </c>
      <c r="J45" s="24" t="inlineStr"/>
      <c r="K45" s="24" t="inlineStr"/>
      <c r="L45" s="24" t="inlineStr"/>
      <c r="M45" s="24">
        <f>ROUND(F42*I45, 4)</f>
        <v/>
      </c>
      <c r="N45" s="24" t="inlineStr"/>
      <c r="O45" s="1" t="inlineStr">
        <is>
          <t>Khoản 4.2 TT20</t>
        </is>
      </c>
    </row>
    <row r="46">
      <c r="A46" s="1" t="inlineStr"/>
      <c r="B46" s="1" t="inlineStr">
        <is>
          <t>CCDC_PHU</t>
        </is>
      </c>
      <c r="C46" s="1" t="inlineStr">
        <is>
          <t>CCDC_PHỤ</t>
        </is>
      </c>
      <c r="D46" s="1" t="inlineStr">
        <is>
          <t xml:space="preserve"> - Dụng cụ phụ khác (10% CCDC chính)</t>
        </is>
      </c>
      <c r="E46" s="1" t="inlineStr">
        <is>
          <t>%</t>
        </is>
      </c>
      <c r="F46" s="1" t="inlineStr"/>
      <c r="G46" s="24" t="inlineStr"/>
      <c r="H46" s="24" t="inlineStr"/>
      <c r="I46" s="24" t="n">
        <v>0.1</v>
      </c>
      <c r="J46" s="24" t="inlineStr"/>
      <c r="K46" s="24" t="inlineStr"/>
      <c r="L46" s="24" t="inlineStr"/>
      <c r="M46" s="24">
        <f>ROUND(M45*I46, 4)</f>
        <v/>
      </c>
      <c r="N46" s="24" t="inlineStr"/>
      <c r="O46" s="1" t="inlineStr">
        <is>
          <t>10% Khoản 4.2 TT20</t>
        </is>
      </c>
    </row>
    <row r="47">
      <c r="A47" s="1" t="inlineStr"/>
      <c r="B47" s="1" t="inlineStr">
        <is>
          <t>M_KHTSCD</t>
        </is>
      </c>
      <c r="C47" s="1" t="inlineStr">
        <is>
          <t>MÁY</t>
        </is>
      </c>
      <c r="D47" s="1" t="inlineStr">
        <is>
          <t xml:space="preserve"> - Khấu hao thiết bị quan trắc chuyên dụng</t>
        </is>
      </c>
      <c r="E47" s="1" t="inlineStr">
        <is>
          <t>ca</t>
        </is>
      </c>
      <c r="F47" s="1" t="inlineStr"/>
      <c r="G47" s="24" t="inlineStr"/>
      <c r="H47" s="24" t="inlineStr"/>
      <c r="I47" s="24" t="inlineStr"/>
      <c r="J47" s="24" t="n">
        <v>0.08</v>
      </c>
      <c r="K47" s="24" t="inlineStr"/>
      <c r="L47" s="24" t="inlineStr"/>
      <c r="M47" s="24" t="inlineStr"/>
      <c r="N47" s="24">
        <f>ROUND(F42*J47, 4)</f>
        <v/>
      </c>
      <c r="O47" s="1" t="inlineStr">
        <is>
          <t>TT 45/2013</t>
        </is>
      </c>
    </row>
    <row r="48">
      <c r="A48" s="1" t="inlineStr"/>
      <c r="B48" s="1" t="inlineStr">
        <is>
          <t>M_NANGLUONG</t>
        </is>
      </c>
      <c r="C48" s="1" t="inlineStr">
        <is>
          <t>ĐIỆN</t>
        </is>
      </c>
      <c r="D48" s="1" t="inlineStr">
        <is>
          <t xml:space="preserve"> - Năng lượng điện vận hành thiết bị PTN</t>
        </is>
      </c>
      <c r="E48" s="1" t="inlineStr">
        <is>
          <t>kWh</t>
        </is>
      </c>
      <c r="F48" s="1" t="inlineStr"/>
      <c r="G48" s="24" t="inlineStr"/>
      <c r="H48" s="24" t="inlineStr"/>
      <c r="I48" s="24" t="inlineStr"/>
      <c r="J48" s="24" t="n">
        <v>0.5</v>
      </c>
      <c r="K48" s="24" t="inlineStr"/>
      <c r="L48" s="24" t="inlineStr"/>
      <c r="M48" s="24" t="inlineStr"/>
      <c r="N48" s="24">
        <f>ROUND(F42*J48, 4)</f>
        <v/>
      </c>
      <c r="O48" s="1" t="inlineStr">
        <is>
          <t>Điện năng PTN</t>
        </is>
      </c>
    </row>
    <row r="49">
      <c r="A49" s="1" t="inlineStr"/>
      <c r="B49" s="1" t="inlineStr">
        <is>
          <t>VL_01</t>
        </is>
      </c>
      <c r="C49" s="1" t="inlineStr">
        <is>
          <t>VL</t>
        </is>
      </c>
      <c r="D49" s="1" t="inlineStr">
        <is>
          <t xml:space="preserve"> - Hóa chất phân tích tinh khiết, màng lọc, chuẩn</t>
        </is>
      </c>
      <c r="E49" s="1" t="inlineStr">
        <is>
          <t>bộ</t>
        </is>
      </c>
      <c r="F49" s="1" t="inlineStr"/>
      <c r="G49" s="24" t="n">
        <v>0.04</v>
      </c>
      <c r="H49" s="24" t="inlineStr"/>
      <c r="I49" s="24" t="inlineStr"/>
      <c r="J49" s="24" t="inlineStr"/>
      <c r="K49" s="24">
        <f>ROUND(F42*G49, 4)</f>
        <v/>
      </c>
      <c r="L49" s="24" t="inlineStr"/>
      <c r="M49" s="24" t="inlineStr"/>
      <c r="N49" s="24" t="inlineStr"/>
      <c r="O49" s="1" t="inlineStr">
        <is>
          <t>Khoản 4.4 TT20</t>
        </is>
      </c>
    </row>
    <row r="50">
      <c r="A50" s="1" t="inlineStr"/>
      <c r="B50" s="1" t="inlineStr">
        <is>
          <t>VL_KHAC</t>
        </is>
      </c>
      <c r="C50" s="1" t="inlineStr">
        <is>
          <t>VL_PHỤ</t>
        </is>
      </c>
      <c r="D50" s="1" t="inlineStr">
        <is>
          <t xml:space="preserve"> - Vật liệu phụ khác (8% vật liệu chính)</t>
        </is>
      </c>
      <c r="E50" s="1" t="inlineStr">
        <is>
          <t>%</t>
        </is>
      </c>
      <c r="F50" s="1" t="inlineStr"/>
      <c r="G50" s="24" t="n">
        <v>0.08</v>
      </c>
      <c r="H50" s="24" t="inlineStr"/>
      <c r="I50" s="24" t="inlineStr"/>
      <c r="J50" s="24" t="inlineStr"/>
      <c r="K50" s="24">
        <f>ROUND(K49*G50, 4)</f>
        <v/>
      </c>
      <c r="L50" s="24" t="inlineStr"/>
      <c r="M50" s="24" t="inlineStr"/>
      <c r="N50" s="24" t="inlineStr"/>
      <c r="O50" s="1" t="inlineStr">
        <is>
          <t>8% Khoản 4.4 TT20</t>
        </is>
      </c>
    </row>
    <row r="51">
      <c r="A51" s="21">
        <f>'Công trình'!A12</f>
        <v/>
      </c>
      <c r="B51" s="21">
        <f>'Công trình'!C12</f>
        <v/>
      </c>
      <c r="C51" s="21" t="inlineStr"/>
      <c r="D51" s="22">
        <f>'Công trình'!D12</f>
        <v/>
      </c>
      <c r="E51" s="21">
        <f>'Công trình'!E12</f>
        <v/>
      </c>
      <c r="F51" s="21">
        <f>'Công trình'!L12</f>
        <v/>
      </c>
      <c r="G51" s="23" t="inlineStr"/>
      <c r="H51" s="23" t="inlineStr"/>
      <c r="I51" s="23" t="inlineStr"/>
      <c r="J51" s="23" t="inlineStr"/>
      <c r="K51" s="23" t="inlineStr"/>
      <c r="L51" s="23" t="inlineStr"/>
      <c r="M51" s="23" t="inlineStr"/>
      <c r="N51" s="23" t="inlineStr"/>
      <c r="O51" s="21" t="inlineStr">
        <is>
          <t>PAKT &amp; Định mức TT20</t>
        </is>
      </c>
    </row>
    <row r="52">
      <c r="A52" s="1" t="inlineStr"/>
      <c r="B52" s="1" t="inlineStr">
        <is>
          <t>NC_LDKT</t>
        </is>
      </c>
      <c r="C52" s="1" t="inlineStr">
        <is>
          <t>LĐKT</t>
        </is>
      </c>
      <c r="D52" s="1" t="inlineStr">
        <is>
          <t xml:space="preserve"> - Kỹ sư / Kiểm định viên / Quan trắc viên</t>
        </is>
      </c>
      <c r="E52" s="1" t="inlineStr">
        <is>
          <t>công</t>
        </is>
      </c>
      <c r="F52" s="1" t="inlineStr"/>
      <c r="G52" s="24" t="inlineStr"/>
      <c r="H52" s="24" t="n">
        <v>0.176</v>
      </c>
      <c r="I52" s="24" t="inlineStr"/>
      <c r="J52" s="24" t="inlineStr"/>
      <c r="K52" s="24" t="inlineStr"/>
      <c r="L52" s="24">
        <f>ROUND(F51*H52, 4)</f>
        <v/>
      </c>
      <c r="M52" s="24" t="inlineStr"/>
      <c r="N52" s="24" t="inlineStr"/>
      <c r="O52" s="1" t="inlineStr">
        <is>
          <t>TTLT 56/2015</t>
        </is>
      </c>
    </row>
    <row r="53">
      <c r="A53" s="1" t="inlineStr"/>
      <c r="B53" s="1" t="inlineStr">
        <is>
          <t>NC_LDPT</t>
        </is>
      </c>
      <c r="C53" s="1" t="inlineStr">
        <is>
          <t>LĐPT</t>
        </is>
      </c>
      <c r="D53" s="1" t="inlineStr">
        <is>
          <t xml:space="preserve"> - Lao động phổ thông phụ việc hiện trường</t>
        </is>
      </c>
      <c r="E53" s="1" t="inlineStr">
        <is>
          <t>công</t>
        </is>
      </c>
      <c r="F53" s="1" t="inlineStr"/>
      <c r="G53" s="24" t="inlineStr"/>
      <c r="H53" s="24" t="n">
        <v>0.044</v>
      </c>
      <c r="I53" s="24" t="inlineStr"/>
      <c r="J53" s="24" t="inlineStr"/>
      <c r="K53" s="24" t="inlineStr"/>
      <c r="L53" s="24">
        <f>ROUND(F51*H53, 4)</f>
        <v/>
      </c>
      <c r="M53" s="24" t="inlineStr"/>
      <c r="N53" s="24" t="inlineStr"/>
      <c r="O53" s="1" t="inlineStr">
        <is>
          <t>Hỗ trợ ngoại nghiệp</t>
        </is>
      </c>
    </row>
    <row r="54">
      <c r="A54" s="1" t="inlineStr"/>
      <c r="B54" s="1" t="inlineStr">
        <is>
          <t>CCDC_01</t>
        </is>
      </c>
      <c r="C54" s="1" t="inlineStr">
        <is>
          <t>CCDC</t>
        </is>
      </c>
      <c r="D54" s="1" t="inlineStr">
        <is>
          <t xml:space="preserve"> - Ca dụng cụ, thiết bị nhỏ đo đạc/lấy mẫu</t>
        </is>
      </c>
      <c r="E54" s="1" t="inlineStr">
        <is>
          <t>ca</t>
        </is>
      </c>
      <c r="F54" s="1" t="inlineStr"/>
      <c r="G54" s="24" t="inlineStr"/>
      <c r="H54" s="24" t="inlineStr"/>
      <c r="I54" s="24" t="n">
        <v>0.1</v>
      </c>
      <c r="J54" s="24" t="inlineStr"/>
      <c r="K54" s="24" t="inlineStr"/>
      <c r="L54" s="24" t="inlineStr"/>
      <c r="M54" s="24">
        <f>ROUND(F51*I54, 4)</f>
        <v/>
      </c>
      <c r="N54" s="24" t="inlineStr"/>
      <c r="O54" s="1" t="inlineStr">
        <is>
          <t>Khoản 4.2 TT20</t>
        </is>
      </c>
    </row>
    <row r="55">
      <c r="A55" s="1" t="inlineStr"/>
      <c r="B55" s="1" t="inlineStr">
        <is>
          <t>CCDC_PHU</t>
        </is>
      </c>
      <c r="C55" s="1" t="inlineStr">
        <is>
          <t>CCDC_PHỤ</t>
        </is>
      </c>
      <c r="D55" s="1" t="inlineStr">
        <is>
          <t xml:space="preserve"> - Dụng cụ phụ khác (10% CCDC chính)</t>
        </is>
      </c>
      <c r="E55" s="1" t="inlineStr">
        <is>
          <t>%</t>
        </is>
      </c>
      <c r="F55" s="1" t="inlineStr"/>
      <c r="G55" s="24" t="inlineStr"/>
      <c r="H55" s="24" t="inlineStr"/>
      <c r="I55" s="24" t="n">
        <v>0.1</v>
      </c>
      <c r="J55" s="24" t="inlineStr"/>
      <c r="K55" s="24" t="inlineStr"/>
      <c r="L55" s="24" t="inlineStr"/>
      <c r="M55" s="24">
        <f>ROUND(M54*I55, 4)</f>
        <v/>
      </c>
      <c r="N55" s="24" t="inlineStr"/>
      <c r="O55" s="1" t="inlineStr">
        <is>
          <t>10% Khoản 4.2 TT20</t>
        </is>
      </c>
    </row>
    <row r="56">
      <c r="A56" s="1" t="inlineStr"/>
      <c r="B56" s="1" t="inlineStr">
        <is>
          <t>M_KHTSCD</t>
        </is>
      </c>
      <c r="C56" s="1" t="inlineStr">
        <is>
          <t>MÁY</t>
        </is>
      </c>
      <c r="D56" s="1" t="inlineStr">
        <is>
          <t xml:space="preserve"> - Khấu hao thiết bị quan trắc chuyên dụng</t>
        </is>
      </c>
      <c r="E56" s="1" t="inlineStr">
        <is>
          <t>ca</t>
        </is>
      </c>
      <c r="F56" s="1" t="inlineStr"/>
      <c r="G56" s="24" t="inlineStr"/>
      <c r="H56" s="24" t="inlineStr"/>
      <c r="I56" s="24" t="inlineStr"/>
      <c r="J56" s="24" t="n">
        <v>0.08</v>
      </c>
      <c r="K56" s="24" t="inlineStr"/>
      <c r="L56" s="24" t="inlineStr"/>
      <c r="M56" s="24" t="inlineStr"/>
      <c r="N56" s="24">
        <f>ROUND(F51*J56, 4)</f>
        <v/>
      </c>
      <c r="O56" s="1" t="inlineStr">
        <is>
          <t>TT 45/2013</t>
        </is>
      </c>
    </row>
    <row r="57">
      <c r="A57" s="1" t="inlineStr"/>
      <c r="B57" s="1" t="inlineStr">
        <is>
          <t>M_NANGLUONG</t>
        </is>
      </c>
      <c r="C57" s="1" t="inlineStr">
        <is>
          <t>ĐIỆN</t>
        </is>
      </c>
      <c r="D57" s="1" t="inlineStr">
        <is>
          <t xml:space="preserve"> - Năng lượng điện vận hành thiết bị PTN</t>
        </is>
      </c>
      <c r="E57" s="1" t="inlineStr">
        <is>
          <t>kWh</t>
        </is>
      </c>
      <c r="F57" s="1" t="inlineStr"/>
      <c r="G57" s="24" t="inlineStr"/>
      <c r="H57" s="24" t="inlineStr"/>
      <c r="I57" s="24" t="inlineStr"/>
      <c r="J57" s="24" t="n">
        <v>0.5</v>
      </c>
      <c r="K57" s="24" t="inlineStr"/>
      <c r="L57" s="24" t="inlineStr"/>
      <c r="M57" s="24" t="inlineStr"/>
      <c r="N57" s="24">
        <f>ROUND(F51*J57, 4)</f>
        <v/>
      </c>
      <c r="O57" s="1" t="inlineStr">
        <is>
          <t>Điện năng PTN</t>
        </is>
      </c>
    </row>
    <row r="58">
      <c r="A58" s="1" t="inlineStr"/>
      <c r="B58" s="1" t="inlineStr">
        <is>
          <t>VL_01</t>
        </is>
      </c>
      <c r="C58" s="1" t="inlineStr">
        <is>
          <t>VL</t>
        </is>
      </c>
      <c r="D58" s="1" t="inlineStr">
        <is>
          <t xml:space="preserve"> - Hóa chất phân tích tinh khiết, màng lọc, chuẩn</t>
        </is>
      </c>
      <c r="E58" s="1" t="inlineStr">
        <is>
          <t>bộ</t>
        </is>
      </c>
      <c r="F58" s="1" t="inlineStr"/>
      <c r="G58" s="24" t="n">
        <v>0.04</v>
      </c>
      <c r="H58" s="24" t="inlineStr"/>
      <c r="I58" s="24" t="inlineStr"/>
      <c r="J58" s="24" t="inlineStr"/>
      <c r="K58" s="24">
        <f>ROUND(F51*G58, 4)</f>
        <v/>
      </c>
      <c r="L58" s="24" t="inlineStr"/>
      <c r="M58" s="24" t="inlineStr"/>
      <c r="N58" s="24" t="inlineStr"/>
      <c r="O58" s="1" t="inlineStr">
        <is>
          <t>Khoản 4.4 TT20</t>
        </is>
      </c>
    </row>
    <row r="59">
      <c r="A59" s="1" t="inlineStr"/>
      <c r="B59" s="1" t="inlineStr">
        <is>
          <t>VL_KHAC</t>
        </is>
      </c>
      <c r="C59" s="1" t="inlineStr">
        <is>
          <t>VL_PHỤ</t>
        </is>
      </c>
      <c r="D59" s="1" t="inlineStr">
        <is>
          <t xml:space="preserve"> - Vật liệu phụ khác (8% vật liệu chính)</t>
        </is>
      </c>
      <c r="E59" s="1" t="inlineStr">
        <is>
          <t>%</t>
        </is>
      </c>
      <c r="F59" s="1" t="inlineStr"/>
      <c r="G59" s="24" t="n">
        <v>0.08</v>
      </c>
      <c r="H59" s="24" t="inlineStr"/>
      <c r="I59" s="24" t="inlineStr"/>
      <c r="J59" s="24" t="inlineStr"/>
      <c r="K59" s="24">
        <f>ROUND(K58*G59, 4)</f>
        <v/>
      </c>
      <c r="L59" s="24" t="inlineStr"/>
      <c r="M59" s="24" t="inlineStr"/>
      <c r="N59" s="24" t="inlineStr"/>
      <c r="O59" s="1" t="inlineStr">
        <is>
          <t>8% Khoản 4.4 TT20</t>
        </is>
      </c>
    </row>
    <row r="60">
      <c r="A60" s="21">
        <f>'Công trình'!A13</f>
        <v/>
      </c>
      <c r="B60" s="21">
        <f>'Công trình'!C13</f>
        <v/>
      </c>
      <c r="C60" s="21" t="inlineStr"/>
      <c r="D60" s="22">
        <f>'Công trình'!D13</f>
        <v/>
      </c>
      <c r="E60" s="21">
        <f>'Công trình'!E13</f>
        <v/>
      </c>
      <c r="F60" s="21">
        <f>'Công trình'!L13</f>
        <v/>
      </c>
      <c r="G60" s="23" t="inlineStr"/>
      <c r="H60" s="23" t="inlineStr"/>
      <c r="I60" s="23" t="inlineStr"/>
      <c r="J60" s="23" t="inlineStr"/>
      <c r="K60" s="23" t="inlineStr"/>
      <c r="L60" s="23" t="inlineStr"/>
      <c r="M60" s="23" t="inlineStr"/>
      <c r="N60" s="23" t="inlineStr"/>
      <c r="O60" s="21" t="inlineStr">
        <is>
          <t>PAKT &amp; Định mức TT20</t>
        </is>
      </c>
    </row>
    <row r="61">
      <c r="A61" s="1" t="inlineStr"/>
      <c r="B61" s="1" t="inlineStr">
        <is>
          <t>NC_LDKT</t>
        </is>
      </c>
      <c r="C61" s="1" t="inlineStr">
        <is>
          <t>LĐKT</t>
        </is>
      </c>
      <c r="D61" s="1" t="inlineStr">
        <is>
          <t xml:space="preserve"> - Kỹ sư / Kiểm định viên / Quan trắc viên</t>
        </is>
      </c>
      <c r="E61" s="1" t="inlineStr">
        <is>
          <t>công</t>
        </is>
      </c>
      <c r="F61" s="1" t="inlineStr"/>
      <c r="G61" s="24" t="inlineStr"/>
      <c r="H61" s="24" t="n">
        <v>0.176</v>
      </c>
      <c r="I61" s="24" t="inlineStr"/>
      <c r="J61" s="24" t="inlineStr"/>
      <c r="K61" s="24" t="inlineStr"/>
      <c r="L61" s="24">
        <f>ROUND(F60*H61, 4)</f>
        <v/>
      </c>
      <c r="M61" s="24" t="inlineStr"/>
      <c r="N61" s="24" t="inlineStr"/>
      <c r="O61" s="1" t="inlineStr">
        <is>
          <t>TTLT 56/2015</t>
        </is>
      </c>
    </row>
    <row r="62">
      <c r="A62" s="1" t="inlineStr"/>
      <c r="B62" s="1" t="inlineStr">
        <is>
          <t>NC_LDPT</t>
        </is>
      </c>
      <c r="C62" s="1" t="inlineStr">
        <is>
          <t>LĐPT</t>
        </is>
      </c>
      <c r="D62" s="1" t="inlineStr">
        <is>
          <t xml:space="preserve"> - Lao động phổ thông phụ việc hiện trường</t>
        </is>
      </c>
      <c r="E62" s="1" t="inlineStr">
        <is>
          <t>công</t>
        </is>
      </c>
      <c r="F62" s="1" t="inlineStr"/>
      <c r="G62" s="24" t="inlineStr"/>
      <c r="H62" s="24" t="n">
        <v>0.044</v>
      </c>
      <c r="I62" s="24" t="inlineStr"/>
      <c r="J62" s="24" t="inlineStr"/>
      <c r="K62" s="24" t="inlineStr"/>
      <c r="L62" s="24">
        <f>ROUND(F60*H62, 4)</f>
        <v/>
      </c>
      <c r="M62" s="24" t="inlineStr"/>
      <c r="N62" s="24" t="inlineStr"/>
      <c r="O62" s="1" t="inlineStr">
        <is>
          <t>Hỗ trợ ngoại nghiệp</t>
        </is>
      </c>
    </row>
    <row r="63">
      <c r="A63" s="1" t="inlineStr"/>
      <c r="B63" s="1" t="inlineStr">
        <is>
          <t>CCDC_01</t>
        </is>
      </c>
      <c r="C63" s="1" t="inlineStr">
        <is>
          <t>CCDC</t>
        </is>
      </c>
      <c r="D63" s="1" t="inlineStr">
        <is>
          <t xml:space="preserve"> - Ca dụng cụ, thiết bị nhỏ đo đạc/lấy mẫu</t>
        </is>
      </c>
      <c r="E63" s="1" t="inlineStr">
        <is>
          <t>ca</t>
        </is>
      </c>
      <c r="F63" s="1" t="inlineStr"/>
      <c r="G63" s="24" t="inlineStr"/>
      <c r="H63" s="24" t="inlineStr"/>
      <c r="I63" s="24" t="n">
        <v>0.1</v>
      </c>
      <c r="J63" s="24" t="inlineStr"/>
      <c r="K63" s="24" t="inlineStr"/>
      <c r="L63" s="24" t="inlineStr"/>
      <c r="M63" s="24">
        <f>ROUND(F60*I63, 4)</f>
        <v/>
      </c>
      <c r="N63" s="24" t="inlineStr"/>
      <c r="O63" s="1" t="inlineStr">
        <is>
          <t>Khoản 4.2 TT20</t>
        </is>
      </c>
    </row>
    <row r="64">
      <c r="A64" s="1" t="inlineStr"/>
      <c r="B64" s="1" t="inlineStr">
        <is>
          <t>CCDC_PHU</t>
        </is>
      </c>
      <c r="C64" s="1" t="inlineStr">
        <is>
          <t>CCDC_PHỤ</t>
        </is>
      </c>
      <c r="D64" s="1" t="inlineStr">
        <is>
          <t xml:space="preserve"> - Dụng cụ phụ khác (10% CCDC chính)</t>
        </is>
      </c>
      <c r="E64" s="1" t="inlineStr">
        <is>
          <t>%</t>
        </is>
      </c>
      <c r="F64" s="1" t="inlineStr"/>
      <c r="G64" s="24" t="inlineStr"/>
      <c r="H64" s="24" t="inlineStr"/>
      <c r="I64" s="24" t="n">
        <v>0.1</v>
      </c>
      <c r="J64" s="24" t="inlineStr"/>
      <c r="K64" s="24" t="inlineStr"/>
      <c r="L64" s="24" t="inlineStr"/>
      <c r="M64" s="24">
        <f>ROUND(M63*I64, 4)</f>
        <v/>
      </c>
      <c r="N64" s="24" t="inlineStr"/>
      <c r="O64" s="1" t="inlineStr">
        <is>
          <t>10% Khoản 4.2 TT20</t>
        </is>
      </c>
    </row>
    <row r="65">
      <c r="A65" s="1" t="inlineStr"/>
      <c r="B65" s="1" t="inlineStr">
        <is>
          <t>M_KHTSCD</t>
        </is>
      </c>
      <c r="C65" s="1" t="inlineStr">
        <is>
          <t>MÁY</t>
        </is>
      </c>
      <c r="D65" s="1" t="inlineStr">
        <is>
          <t xml:space="preserve"> - Khấu hao thiết bị quan trắc chuyên dụng</t>
        </is>
      </c>
      <c r="E65" s="1" t="inlineStr">
        <is>
          <t>ca</t>
        </is>
      </c>
      <c r="F65" s="1" t="inlineStr"/>
      <c r="G65" s="24" t="inlineStr"/>
      <c r="H65" s="24" t="inlineStr"/>
      <c r="I65" s="24" t="inlineStr"/>
      <c r="J65" s="24" t="n">
        <v>0.08</v>
      </c>
      <c r="K65" s="24" t="inlineStr"/>
      <c r="L65" s="24" t="inlineStr"/>
      <c r="M65" s="24" t="inlineStr"/>
      <c r="N65" s="24">
        <f>ROUND(F60*J65, 4)</f>
        <v/>
      </c>
      <c r="O65" s="1" t="inlineStr">
        <is>
          <t>TT 45/2013</t>
        </is>
      </c>
    </row>
    <row r="66">
      <c r="A66" s="1" t="inlineStr"/>
      <c r="B66" s="1" t="inlineStr">
        <is>
          <t>M_NANGLUONG</t>
        </is>
      </c>
      <c r="C66" s="1" t="inlineStr">
        <is>
          <t>ĐIỆN</t>
        </is>
      </c>
      <c r="D66" s="1" t="inlineStr">
        <is>
          <t xml:space="preserve"> - Năng lượng điện vận hành thiết bị PTN</t>
        </is>
      </c>
      <c r="E66" s="1" t="inlineStr">
        <is>
          <t>kWh</t>
        </is>
      </c>
      <c r="F66" s="1" t="inlineStr"/>
      <c r="G66" s="24" t="inlineStr"/>
      <c r="H66" s="24" t="inlineStr"/>
      <c r="I66" s="24" t="inlineStr"/>
      <c r="J66" s="24" t="n">
        <v>0.5</v>
      </c>
      <c r="K66" s="24" t="inlineStr"/>
      <c r="L66" s="24" t="inlineStr"/>
      <c r="M66" s="24" t="inlineStr"/>
      <c r="N66" s="24">
        <f>ROUND(F60*J66, 4)</f>
        <v/>
      </c>
      <c r="O66" s="1" t="inlineStr">
        <is>
          <t>Điện năng PTN</t>
        </is>
      </c>
    </row>
    <row r="67">
      <c r="A67" s="1" t="inlineStr"/>
      <c r="B67" s="1" t="inlineStr">
        <is>
          <t>VL_01</t>
        </is>
      </c>
      <c r="C67" s="1" t="inlineStr">
        <is>
          <t>VL</t>
        </is>
      </c>
      <c r="D67" s="1" t="inlineStr">
        <is>
          <t xml:space="preserve"> - Hóa chất phân tích tinh khiết, màng lọc, chuẩn</t>
        </is>
      </c>
      <c r="E67" s="1" t="inlineStr">
        <is>
          <t>bộ</t>
        </is>
      </c>
      <c r="F67" s="1" t="inlineStr"/>
      <c r="G67" s="24" t="n">
        <v>0.04</v>
      </c>
      <c r="H67" s="24" t="inlineStr"/>
      <c r="I67" s="24" t="inlineStr"/>
      <c r="J67" s="24" t="inlineStr"/>
      <c r="K67" s="24">
        <f>ROUND(F60*G67, 4)</f>
        <v/>
      </c>
      <c r="L67" s="24" t="inlineStr"/>
      <c r="M67" s="24" t="inlineStr"/>
      <c r="N67" s="24" t="inlineStr"/>
      <c r="O67" s="1" t="inlineStr">
        <is>
          <t>Khoản 4.4 TT20</t>
        </is>
      </c>
    </row>
    <row r="68">
      <c r="A68" s="1" t="inlineStr"/>
      <c r="B68" s="1" t="inlineStr">
        <is>
          <t>VL_KHAC</t>
        </is>
      </c>
      <c r="C68" s="1" t="inlineStr">
        <is>
          <t>VL_PHỤ</t>
        </is>
      </c>
      <c r="D68" s="1" t="inlineStr">
        <is>
          <t xml:space="preserve"> - Vật liệu phụ khác (8% vật liệu chính)</t>
        </is>
      </c>
      <c r="E68" s="1" t="inlineStr">
        <is>
          <t>%</t>
        </is>
      </c>
      <c r="F68" s="1" t="inlineStr"/>
      <c r="G68" s="24" t="n">
        <v>0.08</v>
      </c>
      <c r="H68" s="24" t="inlineStr"/>
      <c r="I68" s="24" t="inlineStr"/>
      <c r="J68" s="24" t="inlineStr"/>
      <c r="K68" s="24">
        <f>ROUND(K67*G68, 4)</f>
        <v/>
      </c>
      <c r="L68" s="24" t="inlineStr"/>
      <c r="M68" s="24" t="inlineStr"/>
      <c r="N68" s="24" t="inlineStr"/>
      <c r="O68" s="1" t="inlineStr">
        <is>
          <t>8% Khoản 4.4 TT20</t>
        </is>
      </c>
    </row>
    <row r="69">
      <c r="A69" s="21">
        <f>'Công trình'!A14</f>
        <v/>
      </c>
      <c r="B69" s="21">
        <f>'Công trình'!C14</f>
        <v/>
      </c>
      <c r="C69" s="21" t="inlineStr"/>
      <c r="D69" s="22">
        <f>'Công trình'!D14</f>
        <v/>
      </c>
      <c r="E69" s="21">
        <f>'Công trình'!E14</f>
        <v/>
      </c>
      <c r="F69" s="21">
        <f>'Công trình'!L14</f>
        <v/>
      </c>
      <c r="G69" s="23" t="inlineStr"/>
      <c r="H69" s="23" t="inlineStr"/>
      <c r="I69" s="23" t="inlineStr"/>
      <c r="J69" s="23" t="inlineStr"/>
      <c r="K69" s="23" t="inlineStr"/>
      <c r="L69" s="23" t="inlineStr"/>
      <c r="M69" s="23" t="inlineStr"/>
      <c r="N69" s="23" t="inlineStr"/>
      <c r="O69" s="21" t="inlineStr">
        <is>
          <t>PAKT &amp; Định mức TT20</t>
        </is>
      </c>
    </row>
    <row r="70">
      <c r="A70" s="1" t="inlineStr"/>
      <c r="B70" s="1" t="inlineStr">
        <is>
          <t>NC_LDKT</t>
        </is>
      </c>
      <c r="C70" s="1" t="inlineStr">
        <is>
          <t>LĐKT</t>
        </is>
      </c>
      <c r="D70" s="1" t="inlineStr">
        <is>
          <t xml:space="preserve"> - Kỹ sư / Kiểm định viên / Quan trắc viên</t>
        </is>
      </c>
      <c r="E70" s="1" t="inlineStr">
        <is>
          <t>công</t>
        </is>
      </c>
      <c r="F70" s="1" t="inlineStr"/>
      <c r="G70" s="24" t="inlineStr"/>
      <c r="H70" s="24" t="n">
        <v>0.176</v>
      </c>
      <c r="I70" s="24" t="inlineStr"/>
      <c r="J70" s="24" t="inlineStr"/>
      <c r="K70" s="24" t="inlineStr"/>
      <c r="L70" s="24">
        <f>ROUND(F69*H70, 4)</f>
        <v/>
      </c>
      <c r="M70" s="24" t="inlineStr"/>
      <c r="N70" s="24" t="inlineStr"/>
      <c r="O70" s="1" t="inlineStr">
        <is>
          <t>TTLT 56/2015</t>
        </is>
      </c>
    </row>
    <row r="71">
      <c r="A71" s="1" t="inlineStr"/>
      <c r="B71" s="1" t="inlineStr">
        <is>
          <t>NC_LDPT</t>
        </is>
      </c>
      <c r="C71" s="1" t="inlineStr">
        <is>
          <t>LĐPT</t>
        </is>
      </c>
      <c r="D71" s="1" t="inlineStr">
        <is>
          <t xml:space="preserve"> - Lao động phổ thông phụ việc hiện trường</t>
        </is>
      </c>
      <c r="E71" s="1" t="inlineStr">
        <is>
          <t>công</t>
        </is>
      </c>
      <c r="F71" s="1" t="inlineStr"/>
      <c r="G71" s="24" t="inlineStr"/>
      <c r="H71" s="24" t="n">
        <v>0.044</v>
      </c>
      <c r="I71" s="24" t="inlineStr"/>
      <c r="J71" s="24" t="inlineStr"/>
      <c r="K71" s="24" t="inlineStr"/>
      <c r="L71" s="24">
        <f>ROUND(F69*H71, 4)</f>
        <v/>
      </c>
      <c r="M71" s="24" t="inlineStr"/>
      <c r="N71" s="24" t="inlineStr"/>
      <c r="O71" s="1" t="inlineStr">
        <is>
          <t>Hỗ trợ ngoại nghiệp</t>
        </is>
      </c>
    </row>
    <row r="72">
      <c r="A72" s="1" t="inlineStr"/>
      <c r="B72" s="1" t="inlineStr">
        <is>
          <t>CCDC_01</t>
        </is>
      </c>
      <c r="C72" s="1" t="inlineStr">
        <is>
          <t>CCDC</t>
        </is>
      </c>
      <c r="D72" s="1" t="inlineStr">
        <is>
          <t xml:space="preserve"> - Ca dụng cụ, thiết bị nhỏ đo đạc/lấy mẫu</t>
        </is>
      </c>
      <c r="E72" s="1" t="inlineStr">
        <is>
          <t>ca</t>
        </is>
      </c>
      <c r="F72" s="1" t="inlineStr"/>
      <c r="G72" s="24" t="inlineStr"/>
      <c r="H72" s="24" t="inlineStr"/>
      <c r="I72" s="24" t="n">
        <v>0.1</v>
      </c>
      <c r="J72" s="24" t="inlineStr"/>
      <c r="K72" s="24" t="inlineStr"/>
      <c r="L72" s="24" t="inlineStr"/>
      <c r="M72" s="24">
        <f>ROUND(F69*I72, 4)</f>
        <v/>
      </c>
      <c r="N72" s="24" t="inlineStr"/>
      <c r="O72" s="1" t="inlineStr">
        <is>
          <t>Khoản 4.2 TT20</t>
        </is>
      </c>
    </row>
    <row r="73">
      <c r="A73" s="1" t="inlineStr"/>
      <c r="B73" s="1" t="inlineStr">
        <is>
          <t>CCDC_PHU</t>
        </is>
      </c>
      <c r="C73" s="1" t="inlineStr">
        <is>
          <t>CCDC_PHỤ</t>
        </is>
      </c>
      <c r="D73" s="1" t="inlineStr">
        <is>
          <t xml:space="preserve"> - Dụng cụ phụ khác (10% CCDC chính)</t>
        </is>
      </c>
      <c r="E73" s="1" t="inlineStr">
        <is>
          <t>%</t>
        </is>
      </c>
      <c r="F73" s="1" t="inlineStr"/>
      <c r="G73" s="24" t="inlineStr"/>
      <c r="H73" s="24" t="inlineStr"/>
      <c r="I73" s="24" t="n">
        <v>0.1</v>
      </c>
      <c r="J73" s="24" t="inlineStr"/>
      <c r="K73" s="24" t="inlineStr"/>
      <c r="L73" s="24" t="inlineStr"/>
      <c r="M73" s="24">
        <f>ROUND(M72*I73, 4)</f>
        <v/>
      </c>
      <c r="N73" s="24" t="inlineStr"/>
      <c r="O73" s="1" t="inlineStr">
        <is>
          <t>10% Khoản 4.2 TT20</t>
        </is>
      </c>
    </row>
    <row r="74">
      <c r="A74" s="1" t="inlineStr"/>
      <c r="B74" s="1" t="inlineStr">
        <is>
          <t>M_KHTSCD</t>
        </is>
      </c>
      <c r="C74" s="1" t="inlineStr">
        <is>
          <t>MÁY</t>
        </is>
      </c>
      <c r="D74" s="1" t="inlineStr">
        <is>
          <t xml:space="preserve"> - Khấu hao thiết bị quan trắc chuyên dụng</t>
        </is>
      </c>
      <c r="E74" s="1" t="inlineStr">
        <is>
          <t>ca</t>
        </is>
      </c>
      <c r="F74" s="1" t="inlineStr"/>
      <c r="G74" s="24" t="inlineStr"/>
      <c r="H74" s="24" t="inlineStr"/>
      <c r="I74" s="24" t="inlineStr"/>
      <c r="J74" s="24" t="n">
        <v>0.08</v>
      </c>
      <c r="K74" s="24" t="inlineStr"/>
      <c r="L74" s="24" t="inlineStr"/>
      <c r="M74" s="24" t="inlineStr"/>
      <c r="N74" s="24">
        <f>ROUND(F69*J74, 4)</f>
        <v/>
      </c>
      <c r="O74" s="1" t="inlineStr">
        <is>
          <t>TT 45/2013</t>
        </is>
      </c>
    </row>
    <row r="75">
      <c r="A75" s="1" t="inlineStr"/>
      <c r="B75" s="1" t="inlineStr">
        <is>
          <t>M_NANGLUONG</t>
        </is>
      </c>
      <c r="C75" s="1" t="inlineStr">
        <is>
          <t>ĐIỆN</t>
        </is>
      </c>
      <c r="D75" s="1" t="inlineStr">
        <is>
          <t xml:space="preserve"> - Năng lượng điện vận hành thiết bị PTN</t>
        </is>
      </c>
      <c r="E75" s="1" t="inlineStr">
        <is>
          <t>kWh</t>
        </is>
      </c>
      <c r="F75" s="1" t="inlineStr"/>
      <c r="G75" s="24" t="inlineStr"/>
      <c r="H75" s="24" t="inlineStr"/>
      <c r="I75" s="24" t="inlineStr"/>
      <c r="J75" s="24" t="n">
        <v>0.5</v>
      </c>
      <c r="K75" s="24" t="inlineStr"/>
      <c r="L75" s="24" t="inlineStr"/>
      <c r="M75" s="24" t="inlineStr"/>
      <c r="N75" s="24">
        <f>ROUND(F69*J75, 4)</f>
        <v/>
      </c>
      <c r="O75" s="1" t="inlineStr">
        <is>
          <t>Điện năng PTN</t>
        </is>
      </c>
    </row>
    <row r="76">
      <c r="A76" s="1" t="inlineStr"/>
      <c r="B76" s="1" t="inlineStr">
        <is>
          <t>VL_01</t>
        </is>
      </c>
      <c r="C76" s="1" t="inlineStr">
        <is>
          <t>VL</t>
        </is>
      </c>
      <c r="D76" s="1" t="inlineStr">
        <is>
          <t xml:space="preserve"> - Hóa chất phân tích tinh khiết, màng lọc, chuẩn</t>
        </is>
      </c>
      <c r="E76" s="1" t="inlineStr">
        <is>
          <t>bộ</t>
        </is>
      </c>
      <c r="F76" s="1" t="inlineStr"/>
      <c r="G76" s="24" t="n">
        <v>0.04</v>
      </c>
      <c r="H76" s="24" t="inlineStr"/>
      <c r="I76" s="24" t="inlineStr"/>
      <c r="J76" s="24" t="inlineStr"/>
      <c r="K76" s="24">
        <f>ROUND(F69*G76, 4)</f>
        <v/>
      </c>
      <c r="L76" s="24" t="inlineStr"/>
      <c r="M76" s="24" t="inlineStr"/>
      <c r="N76" s="24" t="inlineStr"/>
      <c r="O76" s="1" t="inlineStr">
        <is>
          <t>Khoản 4.4 TT20</t>
        </is>
      </c>
    </row>
    <row r="77">
      <c r="A77" s="1" t="inlineStr"/>
      <c r="B77" s="1" t="inlineStr">
        <is>
          <t>VL_KHAC</t>
        </is>
      </c>
      <c r="C77" s="1" t="inlineStr">
        <is>
          <t>VL_PHỤ</t>
        </is>
      </c>
      <c r="D77" s="1" t="inlineStr">
        <is>
          <t xml:space="preserve"> - Vật liệu phụ khác (8% vật liệu chính)</t>
        </is>
      </c>
      <c r="E77" s="1" t="inlineStr">
        <is>
          <t>%</t>
        </is>
      </c>
      <c r="F77" s="1" t="inlineStr"/>
      <c r="G77" s="24" t="n">
        <v>0.08</v>
      </c>
      <c r="H77" s="24" t="inlineStr"/>
      <c r="I77" s="24" t="inlineStr"/>
      <c r="J77" s="24" t="inlineStr"/>
      <c r="K77" s="24">
        <f>ROUND(K76*G77, 4)</f>
        <v/>
      </c>
      <c r="L77" s="24" t="inlineStr"/>
      <c r="M77" s="24" t="inlineStr"/>
      <c r="N77" s="24" t="inlineStr"/>
      <c r="O77" s="1" t="inlineStr">
        <is>
          <t>8% Khoản 4.4 TT20</t>
        </is>
      </c>
    </row>
    <row r="78">
      <c r="A78" s="21">
        <f>'Công trình'!A15</f>
        <v/>
      </c>
      <c r="B78" s="21">
        <f>'Công trình'!C15</f>
        <v/>
      </c>
      <c r="C78" s="21" t="inlineStr"/>
      <c r="D78" s="22">
        <f>'Công trình'!D15</f>
        <v/>
      </c>
      <c r="E78" s="21">
        <f>'Công trình'!E15</f>
        <v/>
      </c>
      <c r="F78" s="21">
        <f>'Công trình'!L15</f>
        <v/>
      </c>
      <c r="G78" s="23" t="inlineStr"/>
      <c r="H78" s="23" t="inlineStr"/>
      <c r="I78" s="23" t="inlineStr"/>
      <c r="J78" s="23" t="inlineStr"/>
      <c r="K78" s="23" t="inlineStr"/>
      <c r="L78" s="23" t="inlineStr"/>
      <c r="M78" s="23" t="inlineStr"/>
      <c r="N78" s="23" t="inlineStr"/>
      <c r="O78" s="21" t="inlineStr">
        <is>
          <t>PAKT &amp; Định mức TT20</t>
        </is>
      </c>
    </row>
    <row r="79">
      <c r="A79" s="1" t="inlineStr"/>
      <c r="B79" s="1" t="inlineStr">
        <is>
          <t>NC_LDKT</t>
        </is>
      </c>
      <c r="C79" s="1" t="inlineStr">
        <is>
          <t>LĐKT</t>
        </is>
      </c>
      <c r="D79" s="1" t="inlineStr">
        <is>
          <t xml:space="preserve"> - Kỹ sư / Kiểm định viên / Quan trắc viên</t>
        </is>
      </c>
      <c r="E79" s="1" t="inlineStr">
        <is>
          <t>công</t>
        </is>
      </c>
      <c r="F79" s="1" t="inlineStr"/>
      <c r="G79" s="24" t="inlineStr"/>
      <c r="H79" s="24" t="n">
        <v>0.176</v>
      </c>
      <c r="I79" s="24" t="inlineStr"/>
      <c r="J79" s="24" t="inlineStr"/>
      <c r="K79" s="24" t="inlineStr"/>
      <c r="L79" s="24">
        <f>ROUND(F78*H79, 4)</f>
        <v/>
      </c>
      <c r="M79" s="24" t="inlineStr"/>
      <c r="N79" s="24" t="inlineStr"/>
      <c r="O79" s="1" t="inlineStr">
        <is>
          <t>TTLT 56/2015</t>
        </is>
      </c>
    </row>
    <row r="80">
      <c r="A80" s="1" t="inlineStr"/>
      <c r="B80" s="1" t="inlineStr">
        <is>
          <t>NC_LDPT</t>
        </is>
      </c>
      <c r="C80" s="1" t="inlineStr">
        <is>
          <t>LĐPT</t>
        </is>
      </c>
      <c r="D80" s="1" t="inlineStr">
        <is>
          <t xml:space="preserve"> - Lao động phổ thông phụ việc hiện trường</t>
        </is>
      </c>
      <c r="E80" s="1" t="inlineStr">
        <is>
          <t>công</t>
        </is>
      </c>
      <c r="F80" s="1" t="inlineStr"/>
      <c r="G80" s="24" t="inlineStr"/>
      <c r="H80" s="24" t="n">
        <v>0.044</v>
      </c>
      <c r="I80" s="24" t="inlineStr"/>
      <c r="J80" s="24" t="inlineStr"/>
      <c r="K80" s="24" t="inlineStr"/>
      <c r="L80" s="24">
        <f>ROUND(F78*H80, 4)</f>
        <v/>
      </c>
      <c r="M80" s="24" t="inlineStr"/>
      <c r="N80" s="24" t="inlineStr"/>
      <c r="O80" s="1" t="inlineStr">
        <is>
          <t>Hỗ trợ ngoại nghiệp</t>
        </is>
      </c>
    </row>
    <row r="81">
      <c r="A81" s="1" t="inlineStr"/>
      <c r="B81" s="1" t="inlineStr">
        <is>
          <t>CCDC_01</t>
        </is>
      </c>
      <c r="C81" s="1" t="inlineStr">
        <is>
          <t>CCDC</t>
        </is>
      </c>
      <c r="D81" s="1" t="inlineStr">
        <is>
          <t xml:space="preserve"> - Ca dụng cụ, thiết bị nhỏ đo đạc/lấy mẫu</t>
        </is>
      </c>
      <c r="E81" s="1" t="inlineStr">
        <is>
          <t>ca</t>
        </is>
      </c>
      <c r="F81" s="1" t="inlineStr"/>
      <c r="G81" s="24" t="inlineStr"/>
      <c r="H81" s="24" t="inlineStr"/>
      <c r="I81" s="24" t="n">
        <v>0.1</v>
      </c>
      <c r="J81" s="24" t="inlineStr"/>
      <c r="K81" s="24" t="inlineStr"/>
      <c r="L81" s="24" t="inlineStr"/>
      <c r="M81" s="24">
        <f>ROUND(F78*I81, 4)</f>
        <v/>
      </c>
      <c r="N81" s="24" t="inlineStr"/>
      <c r="O81" s="1" t="inlineStr">
        <is>
          <t>Khoản 4.2 TT20</t>
        </is>
      </c>
    </row>
    <row r="82">
      <c r="A82" s="1" t="inlineStr"/>
      <c r="B82" s="1" t="inlineStr">
        <is>
          <t>CCDC_PHU</t>
        </is>
      </c>
      <c r="C82" s="1" t="inlineStr">
        <is>
          <t>CCDC_PHỤ</t>
        </is>
      </c>
      <c r="D82" s="1" t="inlineStr">
        <is>
          <t xml:space="preserve"> - Dụng cụ phụ khác (10% CCDC chính)</t>
        </is>
      </c>
      <c r="E82" s="1" t="inlineStr">
        <is>
          <t>%</t>
        </is>
      </c>
      <c r="F82" s="1" t="inlineStr"/>
      <c r="G82" s="24" t="inlineStr"/>
      <c r="H82" s="24" t="inlineStr"/>
      <c r="I82" s="24" t="n">
        <v>0.1</v>
      </c>
      <c r="J82" s="24" t="inlineStr"/>
      <c r="K82" s="24" t="inlineStr"/>
      <c r="L82" s="24" t="inlineStr"/>
      <c r="M82" s="24">
        <f>ROUND(M81*I82, 4)</f>
        <v/>
      </c>
      <c r="N82" s="24" t="inlineStr"/>
      <c r="O82" s="1" t="inlineStr">
        <is>
          <t>10% Khoản 4.2 TT20</t>
        </is>
      </c>
    </row>
    <row r="83">
      <c r="A83" s="1" t="inlineStr"/>
      <c r="B83" s="1" t="inlineStr">
        <is>
          <t>M_KHTSCD</t>
        </is>
      </c>
      <c r="C83" s="1" t="inlineStr">
        <is>
          <t>MÁY</t>
        </is>
      </c>
      <c r="D83" s="1" t="inlineStr">
        <is>
          <t xml:space="preserve"> - Khấu hao thiết bị quan trắc chuyên dụng</t>
        </is>
      </c>
      <c r="E83" s="1" t="inlineStr">
        <is>
          <t>ca</t>
        </is>
      </c>
      <c r="F83" s="1" t="inlineStr"/>
      <c r="G83" s="24" t="inlineStr"/>
      <c r="H83" s="24" t="inlineStr"/>
      <c r="I83" s="24" t="inlineStr"/>
      <c r="J83" s="24" t="n">
        <v>0.08</v>
      </c>
      <c r="K83" s="24" t="inlineStr"/>
      <c r="L83" s="24" t="inlineStr"/>
      <c r="M83" s="24" t="inlineStr"/>
      <c r="N83" s="24">
        <f>ROUND(F78*J83, 4)</f>
        <v/>
      </c>
      <c r="O83" s="1" t="inlineStr">
        <is>
          <t>TT 45/2013</t>
        </is>
      </c>
    </row>
    <row r="84">
      <c r="A84" s="1" t="inlineStr"/>
      <c r="B84" s="1" t="inlineStr">
        <is>
          <t>M_NANGLUONG</t>
        </is>
      </c>
      <c r="C84" s="1" t="inlineStr">
        <is>
          <t>ĐIỆN</t>
        </is>
      </c>
      <c r="D84" s="1" t="inlineStr">
        <is>
          <t xml:space="preserve"> - Năng lượng điện vận hành thiết bị PTN</t>
        </is>
      </c>
      <c r="E84" s="1" t="inlineStr">
        <is>
          <t>kWh</t>
        </is>
      </c>
      <c r="F84" s="1" t="inlineStr"/>
      <c r="G84" s="24" t="inlineStr"/>
      <c r="H84" s="24" t="inlineStr"/>
      <c r="I84" s="24" t="inlineStr"/>
      <c r="J84" s="24" t="n">
        <v>0.5</v>
      </c>
      <c r="K84" s="24" t="inlineStr"/>
      <c r="L84" s="24" t="inlineStr"/>
      <c r="M84" s="24" t="inlineStr"/>
      <c r="N84" s="24">
        <f>ROUND(F78*J84, 4)</f>
        <v/>
      </c>
      <c r="O84" s="1" t="inlineStr">
        <is>
          <t>Điện năng PTN</t>
        </is>
      </c>
    </row>
    <row r="85">
      <c r="A85" s="1" t="inlineStr"/>
      <c r="B85" s="1" t="inlineStr">
        <is>
          <t>VL_01</t>
        </is>
      </c>
      <c r="C85" s="1" t="inlineStr">
        <is>
          <t>VL</t>
        </is>
      </c>
      <c r="D85" s="1" t="inlineStr">
        <is>
          <t xml:space="preserve"> - Hóa chất phân tích tinh khiết, màng lọc, chuẩn</t>
        </is>
      </c>
      <c r="E85" s="1" t="inlineStr">
        <is>
          <t>bộ</t>
        </is>
      </c>
      <c r="F85" s="1" t="inlineStr"/>
      <c r="G85" s="24" t="n">
        <v>0.04</v>
      </c>
      <c r="H85" s="24" t="inlineStr"/>
      <c r="I85" s="24" t="inlineStr"/>
      <c r="J85" s="24" t="inlineStr"/>
      <c r="K85" s="24">
        <f>ROUND(F78*G85, 4)</f>
        <v/>
      </c>
      <c r="L85" s="24" t="inlineStr"/>
      <c r="M85" s="24" t="inlineStr"/>
      <c r="N85" s="24" t="inlineStr"/>
      <c r="O85" s="1" t="inlineStr">
        <is>
          <t>Khoản 4.4 TT20</t>
        </is>
      </c>
    </row>
    <row r="86">
      <c r="A86" s="1" t="inlineStr"/>
      <c r="B86" s="1" t="inlineStr">
        <is>
          <t>VL_KHAC</t>
        </is>
      </c>
      <c r="C86" s="1" t="inlineStr">
        <is>
          <t>VL_PHỤ</t>
        </is>
      </c>
      <c r="D86" s="1" t="inlineStr">
        <is>
          <t xml:space="preserve"> - Vật liệu phụ khác (8% vật liệu chính)</t>
        </is>
      </c>
      <c r="E86" s="1" t="inlineStr">
        <is>
          <t>%</t>
        </is>
      </c>
      <c r="F86" s="1" t="inlineStr"/>
      <c r="G86" s="24" t="n">
        <v>0.08</v>
      </c>
      <c r="H86" s="24" t="inlineStr"/>
      <c r="I86" s="24" t="inlineStr"/>
      <c r="J86" s="24" t="inlineStr"/>
      <c r="K86" s="24">
        <f>ROUND(K85*G86, 4)</f>
        <v/>
      </c>
      <c r="L86" s="24" t="inlineStr"/>
      <c r="M86" s="24" t="inlineStr"/>
      <c r="N86" s="24" t="inlineStr"/>
      <c r="O86" s="1" t="inlineStr">
        <is>
          <t>8% Khoản 4.4 TT20</t>
        </is>
      </c>
    </row>
    <row r="87">
      <c r="A87" s="21">
        <f>'Công trình'!A16</f>
        <v/>
      </c>
      <c r="B87" s="21">
        <f>'Công trình'!C16</f>
        <v/>
      </c>
      <c r="C87" s="21" t="inlineStr"/>
      <c r="D87" s="22">
        <f>'Công trình'!D16</f>
        <v/>
      </c>
      <c r="E87" s="21">
        <f>'Công trình'!E16</f>
        <v/>
      </c>
      <c r="F87" s="21">
        <f>'Công trình'!L16</f>
        <v/>
      </c>
      <c r="G87" s="23" t="inlineStr"/>
      <c r="H87" s="23" t="inlineStr"/>
      <c r="I87" s="23" t="inlineStr"/>
      <c r="J87" s="23" t="inlineStr"/>
      <c r="K87" s="23" t="inlineStr"/>
      <c r="L87" s="23" t="inlineStr"/>
      <c r="M87" s="23" t="inlineStr"/>
      <c r="N87" s="23" t="inlineStr"/>
      <c r="O87" s="21" t="inlineStr">
        <is>
          <t>PAKT &amp; Định mức TT20</t>
        </is>
      </c>
    </row>
    <row r="88">
      <c r="A88" s="1" t="inlineStr"/>
      <c r="B88" s="1" t="inlineStr">
        <is>
          <t>NC_LDKT</t>
        </is>
      </c>
      <c r="C88" s="1" t="inlineStr">
        <is>
          <t>LĐKT</t>
        </is>
      </c>
      <c r="D88" s="1" t="inlineStr">
        <is>
          <t xml:space="preserve"> - Kỹ sư / Kiểm định viên / Quan trắc viên</t>
        </is>
      </c>
      <c r="E88" s="1" t="inlineStr">
        <is>
          <t>công</t>
        </is>
      </c>
      <c r="F88" s="1" t="inlineStr"/>
      <c r="G88" s="24" t="inlineStr"/>
      <c r="H88" s="24" t="n">
        <v>0.176</v>
      </c>
      <c r="I88" s="24" t="inlineStr"/>
      <c r="J88" s="24" t="inlineStr"/>
      <c r="K88" s="24" t="inlineStr"/>
      <c r="L88" s="24">
        <f>ROUND(F87*H88, 4)</f>
        <v/>
      </c>
      <c r="M88" s="24" t="inlineStr"/>
      <c r="N88" s="24" t="inlineStr"/>
      <c r="O88" s="1" t="inlineStr">
        <is>
          <t>TTLT 56/2015</t>
        </is>
      </c>
    </row>
    <row r="89">
      <c r="A89" s="1" t="inlineStr"/>
      <c r="B89" s="1" t="inlineStr">
        <is>
          <t>NC_LDPT</t>
        </is>
      </c>
      <c r="C89" s="1" t="inlineStr">
        <is>
          <t>LĐPT</t>
        </is>
      </c>
      <c r="D89" s="1" t="inlineStr">
        <is>
          <t xml:space="preserve"> - Lao động phổ thông phụ việc hiện trường</t>
        </is>
      </c>
      <c r="E89" s="1" t="inlineStr">
        <is>
          <t>công</t>
        </is>
      </c>
      <c r="F89" s="1" t="inlineStr"/>
      <c r="G89" s="24" t="inlineStr"/>
      <c r="H89" s="24" t="n">
        <v>0.044</v>
      </c>
      <c r="I89" s="24" t="inlineStr"/>
      <c r="J89" s="24" t="inlineStr"/>
      <c r="K89" s="24" t="inlineStr"/>
      <c r="L89" s="24">
        <f>ROUND(F87*H89, 4)</f>
        <v/>
      </c>
      <c r="M89" s="24" t="inlineStr"/>
      <c r="N89" s="24" t="inlineStr"/>
      <c r="O89" s="1" t="inlineStr">
        <is>
          <t>Hỗ trợ ngoại nghiệp</t>
        </is>
      </c>
    </row>
    <row r="90">
      <c r="A90" s="1" t="inlineStr"/>
      <c r="B90" s="1" t="inlineStr">
        <is>
          <t>CCDC_01</t>
        </is>
      </c>
      <c r="C90" s="1" t="inlineStr">
        <is>
          <t>CCDC</t>
        </is>
      </c>
      <c r="D90" s="1" t="inlineStr">
        <is>
          <t xml:space="preserve"> - Ca dụng cụ, thiết bị nhỏ đo đạc/lấy mẫu</t>
        </is>
      </c>
      <c r="E90" s="1" t="inlineStr">
        <is>
          <t>ca</t>
        </is>
      </c>
      <c r="F90" s="1" t="inlineStr"/>
      <c r="G90" s="24" t="inlineStr"/>
      <c r="H90" s="24" t="inlineStr"/>
      <c r="I90" s="24" t="n">
        <v>0.1</v>
      </c>
      <c r="J90" s="24" t="inlineStr"/>
      <c r="K90" s="24" t="inlineStr"/>
      <c r="L90" s="24" t="inlineStr"/>
      <c r="M90" s="24">
        <f>ROUND(F87*I90, 4)</f>
        <v/>
      </c>
      <c r="N90" s="24" t="inlineStr"/>
      <c r="O90" s="1" t="inlineStr">
        <is>
          <t>Khoản 4.2 TT20</t>
        </is>
      </c>
    </row>
    <row r="91">
      <c r="A91" s="1" t="inlineStr"/>
      <c r="B91" s="1" t="inlineStr">
        <is>
          <t>CCDC_PHU</t>
        </is>
      </c>
      <c r="C91" s="1" t="inlineStr">
        <is>
          <t>CCDC_PHỤ</t>
        </is>
      </c>
      <c r="D91" s="1" t="inlineStr">
        <is>
          <t xml:space="preserve"> - Dụng cụ phụ khác (10% CCDC chính)</t>
        </is>
      </c>
      <c r="E91" s="1" t="inlineStr">
        <is>
          <t>%</t>
        </is>
      </c>
      <c r="F91" s="1" t="inlineStr"/>
      <c r="G91" s="24" t="inlineStr"/>
      <c r="H91" s="24" t="inlineStr"/>
      <c r="I91" s="24" t="n">
        <v>0.1</v>
      </c>
      <c r="J91" s="24" t="inlineStr"/>
      <c r="K91" s="24" t="inlineStr"/>
      <c r="L91" s="24" t="inlineStr"/>
      <c r="M91" s="24">
        <f>ROUND(M90*I91, 4)</f>
        <v/>
      </c>
      <c r="N91" s="24" t="inlineStr"/>
      <c r="O91" s="1" t="inlineStr">
        <is>
          <t>10% Khoản 4.2 TT20</t>
        </is>
      </c>
    </row>
    <row r="92">
      <c r="A92" s="1" t="inlineStr"/>
      <c r="B92" s="1" t="inlineStr">
        <is>
          <t>M_KHTSCD</t>
        </is>
      </c>
      <c r="C92" s="1" t="inlineStr">
        <is>
          <t>MÁY</t>
        </is>
      </c>
      <c r="D92" s="1" t="inlineStr">
        <is>
          <t xml:space="preserve"> - Khấu hao thiết bị quan trắc chuyên dụng</t>
        </is>
      </c>
      <c r="E92" s="1" t="inlineStr">
        <is>
          <t>ca</t>
        </is>
      </c>
      <c r="F92" s="1" t="inlineStr"/>
      <c r="G92" s="24" t="inlineStr"/>
      <c r="H92" s="24" t="inlineStr"/>
      <c r="I92" s="24" t="inlineStr"/>
      <c r="J92" s="24" t="n">
        <v>0.08</v>
      </c>
      <c r="K92" s="24" t="inlineStr"/>
      <c r="L92" s="24" t="inlineStr"/>
      <c r="M92" s="24" t="inlineStr"/>
      <c r="N92" s="24">
        <f>ROUND(F87*J92, 4)</f>
        <v/>
      </c>
      <c r="O92" s="1" t="inlineStr">
        <is>
          <t>TT 45/2013</t>
        </is>
      </c>
    </row>
    <row r="93">
      <c r="A93" s="1" t="inlineStr"/>
      <c r="B93" s="1" t="inlineStr">
        <is>
          <t>M_NANGLUONG</t>
        </is>
      </c>
      <c r="C93" s="1" t="inlineStr">
        <is>
          <t>ĐIỆN</t>
        </is>
      </c>
      <c r="D93" s="1" t="inlineStr">
        <is>
          <t xml:space="preserve"> - Năng lượng điện vận hành thiết bị PTN</t>
        </is>
      </c>
      <c r="E93" s="1" t="inlineStr">
        <is>
          <t>kWh</t>
        </is>
      </c>
      <c r="F93" s="1" t="inlineStr"/>
      <c r="G93" s="24" t="inlineStr"/>
      <c r="H93" s="24" t="inlineStr"/>
      <c r="I93" s="24" t="inlineStr"/>
      <c r="J93" s="24" t="n">
        <v>0.5</v>
      </c>
      <c r="K93" s="24" t="inlineStr"/>
      <c r="L93" s="24" t="inlineStr"/>
      <c r="M93" s="24" t="inlineStr"/>
      <c r="N93" s="24">
        <f>ROUND(F87*J93, 4)</f>
        <v/>
      </c>
      <c r="O93" s="1" t="inlineStr">
        <is>
          <t>Điện năng PTN</t>
        </is>
      </c>
    </row>
    <row r="94">
      <c r="A94" s="1" t="inlineStr"/>
      <c r="B94" s="1" t="inlineStr">
        <is>
          <t>VL_01</t>
        </is>
      </c>
      <c r="C94" s="1" t="inlineStr">
        <is>
          <t>VL</t>
        </is>
      </c>
      <c r="D94" s="1" t="inlineStr">
        <is>
          <t xml:space="preserve"> - Hóa chất phân tích tinh khiết, màng lọc, chuẩn</t>
        </is>
      </c>
      <c r="E94" s="1" t="inlineStr">
        <is>
          <t>bộ</t>
        </is>
      </c>
      <c r="F94" s="1" t="inlineStr"/>
      <c r="G94" s="24" t="n">
        <v>0.04</v>
      </c>
      <c r="H94" s="24" t="inlineStr"/>
      <c r="I94" s="24" t="inlineStr"/>
      <c r="J94" s="24" t="inlineStr"/>
      <c r="K94" s="24">
        <f>ROUND(F87*G94, 4)</f>
        <v/>
      </c>
      <c r="L94" s="24" t="inlineStr"/>
      <c r="M94" s="24" t="inlineStr"/>
      <c r="N94" s="24" t="inlineStr"/>
      <c r="O94" s="1" t="inlineStr">
        <is>
          <t>Khoản 4.4 TT20</t>
        </is>
      </c>
    </row>
    <row r="95">
      <c r="A95" s="1" t="inlineStr"/>
      <c r="B95" s="1" t="inlineStr">
        <is>
          <t>VL_KHAC</t>
        </is>
      </c>
      <c r="C95" s="1" t="inlineStr">
        <is>
          <t>VL_PHỤ</t>
        </is>
      </c>
      <c r="D95" s="1" t="inlineStr">
        <is>
          <t xml:space="preserve"> - Vật liệu phụ khác (8% vật liệu chính)</t>
        </is>
      </c>
      <c r="E95" s="1" t="inlineStr">
        <is>
          <t>%</t>
        </is>
      </c>
      <c r="F95" s="1" t="inlineStr"/>
      <c r="G95" s="24" t="n">
        <v>0.08</v>
      </c>
      <c r="H95" s="24" t="inlineStr"/>
      <c r="I95" s="24" t="inlineStr"/>
      <c r="J95" s="24" t="inlineStr"/>
      <c r="K95" s="24">
        <f>ROUND(K94*G95, 4)</f>
        <v/>
      </c>
      <c r="L95" s="24" t="inlineStr"/>
      <c r="M95" s="24" t="inlineStr"/>
      <c r="N95" s="24" t="inlineStr"/>
      <c r="O95" s="1" t="inlineStr">
        <is>
          <t>8% Khoản 4.4 TT20</t>
        </is>
      </c>
    </row>
    <row r="96">
      <c r="A96" s="21">
        <f>'Công trình'!A17</f>
        <v/>
      </c>
      <c r="B96" s="21">
        <f>'Công trình'!C17</f>
        <v/>
      </c>
      <c r="C96" s="21" t="inlineStr"/>
      <c r="D96" s="22">
        <f>'Công trình'!D17</f>
        <v/>
      </c>
      <c r="E96" s="21">
        <f>'Công trình'!E17</f>
        <v/>
      </c>
      <c r="F96" s="21">
        <f>'Công trình'!L17</f>
        <v/>
      </c>
      <c r="G96" s="23" t="inlineStr"/>
      <c r="H96" s="23" t="inlineStr"/>
      <c r="I96" s="23" t="inlineStr"/>
      <c r="J96" s="23" t="inlineStr"/>
      <c r="K96" s="23" t="inlineStr"/>
      <c r="L96" s="23" t="inlineStr"/>
      <c r="M96" s="23" t="inlineStr"/>
      <c r="N96" s="23" t="inlineStr"/>
      <c r="O96" s="21" t="inlineStr">
        <is>
          <t>PAKT &amp; Định mức TT20</t>
        </is>
      </c>
    </row>
    <row r="97">
      <c r="A97" s="1" t="inlineStr"/>
      <c r="B97" s="1" t="inlineStr">
        <is>
          <t>NC_LDKT</t>
        </is>
      </c>
      <c r="C97" s="1" t="inlineStr">
        <is>
          <t>LĐKT</t>
        </is>
      </c>
      <c r="D97" s="1" t="inlineStr">
        <is>
          <t xml:space="preserve"> - Kỹ sư / Kiểm định viên / Quan trắc viên</t>
        </is>
      </c>
      <c r="E97" s="1" t="inlineStr">
        <is>
          <t>công</t>
        </is>
      </c>
      <c r="F97" s="1" t="inlineStr"/>
      <c r="G97" s="24" t="inlineStr"/>
      <c r="H97" s="24" t="n">
        <v>0.176</v>
      </c>
      <c r="I97" s="24" t="inlineStr"/>
      <c r="J97" s="24" t="inlineStr"/>
      <c r="K97" s="24" t="inlineStr"/>
      <c r="L97" s="24">
        <f>ROUND(F96*H97, 4)</f>
        <v/>
      </c>
      <c r="M97" s="24" t="inlineStr"/>
      <c r="N97" s="24" t="inlineStr"/>
      <c r="O97" s="1" t="inlineStr">
        <is>
          <t>TTLT 56/2015</t>
        </is>
      </c>
    </row>
    <row r="98">
      <c r="A98" s="1" t="inlineStr"/>
      <c r="B98" s="1" t="inlineStr">
        <is>
          <t>NC_LDPT</t>
        </is>
      </c>
      <c r="C98" s="1" t="inlineStr">
        <is>
          <t>LĐPT</t>
        </is>
      </c>
      <c r="D98" s="1" t="inlineStr">
        <is>
          <t xml:space="preserve"> - Lao động phổ thông phụ việc hiện trường</t>
        </is>
      </c>
      <c r="E98" s="1" t="inlineStr">
        <is>
          <t>công</t>
        </is>
      </c>
      <c r="F98" s="1" t="inlineStr"/>
      <c r="G98" s="24" t="inlineStr"/>
      <c r="H98" s="24" t="n">
        <v>0.044</v>
      </c>
      <c r="I98" s="24" t="inlineStr"/>
      <c r="J98" s="24" t="inlineStr"/>
      <c r="K98" s="24" t="inlineStr"/>
      <c r="L98" s="24">
        <f>ROUND(F96*H98, 4)</f>
        <v/>
      </c>
      <c r="M98" s="24" t="inlineStr"/>
      <c r="N98" s="24" t="inlineStr"/>
      <c r="O98" s="1" t="inlineStr">
        <is>
          <t>Hỗ trợ ngoại nghiệp</t>
        </is>
      </c>
    </row>
    <row r="99">
      <c r="A99" s="1" t="inlineStr"/>
      <c r="B99" s="1" t="inlineStr">
        <is>
          <t>CCDC_01</t>
        </is>
      </c>
      <c r="C99" s="1" t="inlineStr">
        <is>
          <t>CCDC</t>
        </is>
      </c>
      <c r="D99" s="1" t="inlineStr">
        <is>
          <t xml:space="preserve"> - Ca dụng cụ, thiết bị nhỏ đo đạc/lấy mẫu</t>
        </is>
      </c>
      <c r="E99" s="1" t="inlineStr">
        <is>
          <t>ca</t>
        </is>
      </c>
      <c r="F99" s="1" t="inlineStr"/>
      <c r="G99" s="24" t="inlineStr"/>
      <c r="H99" s="24" t="inlineStr"/>
      <c r="I99" s="24" t="n">
        <v>0.1</v>
      </c>
      <c r="J99" s="24" t="inlineStr"/>
      <c r="K99" s="24" t="inlineStr"/>
      <c r="L99" s="24" t="inlineStr"/>
      <c r="M99" s="24">
        <f>ROUND(F96*I99, 4)</f>
        <v/>
      </c>
      <c r="N99" s="24" t="inlineStr"/>
      <c r="O99" s="1" t="inlineStr">
        <is>
          <t>Khoản 4.2 TT20</t>
        </is>
      </c>
    </row>
    <row r="100">
      <c r="A100" s="1" t="inlineStr"/>
      <c r="B100" s="1" t="inlineStr">
        <is>
          <t>CCDC_PHU</t>
        </is>
      </c>
      <c r="C100" s="1" t="inlineStr">
        <is>
          <t>CCDC_PHỤ</t>
        </is>
      </c>
      <c r="D100" s="1" t="inlineStr">
        <is>
          <t xml:space="preserve"> - Dụng cụ phụ khác (10% CCDC chính)</t>
        </is>
      </c>
      <c r="E100" s="1" t="inlineStr">
        <is>
          <t>%</t>
        </is>
      </c>
      <c r="F100" s="1" t="inlineStr"/>
      <c r="G100" s="24" t="inlineStr"/>
      <c r="H100" s="24" t="inlineStr"/>
      <c r="I100" s="24" t="n">
        <v>0.1</v>
      </c>
      <c r="J100" s="24" t="inlineStr"/>
      <c r="K100" s="24" t="inlineStr"/>
      <c r="L100" s="24" t="inlineStr"/>
      <c r="M100" s="24">
        <f>ROUND(M99*I100, 4)</f>
        <v/>
      </c>
      <c r="N100" s="24" t="inlineStr"/>
      <c r="O100" s="1" t="inlineStr">
        <is>
          <t>10% Khoản 4.2 TT20</t>
        </is>
      </c>
    </row>
    <row r="101">
      <c r="A101" s="1" t="inlineStr"/>
      <c r="B101" s="1" t="inlineStr">
        <is>
          <t>M_KHTSCD</t>
        </is>
      </c>
      <c r="C101" s="1" t="inlineStr">
        <is>
          <t>MÁY</t>
        </is>
      </c>
      <c r="D101" s="1" t="inlineStr">
        <is>
          <t xml:space="preserve"> - Khấu hao thiết bị quan trắc chuyên dụng</t>
        </is>
      </c>
      <c r="E101" s="1" t="inlineStr">
        <is>
          <t>ca</t>
        </is>
      </c>
      <c r="F101" s="1" t="inlineStr"/>
      <c r="G101" s="24" t="inlineStr"/>
      <c r="H101" s="24" t="inlineStr"/>
      <c r="I101" s="24" t="inlineStr"/>
      <c r="J101" s="24" t="n">
        <v>0.08</v>
      </c>
      <c r="K101" s="24" t="inlineStr"/>
      <c r="L101" s="24" t="inlineStr"/>
      <c r="M101" s="24" t="inlineStr"/>
      <c r="N101" s="24">
        <f>ROUND(F96*J101, 4)</f>
        <v/>
      </c>
      <c r="O101" s="1" t="inlineStr">
        <is>
          <t>TT 45/2013</t>
        </is>
      </c>
    </row>
    <row r="102">
      <c r="A102" s="1" t="inlineStr"/>
      <c r="B102" s="1" t="inlineStr">
        <is>
          <t>M_NANGLUONG</t>
        </is>
      </c>
      <c r="C102" s="1" t="inlineStr">
        <is>
          <t>ĐIỆN</t>
        </is>
      </c>
      <c r="D102" s="1" t="inlineStr">
        <is>
          <t xml:space="preserve"> - Năng lượng điện vận hành thiết bị PTN</t>
        </is>
      </c>
      <c r="E102" s="1" t="inlineStr">
        <is>
          <t>kWh</t>
        </is>
      </c>
      <c r="F102" s="1" t="inlineStr"/>
      <c r="G102" s="24" t="inlineStr"/>
      <c r="H102" s="24" t="inlineStr"/>
      <c r="I102" s="24" t="inlineStr"/>
      <c r="J102" s="24" t="n">
        <v>0.5</v>
      </c>
      <c r="K102" s="24" t="inlineStr"/>
      <c r="L102" s="24" t="inlineStr"/>
      <c r="M102" s="24" t="inlineStr"/>
      <c r="N102" s="24">
        <f>ROUND(F96*J102, 4)</f>
        <v/>
      </c>
      <c r="O102" s="1" t="inlineStr">
        <is>
          <t>Điện năng PTN</t>
        </is>
      </c>
    </row>
    <row r="103">
      <c r="A103" s="1" t="inlineStr"/>
      <c r="B103" s="1" t="inlineStr">
        <is>
          <t>VL_01</t>
        </is>
      </c>
      <c r="C103" s="1" t="inlineStr">
        <is>
          <t>VL</t>
        </is>
      </c>
      <c r="D103" s="1" t="inlineStr">
        <is>
          <t xml:space="preserve"> - Hóa chất phân tích tinh khiết, màng lọc, chuẩn</t>
        </is>
      </c>
      <c r="E103" s="1" t="inlineStr">
        <is>
          <t>bộ</t>
        </is>
      </c>
      <c r="F103" s="1" t="inlineStr"/>
      <c r="G103" s="24" t="n">
        <v>0.04</v>
      </c>
      <c r="H103" s="24" t="inlineStr"/>
      <c r="I103" s="24" t="inlineStr"/>
      <c r="J103" s="24" t="inlineStr"/>
      <c r="K103" s="24">
        <f>ROUND(F96*G103, 4)</f>
        <v/>
      </c>
      <c r="L103" s="24" t="inlineStr"/>
      <c r="M103" s="24" t="inlineStr"/>
      <c r="N103" s="24" t="inlineStr"/>
      <c r="O103" s="1" t="inlineStr">
        <is>
          <t>Khoản 4.4 TT20</t>
        </is>
      </c>
    </row>
    <row r="104">
      <c r="A104" s="1" t="inlineStr"/>
      <c r="B104" s="1" t="inlineStr">
        <is>
          <t>VL_KHAC</t>
        </is>
      </c>
      <c r="C104" s="1" t="inlineStr">
        <is>
          <t>VL_PHỤ</t>
        </is>
      </c>
      <c r="D104" s="1" t="inlineStr">
        <is>
          <t xml:space="preserve"> - Vật liệu phụ khác (8% vật liệu chính)</t>
        </is>
      </c>
      <c r="E104" s="1" t="inlineStr">
        <is>
          <t>%</t>
        </is>
      </c>
      <c r="F104" s="1" t="inlineStr"/>
      <c r="G104" s="24" t="n">
        <v>0.08</v>
      </c>
      <c r="H104" s="24" t="inlineStr"/>
      <c r="I104" s="24" t="inlineStr"/>
      <c r="J104" s="24" t="inlineStr"/>
      <c r="K104" s="24">
        <f>ROUND(K103*G104, 4)</f>
        <v/>
      </c>
      <c r="L104" s="24" t="inlineStr"/>
      <c r="M104" s="24" t="inlineStr"/>
      <c r="N104" s="24" t="inlineStr"/>
      <c r="O104" s="1" t="inlineStr">
        <is>
          <t>8% Khoản 4.4 TT20</t>
        </is>
      </c>
    </row>
    <row r="105">
      <c r="A105" s="21">
        <f>'Công trình'!A18</f>
        <v/>
      </c>
      <c r="B105" s="21">
        <f>'Công trình'!C18</f>
        <v/>
      </c>
      <c r="C105" s="21" t="inlineStr"/>
      <c r="D105" s="22">
        <f>'Công trình'!D18</f>
        <v/>
      </c>
      <c r="E105" s="21">
        <f>'Công trình'!E18</f>
        <v/>
      </c>
      <c r="F105" s="21">
        <f>'Công trình'!L18</f>
        <v/>
      </c>
      <c r="G105" s="23" t="inlineStr"/>
      <c r="H105" s="23" t="inlineStr"/>
      <c r="I105" s="23" t="inlineStr"/>
      <c r="J105" s="23" t="inlineStr"/>
      <c r="K105" s="23" t="inlineStr"/>
      <c r="L105" s="23" t="inlineStr"/>
      <c r="M105" s="23" t="inlineStr"/>
      <c r="N105" s="23" t="inlineStr"/>
      <c r="O105" s="21" t="inlineStr">
        <is>
          <t>PAKT &amp; Định mức TT20</t>
        </is>
      </c>
    </row>
    <row r="106">
      <c r="A106" s="1" t="inlineStr"/>
      <c r="B106" s="1" t="inlineStr">
        <is>
          <t>NC_LDKT</t>
        </is>
      </c>
      <c r="C106" s="1" t="inlineStr">
        <is>
          <t>LĐKT</t>
        </is>
      </c>
      <c r="D106" s="1" t="inlineStr">
        <is>
          <t xml:space="preserve"> - Kỹ sư / Kiểm định viên / Quan trắc viên</t>
        </is>
      </c>
      <c r="E106" s="1" t="inlineStr">
        <is>
          <t>công</t>
        </is>
      </c>
      <c r="F106" s="1" t="inlineStr"/>
      <c r="G106" s="24" t="inlineStr"/>
      <c r="H106" s="24" t="n">
        <v>0.176</v>
      </c>
      <c r="I106" s="24" t="inlineStr"/>
      <c r="J106" s="24" t="inlineStr"/>
      <c r="K106" s="24" t="inlineStr"/>
      <c r="L106" s="24">
        <f>ROUND(F105*H106, 4)</f>
        <v/>
      </c>
      <c r="M106" s="24" t="inlineStr"/>
      <c r="N106" s="24" t="inlineStr"/>
      <c r="O106" s="1" t="inlineStr">
        <is>
          <t>TTLT 56/2015</t>
        </is>
      </c>
    </row>
    <row r="107">
      <c r="A107" s="1" t="inlineStr"/>
      <c r="B107" s="1" t="inlineStr">
        <is>
          <t>NC_LDPT</t>
        </is>
      </c>
      <c r="C107" s="1" t="inlineStr">
        <is>
          <t>LĐPT</t>
        </is>
      </c>
      <c r="D107" s="1" t="inlineStr">
        <is>
          <t xml:space="preserve"> - Lao động phổ thông phụ việc hiện trường</t>
        </is>
      </c>
      <c r="E107" s="1" t="inlineStr">
        <is>
          <t>công</t>
        </is>
      </c>
      <c r="F107" s="1" t="inlineStr"/>
      <c r="G107" s="24" t="inlineStr"/>
      <c r="H107" s="24" t="n">
        <v>0.044</v>
      </c>
      <c r="I107" s="24" t="inlineStr"/>
      <c r="J107" s="24" t="inlineStr"/>
      <c r="K107" s="24" t="inlineStr"/>
      <c r="L107" s="24">
        <f>ROUND(F105*H107, 4)</f>
        <v/>
      </c>
      <c r="M107" s="24" t="inlineStr"/>
      <c r="N107" s="24" t="inlineStr"/>
      <c r="O107" s="1" t="inlineStr">
        <is>
          <t>Hỗ trợ ngoại nghiệp</t>
        </is>
      </c>
    </row>
    <row r="108">
      <c r="A108" s="1" t="inlineStr"/>
      <c r="B108" s="1" t="inlineStr">
        <is>
          <t>CCDC_01</t>
        </is>
      </c>
      <c r="C108" s="1" t="inlineStr">
        <is>
          <t>CCDC</t>
        </is>
      </c>
      <c r="D108" s="1" t="inlineStr">
        <is>
          <t xml:space="preserve"> - Ca dụng cụ, thiết bị nhỏ đo đạc/lấy mẫu</t>
        </is>
      </c>
      <c r="E108" s="1" t="inlineStr">
        <is>
          <t>ca</t>
        </is>
      </c>
      <c r="F108" s="1" t="inlineStr"/>
      <c r="G108" s="24" t="inlineStr"/>
      <c r="H108" s="24" t="inlineStr"/>
      <c r="I108" s="24" t="n">
        <v>0.1</v>
      </c>
      <c r="J108" s="24" t="inlineStr"/>
      <c r="K108" s="24" t="inlineStr"/>
      <c r="L108" s="24" t="inlineStr"/>
      <c r="M108" s="24">
        <f>ROUND(F105*I108, 4)</f>
        <v/>
      </c>
      <c r="N108" s="24" t="inlineStr"/>
      <c r="O108" s="1" t="inlineStr">
        <is>
          <t>Khoản 4.2 TT20</t>
        </is>
      </c>
    </row>
    <row r="109">
      <c r="A109" s="1" t="inlineStr"/>
      <c r="B109" s="1" t="inlineStr">
        <is>
          <t>CCDC_PHU</t>
        </is>
      </c>
      <c r="C109" s="1" t="inlineStr">
        <is>
          <t>CCDC_PHỤ</t>
        </is>
      </c>
      <c r="D109" s="1" t="inlineStr">
        <is>
          <t xml:space="preserve"> - Dụng cụ phụ khác (10% CCDC chính)</t>
        </is>
      </c>
      <c r="E109" s="1" t="inlineStr">
        <is>
          <t>%</t>
        </is>
      </c>
      <c r="F109" s="1" t="inlineStr"/>
      <c r="G109" s="24" t="inlineStr"/>
      <c r="H109" s="24" t="inlineStr"/>
      <c r="I109" s="24" t="n">
        <v>0.1</v>
      </c>
      <c r="J109" s="24" t="inlineStr"/>
      <c r="K109" s="24" t="inlineStr"/>
      <c r="L109" s="24" t="inlineStr"/>
      <c r="M109" s="24">
        <f>ROUND(M108*I109, 4)</f>
        <v/>
      </c>
      <c r="N109" s="24" t="inlineStr"/>
      <c r="O109" s="1" t="inlineStr">
        <is>
          <t>10% Khoản 4.2 TT20</t>
        </is>
      </c>
    </row>
    <row r="110">
      <c r="A110" s="1" t="inlineStr"/>
      <c r="B110" s="1" t="inlineStr">
        <is>
          <t>M_KHTSCD</t>
        </is>
      </c>
      <c r="C110" s="1" t="inlineStr">
        <is>
          <t>MÁY</t>
        </is>
      </c>
      <c r="D110" s="1" t="inlineStr">
        <is>
          <t xml:space="preserve"> - Khấu hao thiết bị quan trắc chuyên dụng</t>
        </is>
      </c>
      <c r="E110" s="1" t="inlineStr">
        <is>
          <t>ca</t>
        </is>
      </c>
      <c r="F110" s="1" t="inlineStr"/>
      <c r="G110" s="24" t="inlineStr"/>
      <c r="H110" s="24" t="inlineStr"/>
      <c r="I110" s="24" t="inlineStr"/>
      <c r="J110" s="24" t="n">
        <v>0.08</v>
      </c>
      <c r="K110" s="24" t="inlineStr"/>
      <c r="L110" s="24" t="inlineStr"/>
      <c r="M110" s="24" t="inlineStr"/>
      <c r="N110" s="24">
        <f>ROUND(F105*J110, 4)</f>
        <v/>
      </c>
      <c r="O110" s="1" t="inlineStr">
        <is>
          <t>TT 45/2013</t>
        </is>
      </c>
    </row>
    <row r="111">
      <c r="A111" s="1" t="inlineStr"/>
      <c r="B111" s="1" t="inlineStr">
        <is>
          <t>M_NANGLUONG</t>
        </is>
      </c>
      <c r="C111" s="1" t="inlineStr">
        <is>
          <t>ĐIỆN</t>
        </is>
      </c>
      <c r="D111" s="1" t="inlineStr">
        <is>
          <t xml:space="preserve"> - Năng lượng điện vận hành thiết bị PTN</t>
        </is>
      </c>
      <c r="E111" s="1" t="inlineStr">
        <is>
          <t>kWh</t>
        </is>
      </c>
      <c r="F111" s="1" t="inlineStr"/>
      <c r="G111" s="24" t="inlineStr"/>
      <c r="H111" s="24" t="inlineStr"/>
      <c r="I111" s="24" t="inlineStr"/>
      <c r="J111" s="24" t="n">
        <v>0.5</v>
      </c>
      <c r="K111" s="24" t="inlineStr"/>
      <c r="L111" s="24" t="inlineStr"/>
      <c r="M111" s="24" t="inlineStr"/>
      <c r="N111" s="24">
        <f>ROUND(F105*J111, 4)</f>
        <v/>
      </c>
      <c r="O111" s="1" t="inlineStr">
        <is>
          <t>Điện năng PTN</t>
        </is>
      </c>
    </row>
    <row r="112">
      <c r="A112" s="1" t="inlineStr"/>
      <c r="B112" s="1" t="inlineStr">
        <is>
          <t>VL_01</t>
        </is>
      </c>
      <c r="C112" s="1" t="inlineStr">
        <is>
          <t>VL</t>
        </is>
      </c>
      <c r="D112" s="1" t="inlineStr">
        <is>
          <t xml:space="preserve"> - Hóa chất phân tích tinh khiết, màng lọc, chuẩn</t>
        </is>
      </c>
      <c r="E112" s="1" t="inlineStr">
        <is>
          <t>bộ</t>
        </is>
      </c>
      <c r="F112" s="1" t="inlineStr"/>
      <c r="G112" s="24" t="n">
        <v>0.04</v>
      </c>
      <c r="H112" s="24" t="inlineStr"/>
      <c r="I112" s="24" t="inlineStr"/>
      <c r="J112" s="24" t="inlineStr"/>
      <c r="K112" s="24">
        <f>ROUND(F105*G112, 4)</f>
        <v/>
      </c>
      <c r="L112" s="24" t="inlineStr"/>
      <c r="M112" s="24" t="inlineStr"/>
      <c r="N112" s="24" t="inlineStr"/>
      <c r="O112" s="1" t="inlineStr">
        <is>
          <t>Khoản 4.4 TT20</t>
        </is>
      </c>
    </row>
    <row r="113">
      <c r="A113" s="1" t="inlineStr"/>
      <c r="B113" s="1" t="inlineStr">
        <is>
          <t>VL_KHAC</t>
        </is>
      </c>
      <c r="C113" s="1" t="inlineStr">
        <is>
          <t>VL_PHỤ</t>
        </is>
      </c>
      <c r="D113" s="1" t="inlineStr">
        <is>
          <t xml:space="preserve"> - Vật liệu phụ khác (8% vật liệu chính)</t>
        </is>
      </c>
      <c r="E113" s="1" t="inlineStr">
        <is>
          <t>%</t>
        </is>
      </c>
      <c r="F113" s="1" t="inlineStr"/>
      <c r="G113" s="24" t="n">
        <v>0.08</v>
      </c>
      <c r="H113" s="24" t="inlineStr"/>
      <c r="I113" s="24" t="inlineStr"/>
      <c r="J113" s="24" t="inlineStr"/>
      <c r="K113" s="24">
        <f>ROUND(K112*G113, 4)</f>
        <v/>
      </c>
      <c r="L113" s="24" t="inlineStr"/>
      <c r="M113" s="24" t="inlineStr"/>
      <c r="N113" s="24" t="inlineStr"/>
      <c r="O113" s="1" t="inlineStr">
        <is>
          <t>8% Khoản 4.4 TT20</t>
        </is>
      </c>
    </row>
    <row r="114">
      <c r="A114" s="21">
        <f>'Công trình'!A19</f>
        <v/>
      </c>
      <c r="B114" s="21">
        <f>'Công trình'!C19</f>
        <v/>
      </c>
      <c r="C114" s="21" t="inlineStr"/>
      <c r="D114" s="22">
        <f>'Công trình'!D19</f>
        <v/>
      </c>
      <c r="E114" s="21">
        <f>'Công trình'!E19</f>
        <v/>
      </c>
      <c r="F114" s="21">
        <f>'Công trình'!L19</f>
        <v/>
      </c>
      <c r="G114" s="23" t="inlineStr"/>
      <c r="H114" s="23" t="inlineStr"/>
      <c r="I114" s="23" t="inlineStr"/>
      <c r="J114" s="23" t="inlineStr"/>
      <c r="K114" s="23" t="inlineStr"/>
      <c r="L114" s="23" t="inlineStr"/>
      <c r="M114" s="23" t="inlineStr"/>
      <c r="N114" s="23" t="inlineStr"/>
      <c r="O114" s="21" t="inlineStr">
        <is>
          <t>PAKT &amp; Định mức TT20</t>
        </is>
      </c>
    </row>
    <row r="115">
      <c r="A115" s="1" t="inlineStr"/>
      <c r="B115" s="1" t="inlineStr">
        <is>
          <t>NC_LDKT</t>
        </is>
      </c>
      <c r="C115" s="1" t="inlineStr">
        <is>
          <t>LĐKT</t>
        </is>
      </c>
      <c r="D115" s="1" t="inlineStr">
        <is>
          <t xml:space="preserve"> - Kỹ sư / Kiểm định viên / Quan trắc viên</t>
        </is>
      </c>
      <c r="E115" s="1" t="inlineStr">
        <is>
          <t>công</t>
        </is>
      </c>
      <c r="F115" s="1" t="inlineStr"/>
      <c r="G115" s="24" t="inlineStr"/>
      <c r="H115" s="24" t="n">
        <v>0.176</v>
      </c>
      <c r="I115" s="24" t="inlineStr"/>
      <c r="J115" s="24" t="inlineStr"/>
      <c r="K115" s="24" t="inlineStr"/>
      <c r="L115" s="24">
        <f>ROUND(F114*H115, 4)</f>
        <v/>
      </c>
      <c r="M115" s="24" t="inlineStr"/>
      <c r="N115" s="24" t="inlineStr"/>
      <c r="O115" s="1" t="inlineStr">
        <is>
          <t>TTLT 56/2015</t>
        </is>
      </c>
    </row>
    <row r="116">
      <c r="A116" s="1" t="inlineStr"/>
      <c r="B116" s="1" t="inlineStr">
        <is>
          <t>NC_LDPT</t>
        </is>
      </c>
      <c r="C116" s="1" t="inlineStr">
        <is>
          <t>LĐPT</t>
        </is>
      </c>
      <c r="D116" s="1" t="inlineStr">
        <is>
          <t xml:space="preserve"> - Lao động phổ thông phụ việc hiện trường</t>
        </is>
      </c>
      <c r="E116" s="1" t="inlineStr">
        <is>
          <t>công</t>
        </is>
      </c>
      <c r="F116" s="1" t="inlineStr"/>
      <c r="G116" s="24" t="inlineStr"/>
      <c r="H116" s="24" t="n">
        <v>0.044</v>
      </c>
      <c r="I116" s="24" t="inlineStr"/>
      <c r="J116" s="24" t="inlineStr"/>
      <c r="K116" s="24" t="inlineStr"/>
      <c r="L116" s="24">
        <f>ROUND(F114*H116, 4)</f>
        <v/>
      </c>
      <c r="M116" s="24" t="inlineStr"/>
      <c r="N116" s="24" t="inlineStr"/>
      <c r="O116" s="1" t="inlineStr">
        <is>
          <t>Hỗ trợ ngoại nghiệp</t>
        </is>
      </c>
    </row>
    <row r="117">
      <c r="A117" s="1" t="inlineStr"/>
      <c r="B117" s="1" t="inlineStr">
        <is>
          <t>CCDC_01</t>
        </is>
      </c>
      <c r="C117" s="1" t="inlineStr">
        <is>
          <t>CCDC</t>
        </is>
      </c>
      <c r="D117" s="1" t="inlineStr">
        <is>
          <t xml:space="preserve"> - Ca dụng cụ, thiết bị nhỏ đo đạc/lấy mẫu</t>
        </is>
      </c>
      <c r="E117" s="1" t="inlineStr">
        <is>
          <t>ca</t>
        </is>
      </c>
      <c r="F117" s="1" t="inlineStr"/>
      <c r="G117" s="24" t="inlineStr"/>
      <c r="H117" s="24" t="inlineStr"/>
      <c r="I117" s="24" t="n">
        <v>0.1</v>
      </c>
      <c r="J117" s="24" t="inlineStr"/>
      <c r="K117" s="24" t="inlineStr"/>
      <c r="L117" s="24" t="inlineStr"/>
      <c r="M117" s="24">
        <f>ROUND(F114*I117, 4)</f>
        <v/>
      </c>
      <c r="N117" s="24" t="inlineStr"/>
      <c r="O117" s="1" t="inlineStr">
        <is>
          <t>Khoản 4.2 TT20</t>
        </is>
      </c>
    </row>
    <row r="118">
      <c r="A118" s="1" t="inlineStr"/>
      <c r="B118" s="1" t="inlineStr">
        <is>
          <t>CCDC_PHU</t>
        </is>
      </c>
      <c r="C118" s="1" t="inlineStr">
        <is>
          <t>CCDC_PHỤ</t>
        </is>
      </c>
      <c r="D118" s="1" t="inlineStr">
        <is>
          <t xml:space="preserve"> - Dụng cụ phụ khác (10% CCDC chính)</t>
        </is>
      </c>
      <c r="E118" s="1" t="inlineStr">
        <is>
          <t>%</t>
        </is>
      </c>
      <c r="F118" s="1" t="inlineStr"/>
      <c r="G118" s="24" t="inlineStr"/>
      <c r="H118" s="24" t="inlineStr"/>
      <c r="I118" s="24" t="n">
        <v>0.1</v>
      </c>
      <c r="J118" s="24" t="inlineStr"/>
      <c r="K118" s="24" t="inlineStr"/>
      <c r="L118" s="24" t="inlineStr"/>
      <c r="M118" s="24">
        <f>ROUND(M117*I118, 4)</f>
        <v/>
      </c>
      <c r="N118" s="24" t="inlineStr"/>
      <c r="O118" s="1" t="inlineStr">
        <is>
          <t>10% Khoản 4.2 TT20</t>
        </is>
      </c>
    </row>
    <row r="119">
      <c r="A119" s="1" t="inlineStr"/>
      <c r="B119" s="1" t="inlineStr">
        <is>
          <t>M_KHTSCD</t>
        </is>
      </c>
      <c r="C119" s="1" t="inlineStr">
        <is>
          <t>MÁY</t>
        </is>
      </c>
      <c r="D119" s="1" t="inlineStr">
        <is>
          <t xml:space="preserve"> - Khấu hao thiết bị quan trắc chuyên dụng</t>
        </is>
      </c>
      <c r="E119" s="1" t="inlineStr">
        <is>
          <t>ca</t>
        </is>
      </c>
      <c r="F119" s="1" t="inlineStr"/>
      <c r="G119" s="24" t="inlineStr"/>
      <c r="H119" s="24" t="inlineStr"/>
      <c r="I119" s="24" t="inlineStr"/>
      <c r="J119" s="24" t="n">
        <v>0.08</v>
      </c>
      <c r="K119" s="24" t="inlineStr"/>
      <c r="L119" s="24" t="inlineStr"/>
      <c r="M119" s="24" t="inlineStr"/>
      <c r="N119" s="24">
        <f>ROUND(F114*J119, 4)</f>
        <v/>
      </c>
      <c r="O119" s="1" t="inlineStr">
        <is>
          <t>TT 45/2013</t>
        </is>
      </c>
    </row>
    <row r="120">
      <c r="A120" s="1" t="inlineStr"/>
      <c r="B120" s="1" t="inlineStr">
        <is>
          <t>M_NANGLUONG</t>
        </is>
      </c>
      <c r="C120" s="1" t="inlineStr">
        <is>
          <t>ĐIỆN</t>
        </is>
      </c>
      <c r="D120" s="1" t="inlineStr">
        <is>
          <t xml:space="preserve"> - Năng lượng điện vận hành thiết bị PTN</t>
        </is>
      </c>
      <c r="E120" s="1" t="inlineStr">
        <is>
          <t>kWh</t>
        </is>
      </c>
      <c r="F120" s="1" t="inlineStr"/>
      <c r="G120" s="24" t="inlineStr"/>
      <c r="H120" s="24" t="inlineStr"/>
      <c r="I120" s="24" t="inlineStr"/>
      <c r="J120" s="24" t="n">
        <v>0.5</v>
      </c>
      <c r="K120" s="24" t="inlineStr"/>
      <c r="L120" s="24" t="inlineStr"/>
      <c r="M120" s="24" t="inlineStr"/>
      <c r="N120" s="24">
        <f>ROUND(F114*J120, 4)</f>
        <v/>
      </c>
      <c r="O120" s="1" t="inlineStr">
        <is>
          <t>Điện năng PTN</t>
        </is>
      </c>
    </row>
    <row r="121">
      <c r="A121" s="1" t="inlineStr"/>
      <c r="B121" s="1" t="inlineStr">
        <is>
          <t>VL_01</t>
        </is>
      </c>
      <c r="C121" s="1" t="inlineStr">
        <is>
          <t>VL</t>
        </is>
      </c>
      <c r="D121" s="1" t="inlineStr">
        <is>
          <t xml:space="preserve"> - Hóa chất phân tích tinh khiết, màng lọc, chuẩn</t>
        </is>
      </c>
      <c r="E121" s="1" t="inlineStr">
        <is>
          <t>bộ</t>
        </is>
      </c>
      <c r="F121" s="1" t="inlineStr"/>
      <c r="G121" s="24" t="n">
        <v>0.04</v>
      </c>
      <c r="H121" s="24" t="inlineStr"/>
      <c r="I121" s="24" t="inlineStr"/>
      <c r="J121" s="24" t="inlineStr"/>
      <c r="K121" s="24">
        <f>ROUND(F114*G121, 4)</f>
        <v/>
      </c>
      <c r="L121" s="24" t="inlineStr"/>
      <c r="M121" s="24" t="inlineStr"/>
      <c r="N121" s="24" t="inlineStr"/>
      <c r="O121" s="1" t="inlineStr">
        <is>
          <t>Khoản 4.4 TT20</t>
        </is>
      </c>
    </row>
    <row r="122">
      <c r="A122" s="1" t="inlineStr"/>
      <c r="B122" s="1" t="inlineStr">
        <is>
          <t>VL_KHAC</t>
        </is>
      </c>
      <c r="C122" s="1" t="inlineStr">
        <is>
          <t>VL_PHỤ</t>
        </is>
      </c>
      <c r="D122" s="1" t="inlineStr">
        <is>
          <t xml:space="preserve"> - Vật liệu phụ khác (8% vật liệu chính)</t>
        </is>
      </c>
      <c r="E122" s="1" t="inlineStr">
        <is>
          <t>%</t>
        </is>
      </c>
      <c r="F122" s="1" t="inlineStr"/>
      <c r="G122" s="24" t="n">
        <v>0.08</v>
      </c>
      <c r="H122" s="24" t="inlineStr"/>
      <c r="I122" s="24" t="inlineStr"/>
      <c r="J122" s="24" t="inlineStr"/>
      <c r="K122" s="24">
        <f>ROUND(K121*G122, 4)</f>
        <v/>
      </c>
      <c r="L122" s="24" t="inlineStr"/>
      <c r="M122" s="24" t="inlineStr"/>
      <c r="N122" s="24" t="inlineStr"/>
      <c r="O122" s="1" t="inlineStr">
        <is>
          <t>8% Khoản 4.4 TT20</t>
        </is>
      </c>
    </row>
    <row r="123">
      <c r="A123" s="21">
        <f>'Công trình'!A20</f>
        <v/>
      </c>
      <c r="B123" s="21">
        <f>'Công trình'!C20</f>
        <v/>
      </c>
      <c r="C123" s="21" t="inlineStr"/>
      <c r="D123" s="22">
        <f>'Công trình'!D20</f>
        <v/>
      </c>
      <c r="E123" s="21">
        <f>'Công trình'!E20</f>
        <v/>
      </c>
      <c r="F123" s="21">
        <f>'Công trình'!L20</f>
        <v/>
      </c>
      <c r="G123" s="23" t="inlineStr"/>
      <c r="H123" s="23" t="inlineStr"/>
      <c r="I123" s="23" t="inlineStr"/>
      <c r="J123" s="23" t="inlineStr"/>
      <c r="K123" s="23" t="inlineStr"/>
      <c r="L123" s="23" t="inlineStr"/>
      <c r="M123" s="23" t="inlineStr"/>
      <c r="N123" s="23" t="inlineStr"/>
      <c r="O123" s="21" t="inlineStr">
        <is>
          <t>PAKT &amp; Định mức TT20</t>
        </is>
      </c>
    </row>
    <row r="124">
      <c r="A124" s="1" t="inlineStr"/>
      <c r="B124" s="1" t="inlineStr">
        <is>
          <t>NC_LDKT</t>
        </is>
      </c>
      <c r="C124" s="1" t="inlineStr">
        <is>
          <t>LĐKT</t>
        </is>
      </c>
      <c r="D124" s="1" t="inlineStr">
        <is>
          <t xml:space="preserve"> - Kỹ sư / Kiểm định viên / Quan trắc viên</t>
        </is>
      </c>
      <c r="E124" s="1" t="inlineStr">
        <is>
          <t>công</t>
        </is>
      </c>
      <c r="F124" s="1" t="inlineStr"/>
      <c r="G124" s="24" t="inlineStr"/>
      <c r="H124" s="24" t="n">
        <v>0.176</v>
      </c>
      <c r="I124" s="24" t="inlineStr"/>
      <c r="J124" s="24" t="inlineStr"/>
      <c r="K124" s="24" t="inlineStr"/>
      <c r="L124" s="24">
        <f>ROUND(F123*H124, 4)</f>
        <v/>
      </c>
      <c r="M124" s="24" t="inlineStr"/>
      <c r="N124" s="24" t="inlineStr"/>
      <c r="O124" s="1" t="inlineStr">
        <is>
          <t>TTLT 56/2015</t>
        </is>
      </c>
    </row>
    <row r="125">
      <c r="A125" s="1" t="inlineStr"/>
      <c r="B125" s="1" t="inlineStr">
        <is>
          <t>NC_LDPT</t>
        </is>
      </c>
      <c r="C125" s="1" t="inlineStr">
        <is>
          <t>LĐPT</t>
        </is>
      </c>
      <c r="D125" s="1" t="inlineStr">
        <is>
          <t xml:space="preserve"> - Lao động phổ thông phụ việc hiện trường</t>
        </is>
      </c>
      <c r="E125" s="1" t="inlineStr">
        <is>
          <t>công</t>
        </is>
      </c>
      <c r="F125" s="1" t="inlineStr"/>
      <c r="G125" s="24" t="inlineStr"/>
      <c r="H125" s="24" t="n">
        <v>0.044</v>
      </c>
      <c r="I125" s="24" t="inlineStr"/>
      <c r="J125" s="24" t="inlineStr"/>
      <c r="K125" s="24" t="inlineStr"/>
      <c r="L125" s="24">
        <f>ROUND(F123*H125, 4)</f>
        <v/>
      </c>
      <c r="M125" s="24" t="inlineStr"/>
      <c r="N125" s="24" t="inlineStr"/>
      <c r="O125" s="1" t="inlineStr">
        <is>
          <t>Hỗ trợ ngoại nghiệp</t>
        </is>
      </c>
    </row>
    <row r="126">
      <c r="A126" s="1" t="inlineStr"/>
      <c r="B126" s="1" t="inlineStr">
        <is>
          <t>CCDC_01</t>
        </is>
      </c>
      <c r="C126" s="1" t="inlineStr">
        <is>
          <t>CCDC</t>
        </is>
      </c>
      <c r="D126" s="1" t="inlineStr">
        <is>
          <t xml:space="preserve"> - Ca dụng cụ, thiết bị nhỏ đo đạc/lấy mẫu</t>
        </is>
      </c>
      <c r="E126" s="1" t="inlineStr">
        <is>
          <t>ca</t>
        </is>
      </c>
      <c r="F126" s="1" t="inlineStr"/>
      <c r="G126" s="24" t="inlineStr"/>
      <c r="H126" s="24" t="inlineStr"/>
      <c r="I126" s="24" t="n">
        <v>0.1</v>
      </c>
      <c r="J126" s="24" t="inlineStr"/>
      <c r="K126" s="24" t="inlineStr"/>
      <c r="L126" s="24" t="inlineStr"/>
      <c r="M126" s="24">
        <f>ROUND(F123*I126, 4)</f>
        <v/>
      </c>
      <c r="N126" s="24" t="inlineStr"/>
      <c r="O126" s="1" t="inlineStr">
        <is>
          <t>Khoản 4.2 TT20</t>
        </is>
      </c>
    </row>
    <row r="127">
      <c r="A127" s="1" t="inlineStr"/>
      <c r="B127" s="1" t="inlineStr">
        <is>
          <t>CCDC_PHU</t>
        </is>
      </c>
      <c r="C127" s="1" t="inlineStr">
        <is>
          <t>CCDC_PHỤ</t>
        </is>
      </c>
      <c r="D127" s="1" t="inlineStr">
        <is>
          <t xml:space="preserve"> - Dụng cụ phụ khác (10% CCDC chính)</t>
        </is>
      </c>
      <c r="E127" s="1" t="inlineStr">
        <is>
          <t>%</t>
        </is>
      </c>
      <c r="F127" s="1" t="inlineStr"/>
      <c r="G127" s="24" t="inlineStr"/>
      <c r="H127" s="24" t="inlineStr"/>
      <c r="I127" s="24" t="n">
        <v>0.1</v>
      </c>
      <c r="J127" s="24" t="inlineStr"/>
      <c r="K127" s="24" t="inlineStr"/>
      <c r="L127" s="24" t="inlineStr"/>
      <c r="M127" s="24">
        <f>ROUND(M126*I127, 4)</f>
        <v/>
      </c>
      <c r="N127" s="24" t="inlineStr"/>
      <c r="O127" s="1" t="inlineStr">
        <is>
          <t>10% Khoản 4.2 TT20</t>
        </is>
      </c>
    </row>
    <row r="128">
      <c r="A128" s="1" t="inlineStr"/>
      <c r="B128" s="1" t="inlineStr">
        <is>
          <t>M_KHTSCD</t>
        </is>
      </c>
      <c r="C128" s="1" t="inlineStr">
        <is>
          <t>MÁY</t>
        </is>
      </c>
      <c r="D128" s="1" t="inlineStr">
        <is>
          <t xml:space="preserve"> - Khấu hao thiết bị quan trắc chuyên dụng</t>
        </is>
      </c>
      <c r="E128" s="1" t="inlineStr">
        <is>
          <t>ca</t>
        </is>
      </c>
      <c r="F128" s="1" t="inlineStr"/>
      <c r="G128" s="24" t="inlineStr"/>
      <c r="H128" s="24" t="inlineStr"/>
      <c r="I128" s="24" t="inlineStr"/>
      <c r="J128" s="24" t="n">
        <v>0.08</v>
      </c>
      <c r="K128" s="24" t="inlineStr"/>
      <c r="L128" s="24" t="inlineStr"/>
      <c r="M128" s="24" t="inlineStr"/>
      <c r="N128" s="24">
        <f>ROUND(F123*J128, 4)</f>
        <v/>
      </c>
      <c r="O128" s="1" t="inlineStr">
        <is>
          <t>TT 45/2013</t>
        </is>
      </c>
    </row>
    <row r="129">
      <c r="A129" s="1" t="inlineStr"/>
      <c r="B129" s="1" t="inlineStr">
        <is>
          <t>M_NANGLUONG</t>
        </is>
      </c>
      <c r="C129" s="1" t="inlineStr">
        <is>
          <t>ĐIỆN</t>
        </is>
      </c>
      <c r="D129" s="1" t="inlineStr">
        <is>
          <t xml:space="preserve"> - Năng lượng điện vận hành thiết bị PTN</t>
        </is>
      </c>
      <c r="E129" s="1" t="inlineStr">
        <is>
          <t>kWh</t>
        </is>
      </c>
      <c r="F129" s="1" t="inlineStr"/>
      <c r="G129" s="24" t="inlineStr"/>
      <c r="H129" s="24" t="inlineStr"/>
      <c r="I129" s="24" t="inlineStr"/>
      <c r="J129" s="24" t="n">
        <v>0.5</v>
      </c>
      <c r="K129" s="24" t="inlineStr"/>
      <c r="L129" s="24" t="inlineStr"/>
      <c r="M129" s="24" t="inlineStr"/>
      <c r="N129" s="24">
        <f>ROUND(F123*J129, 4)</f>
        <v/>
      </c>
      <c r="O129" s="1" t="inlineStr">
        <is>
          <t>Điện năng PTN</t>
        </is>
      </c>
    </row>
    <row r="130">
      <c r="A130" s="1" t="inlineStr"/>
      <c r="B130" s="1" t="inlineStr">
        <is>
          <t>VL_01</t>
        </is>
      </c>
      <c r="C130" s="1" t="inlineStr">
        <is>
          <t>VL</t>
        </is>
      </c>
      <c r="D130" s="1" t="inlineStr">
        <is>
          <t xml:space="preserve"> - Hóa chất phân tích tinh khiết, màng lọc, chuẩn</t>
        </is>
      </c>
      <c r="E130" s="1" t="inlineStr">
        <is>
          <t>bộ</t>
        </is>
      </c>
      <c r="F130" s="1" t="inlineStr"/>
      <c r="G130" s="24" t="n">
        <v>0.04</v>
      </c>
      <c r="H130" s="24" t="inlineStr"/>
      <c r="I130" s="24" t="inlineStr"/>
      <c r="J130" s="24" t="inlineStr"/>
      <c r="K130" s="24">
        <f>ROUND(F123*G130, 4)</f>
        <v/>
      </c>
      <c r="L130" s="24" t="inlineStr"/>
      <c r="M130" s="24" t="inlineStr"/>
      <c r="N130" s="24" t="inlineStr"/>
      <c r="O130" s="1" t="inlineStr">
        <is>
          <t>Khoản 4.4 TT20</t>
        </is>
      </c>
    </row>
    <row r="131">
      <c r="A131" s="1" t="inlineStr"/>
      <c r="B131" s="1" t="inlineStr">
        <is>
          <t>VL_KHAC</t>
        </is>
      </c>
      <c r="C131" s="1" t="inlineStr">
        <is>
          <t>VL_PHỤ</t>
        </is>
      </c>
      <c r="D131" s="1" t="inlineStr">
        <is>
          <t xml:space="preserve"> - Vật liệu phụ khác (8% vật liệu chính)</t>
        </is>
      </c>
      <c r="E131" s="1" t="inlineStr">
        <is>
          <t>%</t>
        </is>
      </c>
      <c r="F131" s="1" t="inlineStr"/>
      <c r="G131" s="24" t="n">
        <v>0.08</v>
      </c>
      <c r="H131" s="24" t="inlineStr"/>
      <c r="I131" s="24" t="inlineStr"/>
      <c r="J131" s="24" t="inlineStr"/>
      <c r="K131" s="24">
        <f>ROUND(K130*G131, 4)</f>
        <v/>
      </c>
      <c r="L131" s="24" t="inlineStr"/>
      <c r="M131" s="24" t="inlineStr"/>
      <c r="N131" s="24" t="inlineStr"/>
      <c r="O131" s="1" t="inlineStr">
        <is>
          <t>8% Khoản 4.4 TT20</t>
        </is>
      </c>
    </row>
    <row r="132">
      <c r="A132" s="21">
        <f>'Công trình'!A21</f>
        <v/>
      </c>
      <c r="B132" s="21">
        <f>'Công trình'!C21</f>
        <v/>
      </c>
      <c r="C132" s="21" t="inlineStr"/>
      <c r="D132" s="22">
        <f>'Công trình'!D21</f>
        <v/>
      </c>
      <c r="E132" s="21">
        <f>'Công trình'!E21</f>
        <v/>
      </c>
      <c r="F132" s="21">
        <f>'Công trình'!L21</f>
        <v/>
      </c>
      <c r="G132" s="23" t="inlineStr"/>
      <c r="H132" s="23" t="inlineStr"/>
      <c r="I132" s="23" t="inlineStr"/>
      <c r="J132" s="23" t="inlineStr"/>
      <c r="K132" s="23" t="inlineStr"/>
      <c r="L132" s="23" t="inlineStr"/>
      <c r="M132" s="23" t="inlineStr"/>
      <c r="N132" s="23" t="inlineStr"/>
      <c r="O132" s="21" t="inlineStr">
        <is>
          <t>PAKT &amp; Định mức TT20</t>
        </is>
      </c>
    </row>
    <row r="133">
      <c r="A133" s="1" t="inlineStr"/>
      <c r="B133" s="1" t="inlineStr">
        <is>
          <t>NC_LDKT</t>
        </is>
      </c>
      <c r="C133" s="1" t="inlineStr">
        <is>
          <t>LĐKT</t>
        </is>
      </c>
      <c r="D133" s="1" t="inlineStr">
        <is>
          <t xml:space="preserve"> - Kỹ sư / Kiểm định viên / Quan trắc viên</t>
        </is>
      </c>
      <c r="E133" s="1" t="inlineStr">
        <is>
          <t>công</t>
        </is>
      </c>
      <c r="F133" s="1" t="inlineStr"/>
      <c r="G133" s="24" t="inlineStr"/>
      <c r="H133" s="24" t="n">
        <v>0.176</v>
      </c>
      <c r="I133" s="24" t="inlineStr"/>
      <c r="J133" s="24" t="inlineStr"/>
      <c r="K133" s="24" t="inlineStr"/>
      <c r="L133" s="24">
        <f>ROUND(F132*H133, 4)</f>
        <v/>
      </c>
      <c r="M133" s="24" t="inlineStr"/>
      <c r="N133" s="24" t="inlineStr"/>
      <c r="O133" s="1" t="inlineStr">
        <is>
          <t>TTLT 56/2015</t>
        </is>
      </c>
    </row>
    <row r="134">
      <c r="A134" s="1" t="inlineStr"/>
      <c r="B134" s="1" t="inlineStr">
        <is>
          <t>NC_LDPT</t>
        </is>
      </c>
      <c r="C134" s="1" t="inlineStr">
        <is>
          <t>LĐPT</t>
        </is>
      </c>
      <c r="D134" s="1" t="inlineStr">
        <is>
          <t xml:space="preserve"> - Lao động phổ thông phụ việc hiện trường</t>
        </is>
      </c>
      <c r="E134" s="1" t="inlineStr">
        <is>
          <t>công</t>
        </is>
      </c>
      <c r="F134" s="1" t="inlineStr"/>
      <c r="G134" s="24" t="inlineStr"/>
      <c r="H134" s="24" t="n">
        <v>0.044</v>
      </c>
      <c r="I134" s="24" t="inlineStr"/>
      <c r="J134" s="24" t="inlineStr"/>
      <c r="K134" s="24" t="inlineStr"/>
      <c r="L134" s="24">
        <f>ROUND(F132*H134, 4)</f>
        <v/>
      </c>
      <c r="M134" s="24" t="inlineStr"/>
      <c r="N134" s="24" t="inlineStr"/>
      <c r="O134" s="1" t="inlineStr">
        <is>
          <t>Hỗ trợ ngoại nghiệp</t>
        </is>
      </c>
    </row>
    <row r="135">
      <c r="A135" s="1" t="inlineStr"/>
      <c r="B135" s="1" t="inlineStr">
        <is>
          <t>CCDC_01</t>
        </is>
      </c>
      <c r="C135" s="1" t="inlineStr">
        <is>
          <t>CCDC</t>
        </is>
      </c>
      <c r="D135" s="1" t="inlineStr">
        <is>
          <t xml:space="preserve"> - Ca dụng cụ, thiết bị nhỏ đo đạc/lấy mẫu</t>
        </is>
      </c>
      <c r="E135" s="1" t="inlineStr">
        <is>
          <t>ca</t>
        </is>
      </c>
      <c r="F135" s="1" t="inlineStr"/>
      <c r="G135" s="24" t="inlineStr"/>
      <c r="H135" s="24" t="inlineStr"/>
      <c r="I135" s="24" t="n">
        <v>0.1</v>
      </c>
      <c r="J135" s="24" t="inlineStr"/>
      <c r="K135" s="24" t="inlineStr"/>
      <c r="L135" s="24" t="inlineStr"/>
      <c r="M135" s="24">
        <f>ROUND(F132*I135, 4)</f>
        <v/>
      </c>
      <c r="N135" s="24" t="inlineStr"/>
      <c r="O135" s="1" t="inlineStr">
        <is>
          <t>Khoản 4.2 TT20</t>
        </is>
      </c>
    </row>
    <row r="136">
      <c r="A136" s="1" t="inlineStr"/>
      <c r="B136" s="1" t="inlineStr">
        <is>
          <t>CCDC_PHU</t>
        </is>
      </c>
      <c r="C136" s="1" t="inlineStr">
        <is>
          <t>CCDC_PHỤ</t>
        </is>
      </c>
      <c r="D136" s="1" t="inlineStr">
        <is>
          <t xml:space="preserve"> - Dụng cụ phụ khác (10% CCDC chính)</t>
        </is>
      </c>
      <c r="E136" s="1" t="inlineStr">
        <is>
          <t>%</t>
        </is>
      </c>
      <c r="F136" s="1" t="inlineStr"/>
      <c r="G136" s="24" t="inlineStr"/>
      <c r="H136" s="24" t="inlineStr"/>
      <c r="I136" s="24" t="n">
        <v>0.1</v>
      </c>
      <c r="J136" s="24" t="inlineStr"/>
      <c r="K136" s="24" t="inlineStr"/>
      <c r="L136" s="24" t="inlineStr"/>
      <c r="M136" s="24">
        <f>ROUND(M135*I136, 4)</f>
        <v/>
      </c>
      <c r="N136" s="24" t="inlineStr"/>
      <c r="O136" s="1" t="inlineStr">
        <is>
          <t>10% Khoản 4.2 TT20</t>
        </is>
      </c>
    </row>
    <row r="137">
      <c r="A137" s="1" t="inlineStr"/>
      <c r="B137" s="1" t="inlineStr">
        <is>
          <t>M_KHTSCD</t>
        </is>
      </c>
      <c r="C137" s="1" t="inlineStr">
        <is>
          <t>MÁY</t>
        </is>
      </c>
      <c r="D137" s="1" t="inlineStr">
        <is>
          <t xml:space="preserve"> - Khấu hao thiết bị quan trắc chuyên dụng</t>
        </is>
      </c>
      <c r="E137" s="1" t="inlineStr">
        <is>
          <t>ca</t>
        </is>
      </c>
      <c r="F137" s="1" t="inlineStr"/>
      <c r="G137" s="24" t="inlineStr"/>
      <c r="H137" s="24" t="inlineStr"/>
      <c r="I137" s="24" t="inlineStr"/>
      <c r="J137" s="24" t="n">
        <v>0.08</v>
      </c>
      <c r="K137" s="24" t="inlineStr"/>
      <c r="L137" s="24" t="inlineStr"/>
      <c r="M137" s="24" t="inlineStr"/>
      <c r="N137" s="24">
        <f>ROUND(F132*J137, 4)</f>
        <v/>
      </c>
      <c r="O137" s="1" t="inlineStr">
        <is>
          <t>TT 45/2013</t>
        </is>
      </c>
    </row>
    <row r="138">
      <c r="A138" s="1" t="inlineStr"/>
      <c r="B138" s="1" t="inlineStr">
        <is>
          <t>M_NANGLUONG</t>
        </is>
      </c>
      <c r="C138" s="1" t="inlineStr">
        <is>
          <t>ĐIỆN</t>
        </is>
      </c>
      <c r="D138" s="1" t="inlineStr">
        <is>
          <t xml:space="preserve"> - Năng lượng điện vận hành thiết bị PTN</t>
        </is>
      </c>
      <c r="E138" s="1" t="inlineStr">
        <is>
          <t>kWh</t>
        </is>
      </c>
      <c r="F138" s="1" t="inlineStr"/>
      <c r="G138" s="24" t="inlineStr"/>
      <c r="H138" s="24" t="inlineStr"/>
      <c r="I138" s="24" t="inlineStr"/>
      <c r="J138" s="24" t="n">
        <v>0.5</v>
      </c>
      <c r="K138" s="24" t="inlineStr"/>
      <c r="L138" s="24" t="inlineStr"/>
      <c r="M138" s="24" t="inlineStr"/>
      <c r="N138" s="24">
        <f>ROUND(F132*J138, 4)</f>
        <v/>
      </c>
      <c r="O138" s="1" t="inlineStr">
        <is>
          <t>Điện năng PTN</t>
        </is>
      </c>
    </row>
    <row r="139">
      <c r="A139" s="1" t="inlineStr"/>
      <c r="B139" s="1" t="inlineStr">
        <is>
          <t>VL_01</t>
        </is>
      </c>
      <c r="C139" s="1" t="inlineStr">
        <is>
          <t>VL</t>
        </is>
      </c>
      <c r="D139" s="1" t="inlineStr">
        <is>
          <t xml:space="preserve"> - Hóa chất phân tích tinh khiết, màng lọc, chuẩn</t>
        </is>
      </c>
      <c r="E139" s="1" t="inlineStr">
        <is>
          <t>bộ</t>
        </is>
      </c>
      <c r="F139" s="1" t="inlineStr"/>
      <c r="G139" s="24" t="n">
        <v>0.04</v>
      </c>
      <c r="H139" s="24" t="inlineStr"/>
      <c r="I139" s="24" t="inlineStr"/>
      <c r="J139" s="24" t="inlineStr"/>
      <c r="K139" s="24">
        <f>ROUND(F132*G139, 4)</f>
        <v/>
      </c>
      <c r="L139" s="24" t="inlineStr"/>
      <c r="M139" s="24" t="inlineStr"/>
      <c r="N139" s="24" t="inlineStr"/>
      <c r="O139" s="1" t="inlineStr">
        <is>
          <t>Khoản 4.4 TT20</t>
        </is>
      </c>
    </row>
    <row r="140">
      <c r="A140" s="1" t="inlineStr"/>
      <c r="B140" s="1" t="inlineStr">
        <is>
          <t>VL_KHAC</t>
        </is>
      </c>
      <c r="C140" s="1" t="inlineStr">
        <is>
          <t>VL_PHỤ</t>
        </is>
      </c>
      <c r="D140" s="1" t="inlineStr">
        <is>
          <t xml:space="preserve"> - Vật liệu phụ khác (8% vật liệu chính)</t>
        </is>
      </c>
      <c r="E140" s="1" t="inlineStr">
        <is>
          <t>%</t>
        </is>
      </c>
      <c r="F140" s="1" t="inlineStr"/>
      <c r="G140" s="24" t="n">
        <v>0.08</v>
      </c>
      <c r="H140" s="24" t="inlineStr"/>
      <c r="I140" s="24" t="inlineStr"/>
      <c r="J140" s="24" t="inlineStr"/>
      <c r="K140" s="24">
        <f>ROUND(K139*G140, 4)</f>
        <v/>
      </c>
      <c r="L140" s="24" t="inlineStr"/>
      <c r="M140" s="24" t="inlineStr"/>
      <c r="N140" s="24" t="inlineStr"/>
      <c r="O140" s="1" t="inlineStr">
        <is>
          <t>8% Khoản 4.4 TT20</t>
        </is>
      </c>
    </row>
    <row r="141">
      <c r="A141" s="21">
        <f>'Công trình'!A22</f>
        <v/>
      </c>
      <c r="B141" s="21">
        <f>'Công trình'!C22</f>
        <v/>
      </c>
      <c r="C141" s="21" t="inlineStr"/>
      <c r="D141" s="22">
        <f>'Công trình'!D22</f>
        <v/>
      </c>
      <c r="E141" s="21">
        <f>'Công trình'!E22</f>
        <v/>
      </c>
      <c r="F141" s="21">
        <f>'Công trình'!L22</f>
        <v/>
      </c>
      <c r="G141" s="23" t="inlineStr"/>
      <c r="H141" s="23" t="inlineStr"/>
      <c r="I141" s="23" t="inlineStr"/>
      <c r="J141" s="23" t="inlineStr"/>
      <c r="K141" s="23" t="inlineStr"/>
      <c r="L141" s="23" t="inlineStr"/>
      <c r="M141" s="23" t="inlineStr"/>
      <c r="N141" s="23" t="inlineStr"/>
      <c r="O141" s="21" t="inlineStr">
        <is>
          <t>PAKT &amp; Định mức TT20</t>
        </is>
      </c>
    </row>
    <row r="142">
      <c r="A142" s="1" t="inlineStr"/>
      <c r="B142" s="1" t="inlineStr">
        <is>
          <t>NC_LDKT</t>
        </is>
      </c>
      <c r="C142" s="1" t="inlineStr">
        <is>
          <t>LĐKT</t>
        </is>
      </c>
      <c r="D142" s="1" t="inlineStr">
        <is>
          <t xml:space="preserve"> - Kỹ sư / Kiểm định viên / Quan trắc viên</t>
        </is>
      </c>
      <c r="E142" s="1" t="inlineStr">
        <is>
          <t>công</t>
        </is>
      </c>
      <c r="F142" s="1" t="inlineStr"/>
      <c r="G142" s="24" t="inlineStr"/>
      <c r="H142" s="24" t="n">
        <v>0.176</v>
      </c>
      <c r="I142" s="24" t="inlineStr"/>
      <c r="J142" s="24" t="inlineStr"/>
      <c r="K142" s="24" t="inlineStr"/>
      <c r="L142" s="24">
        <f>ROUND(F141*H142, 4)</f>
        <v/>
      </c>
      <c r="M142" s="24" t="inlineStr"/>
      <c r="N142" s="24" t="inlineStr"/>
      <c r="O142" s="1" t="inlineStr">
        <is>
          <t>TTLT 56/2015</t>
        </is>
      </c>
    </row>
    <row r="143">
      <c r="A143" s="1" t="inlineStr"/>
      <c r="B143" s="1" t="inlineStr">
        <is>
          <t>NC_LDPT</t>
        </is>
      </c>
      <c r="C143" s="1" t="inlineStr">
        <is>
          <t>LĐPT</t>
        </is>
      </c>
      <c r="D143" s="1" t="inlineStr">
        <is>
          <t xml:space="preserve"> - Lao động phổ thông phụ việc hiện trường</t>
        </is>
      </c>
      <c r="E143" s="1" t="inlineStr">
        <is>
          <t>công</t>
        </is>
      </c>
      <c r="F143" s="1" t="inlineStr"/>
      <c r="G143" s="24" t="inlineStr"/>
      <c r="H143" s="24" t="n">
        <v>0.044</v>
      </c>
      <c r="I143" s="24" t="inlineStr"/>
      <c r="J143" s="24" t="inlineStr"/>
      <c r="K143" s="24" t="inlineStr"/>
      <c r="L143" s="24">
        <f>ROUND(F141*H143, 4)</f>
        <v/>
      </c>
      <c r="M143" s="24" t="inlineStr"/>
      <c r="N143" s="24" t="inlineStr"/>
      <c r="O143" s="1" t="inlineStr">
        <is>
          <t>Hỗ trợ ngoại nghiệp</t>
        </is>
      </c>
    </row>
    <row r="144">
      <c r="A144" s="1" t="inlineStr"/>
      <c r="B144" s="1" t="inlineStr">
        <is>
          <t>CCDC_01</t>
        </is>
      </c>
      <c r="C144" s="1" t="inlineStr">
        <is>
          <t>CCDC</t>
        </is>
      </c>
      <c r="D144" s="1" t="inlineStr">
        <is>
          <t xml:space="preserve"> - Ca dụng cụ, thiết bị nhỏ đo đạc/lấy mẫu</t>
        </is>
      </c>
      <c r="E144" s="1" t="inlineStr">
        <is>
          <t>ca</t>
        </is>
      </c>
      <c r="F144" s="1" t="inlineStr"/>
      <c r="G144" s="24" t="inlineStr"/>
      <c r="H144" s="24" t="inlineStr"/>
      <c r="I144" s="24" t="n">
        <v>0.1</v>
      </c>
      <c r="J144" s="24" t="inlineStr"/>
      <c r="K144" s="24" t="inlineStr"/>
      <c r="L144" s="24" t="inlineStr"/>
      <c r="M144" s="24">
        <f>ROUND(F141*I144, 4)</f>
        <v/>
      </c>
      <c r="N144" s="24" t="inlineStr"/>
      <c r="O144" s="1" t="inlineStr">
        <is>
          <t>Khoản 4.2 TT20</t>
        </is>
      </c>
    </row>
    <row r="145">
      <c r="A145" s="1" t="inlineStr"/>
      <c r="B145" s="1" t="inlineStr">
        <is>
          <t>CCDC_PHU</t>
        </is>
      </c>
      <c r="C145" s="1" t="inlineStr">
        <is>
          <t>CCDC_PHỤ</t>
        </is>
      </c>
      <c r="D145" s="1" t="inlineStr">
        <is>
          <t xml:space="preserve"> - Dụng cụ phụ khác (10% CCDC chính)</t>
        </is>
      </c>
      <c r="E145" s="1" t="inlineStr">
        <is>
          <t>%</t>
        </is>
      </c>
      <c r="F145" s="1" t="inlineStr"/>
      <c r="G145" s="24" t="inlineStr"/>
      <c r="H145" s="24" t="inlineStr"/>
      <c r="I145" s="24" t="n">
        <v>0.1</v>
      </c>
      <c r="J145" s="24" t="inlineStr"/>
      <c r="K145" s="24" t="inlineStr"/>
      <c r="L145" s="24" t="inlineStr"/>
      <c r="M145" s="24">
        <f>ROUND(M144*I145, 4)</f>
        <v/>
      </c>
      <c r="N145" s="24" t="inlineStr"/>
      <c r="O145" s="1" t="inlineStr">
        <is>
          <t>10% Khoản 4.2 TT20</t>
        </is>
      </c>
    </row>
    <row r="146">
      <c r="A146" s="1" t="inlineStr"/>
      <c r="B146" s="1" t="inlineStr">
        <is>
          <t>M_KHTSCD</t>
        </is>
      </c>
      <c r="C146" s="1" t="inlineStr">
        <is>
          <t>MÁY</t>
        </is>
      </c>
      <c r="D146" s="1" t="inlineStr">
        <is>
          <t xml:space="preserve"> - Khấu hao thiết bị quan trắc chuyên dụng</t>
        </is>
      </c>
      <c r="E146" s="1" t="inlineStr">
        <is>
          <t>ca</t>
        </is>
      </c>
      <c r="F146" s="1" t="inlineStr"/>
      <c r="G146" s="24" t="inlineStr"/>
      <c r="H146" s="24" t="inlineStr"/>
      <c r="I146" s="24" t="inlineStr"/>
      <c r="J146" s="24" t="n">
        <v>0.08</v>
      </c>
      <c r="K146" s="24" t="inlineStr"/>
      <c r="L146" s="24" t="inlineStr"/>
      <c r="M146" s="24" t="inlineStr"/>
      <c r="N146" s="24">
        <f>ROUND(F141*J146, 4)</f>
        <v/>
      </c>
      <c r="O146" s="1" t="inlineStr">
        <is>
          <t>TT 45/2013</t>
        </is>
      </c>
    </row>
    <row r="147">
      <c r="A147" s="1" t="inlineStr"/>
      <c r="B147" s="1" t="inlineStr">
        <is>
          <t>M_NANGLUONG</t>
        </is>
      </c>
      <c r="C147" s="1" t="inlineStr">
        <is>
          <t>ĐIỆN</t>
        </is>
      </c>
      <c r="D147" s="1" t="inlineStr">
        <is>
          <t xml:space="preserve"> - Năng lượng điện vận hành thiết bị PTN</t>
        </is>
      </c>
      <c r="E147" s="1" t="inlineStr">
        <is>
          <t>kWh</t>
        </is>
      </c>
      <c r="F147" s="1" t="inlineStr"/>
      <c r="G147" s="24" t="inlineStr"/>
      <c r="H147" s="24" t="inlineStr"/>
      <c r="I147" s="24" t="inlineStr"/>
      <c r="J147" s="24" t="n">
        <v>0.5</v>
      </c>
      <c r="K147" s="24" t="inlineStr"/>
      <c r="L147" s="24" t="inlineStr"/>
      <c r="M147" s="24" t="inlineStr"/>
      <c r="N147" s="24">
        <f>ROUND(F141*J147, 4)</f>
        <v/>
      </c>
      <c r="O147" s="1" t="inlineStr">
        <is>
          <t>Điện năng PTN</t>
        </is>
      </c>
    </row>
    <row r="148">
      <c r="A148" s="1" t="inlineStr"/>
      <c r="B148" s="1" t="inlineStr">
        <is>
          <t>VL_01</t>
        </is>
      </c>
      <c r="C148" s="1" t="inlineStr">
        <is>
          <t>VL</t>
        </is>
      </c>
      <c r="D148" s="1" t="inlineStr">
        <is>
          <t xml:space="preserve"> - Hóa chất phân tích tinh khiết, màng lọc, chuẩn</t>
        </is>
      </c>
      <c r="E148" s="1" t="inlineStr">
        <is>
          <t>bộ</t>
        </is>
      </c>
      <c r="F148" s="1" t="inlineStr"/>
      <c r="G148" s="24" t="n">
        <v>0.04</v>
      </c>
      <c r="H148" s="24" t="inlineStr"/>
      <c r="I148" s="24" t="inlineStr"/>
      <c r="J148" s="24" t="inlineStr"/>
      <c r="K148" s="24">
        <f>ROUND(F141*G148, 4)</f>
        <v/>
      </c>
      <c r="L148" s="24" t="inlineStr"/>
      <c r="M148" s="24" t="inlineStr"/>
      <c r="N148" s="24" t="inlineStr"/>
      <c r="O148" s="1" t="inlineStr">
        <is>
          <t>Khoản 4.4 TT20</t>
        </is>
      </c>
    </row>
    <row r="149">
      <c r="A149" s="1" t="inlineStr"/>
      <c r="B149" s="1" t="inlineStr">
        <is>
          <t>VL_KHAC</t>
        </is>
      </c>
      <c r="C149" s="1" t="inlineStr">
        <is>
          <t>VL_PHỤ</t>
        </is>
      </c>
      <c r="D149" s="1" t="inlineStr">
        <is>
          <t xml:space="preserve"> - Vật liệu phụ khác (8% vật liệu chính)</t>
        </is>
      </c>
      <c r="E149" s="1" t="inlineStr">
        <is>
          <t>%</t>
        </is>
      </c>
      <c r="F149" s="1" t="inlineStr"/>
      <c r="G149" s="24" t="n">
        <v>0.08</v>
      </c>
      <c r="H149" s="24" t="inlineStr"/>
      <c r="I149" s="24" t="inlineStr"/>
      <c r="J149" s="24" t="inlineStr"/>
      <c r="K149" s="24">
        <f>ROUND(K148*G149, 4)</f>
        <v/>
      </c>
      <c r="L149" s="24" t="inlineStr"/>
      <c r="M149" s="24" t="inlineStr"/>
      <c r="N149" s="24" t="inlineStr"/>
      <c r="O149" s="1" t="inlineStr">
        <is>
          <t>8% Khoản 4.4 TT20</t>
        </is>
      </c>
    </row>
    <row r="150">
      <c r="A150" s="21">
        <f>'Công trình'!A23</f>
        <v/>
      </c>
      <c r="B150" s="21">
        <f>'Công trình'!C23</f>
        <v/>
      </c>
      <c r="C150" s="21" t="inlineStr"/>
      <c r="D150" s="22">
        <f>'Công trình'!D23</f>
        <v/>
      </c>
      <c r="E150" s="21">
        <f>'Công trình'!E23</f>
        <v/>
      </c>
      <c r="F150" s="21">
        <f>'Công trình'!L23</f>
        <v/>
      </c>
      <c r="G150" s="23" t="inlineStr"/>
      <c r="H150" s="23" t="inlineStr"/>
      <c r="I150" s="23" t="inlineStr"/>
      <c r="J150" s="23" t="inlineStr"/>
      <c r="K150" s="23" t="inlineStr"/>
      <c r="L150" s="23" t="inlineStr"/>
      <c r="M150" s="23" t="inlineStr"/>
      <c r="N150" s="23" t="inlineStr"/>
      <c r="O150" s="21" t="inlineStr">
        <is>
          <t>PAKT &amp; Định mức TT20</t>
        </is>
      </c>
    </row>
    <row r="151">
      <c r="A151" s="1" t="inlineStr"/>
      <c r="B151" s="1" t="inlineStr">
        <is>
          <t>NC_LDKT</t>
        </is>
      </c>
      <c r="C151" s="1" t="inlineStr">
        <is>
          <t>LĐKT</t>
        </is>
      </c>
      <c r="D151" s="1" t="inlineStr">
        <is>
          <t xml:space="preserve"> - Kỹ sư / Kiểm định viên / Quan trắc viên</t>
        </is>
      </c>
      <c r="E151" s="1" t="inlineStr">
        <is>
          <t>công</t>
        </is>
      </c>
      <c r="F151" s="1" t="inlineStr"/>
      <c r="G151" s="24" t="inlineStr"/>
      <c r="H151" s="24" t="n">
        <v>0.176</v>
      </c>
      <c r="I151" s="24" t="inlineStr"/>
      <c r="J151" s="24" t="inlineStr"/>
      <c r="K151" s="24" t="inlineStr"/>
      <c r="L151" s="24">
        <f>ROUND(F150*H151, 4)</f>
        <v/>
      </c>
      <c r="M151" s="24" t="inlineStr"/>
      <c r="N151" s="24" t="inlineStr"/>
      <c r="O151" s="1" t="inlineStr">
        <is>
          <t>TTLT 56/2015</t>
        </is>
      </c>
    </row>
    <row r="152">
      <c r="A152" s="1" t="inlineStr"/>
      <c r="B152" s="1" t="inlineStr">
        <is>
          <t>NC_LDPT</t>
        </is>
      </c>
      <c r="C152" s="1" t="inlineStr">
        <is>
          <t>LĐPT</t>
        </is>
      </c>
      <c r="D152" s="1" t="inlineStr">
        <is>
          <t xml:space="preserve"> - Lao động phổ thông phụ việc hiện trường</t>
        </is>
      </c>
      <c r="E152" s="1" t="inlineStr">
        <is>
          <t>công</t>
        </is>
      </c>
      <c r="F152" s="1" t="inlineStr"/>
      <c r="G152" s="24" t="inlineStr"/>
      <c r="H152" s="24" t="n">
        <v>0.044</v>
      </c>
      <c r="I152" s="24" t="inlineStr"/>
      <c r="J152" s="24" t="inlineStr"/>
      <c r="K152" s="24" t="inlineStr"/>
      <c r="L152" s="24">
        <f>ROUND(F150*H152, 4)</f>
        <v/>
      </c>
      <c r="M152" s="24" t="inlineStr"/>
      <c r="N152" s="24" t="inlineStr"/>
      <c r="O152" s="1" t="inlineStr">
        <is>
          <t>Hỗ trợ ngoại nghiệp</t>
        </is>
      </c>
    </row>
    <row r="153">
      <c r="A153" s="1" t="inlineStr"/>
      <c r="B153" s="1" t="inlineStr">
        <is>
          <t>CCDC_01</t>
        </is>
      </c>
      <c r="C153" s="1" t="inlineStr">
        <is>
          <t>CCDC</t>
        </is>
      </c>
      <c r="D153" s="1" t="inlineStr">
        <is>
          <t xml:space="preserve"> - Ca dụng cụ, thiết bị nhỏ đo đạc/lấy mẫu</t>
        </is>
      </c>
      <c r="E153" s="1" t="inlineStr">
        <is>
          <t>ca</t>
        </is>
      </c>
      <c r="F153" s="1" t="inlineStr"/>
      <c r="G153" s="24" t="inlineStr"/>
      <c r="H153" s="24" t="inlineStr"/>
      <c r="I153" s="24" t="n">
        <v>0.1</v>
      </c>
      <c r="J153" s="24" t="inlineStr"/>
      <c r="K153" s="24" t="inlineStr"/>
      <c r="L153" s="24" t="inlineStr"/>
      <c r="M153" s="24">
        <f>ROUND(F150*I153, 4)</f>
        <v/>
      </c>
      <c r="N153" s="24" t="inlineStr"/>
      <c r="O153" s="1" t="inlineStr">
        <is>
          <t>Khoản 4.2 TT20</t>
        </is>
      </c>
    </row>
    <row r="154">
      <c r="A154" s="1" t="inlineStr"/>
      <c r="B154" s="1" t="inlineStr">
        <is>
          <t>CCDC_PHU</t>
        </is>
      </c>
      <c r="C154" s="1" t="inlineStr">
        <is>
          <t>CCDC_PHỤ</t>
        </is>
      </c>
      <c r="D154" s="1" t="inlineStr">
        <is>
          <t xml:space="preserve"> - Dụng cụ phụ khác (10% CCDC chính)</t>
        </is>
      </c>
      <c r="E154" s="1" t="inlineStr">
        <is>
          <t>%</t>
        </is>
      </c>
      <c r="F154" s="1" t="inlineStr"/>
      <c r="G154" s="24" t="inlineStr"/>
      <c r="H154" s="24" t="inlineStr"/>
      <c r="I154" s="24" t="n">
        <v>0.1</v>
      </c>
      <c r="J154" s="24" t="inlineStr"/>
      <c r="K154" s="24" t="inlineStr"/>
      <c r="L154" s="24" t="inlineStr"/>
      <c r="M154" s="24">
        <f>ROUND(M153*I154, 4)</f>
        <v/>
      </c>
      <c r="N154" s="24" t="inlineStr"/>
      <c r="O154" s="1" t="inlineStr">
        <is>
          <t>10% Khoản 4.2 TT20</t>
        </is>
      </c>
    </row>
    <row r="155">
      <c r="A155" s="1" t="inlineStr"/>
      <c r="B155" s="1" t="inlineStr">
        <is>
          <t>M_KHTSCD</t>
        </is>
      </c>
      <c r="C155" s="1" t="inlineStr">
        <is>
          <t>MÁY</t>
        </is>
      </c>
      <c r="D155" s="1" t="inlineStr">
        <is>
          <t xml:space="preserve"> - Khấu hao thiết bị quan trắc chuyên dụng</t>
        </is>
      </c>
      <c r="E155" s="1" t="inlineStr">
        <is>
          <t>ca</t>
        </is>
      </c>
      <c r="F155" s="1" t="inlineStr"/>
      <c r="G155" s="24" t="inlineStr"/>
      <c r="H155" s="24" t="inlineStr"/>
      <c r="I155" s="24" t="inlineStr"/>
      <c r="J155" s="24" t="n">
        <v>0.08</v>
      </c>
      <c r="K155" s="24" t="inlineStr"/>
      <c r="L155" s="24" t="inlineStr"/>
      <c r="M155" s="24" t="inlineStr"/>
      <c r="N155" s="24">
        <f>ROUND(F150*J155, 4)</f>
        <v/>
      </c>
      <c r="O155" s="1" t="inlineStr">
        <is>
          <t>TT 45/2013</t>
        </is>
      </c>
    </row>
    <row r="156">
      <c r="A156" s="1" t="inlineStr"/>
      <c r="B156" s="1" t="inlineStr">
        <is>
          <t>M_NANGLUONG</t>
        </is>
      </c>
      <c r="C156" s="1" t="inlineStr">
        <is>
          <t>ĐIỆN</t>
        </is>
      </c>
      <c r="D156" s="1" t="inlineStr">
        <is>
          <t xml:space="preserve"> - Năng lượng điện vận hành thiết bị PTN</t>
        </is>
      </c>
      <c r="E156" s="1" t="inlineStr">
        <is>
          <t>kWh</t>
        </is>
      </c>
      <c r="F156" s="1" t="inlineStr"/>
      <c r="G156" s="24" t="inlineStr"/>
      <c r="H156" s="24" t="inlineStr"/>
      <c r="I156" s="24" t="inlineStr"/>
      <c r="J156" s="24" t="n">
        <v>0.5</v>
      </c>
      <c r="K156" s="24" t="inlineStr"/>
      <c r="L156" s="24" t="inlineStr"/>
      <c r="M156" s="24" t="inlineStr"/>
      <c r="N156" s="24">
        <f>ROUND(F150*J156, 4)</f>
        <v/>
      </c>
      <c r="O156" s="1" t="inlineStr">
        <is>
          <t>Điện năng PTN</t>
        </is>
      </c>
    </row>
    <row r="157">
      <c r="A157" s="1" t="inlineStr"/>
      <c r="B157" s="1" t="inlineStr">
        <is>
          <t>VL_01</t>
        </is>
      </c>
      <c r="C157" s="1" t="inlineStr">
        <is>
          <t>VL</t>
        </is>
      </c>
      <c r="D157" s="1" t="inlineStr">
        <is>
          <t xml:space="preserve"> - Hóa chất phân tích tinh khiết, màng lọc, chuẩn</t>
        </is>
      </c>
      <c r="E157" s="1" t="inlineStr">
        <is>
          <t>bộ</t>
        </is>
      </c>
      <c r="F157" s="1" t="inlineStr"/>
      <c r="G157" s="24" t="n">
        <v>0.04</v>
      </c>
      <c r="H157" s="24" t="inlineStr"/>
      <c r="I157" s="24" t="inlineStr"/>
      <c r="J157" s="24" t="inlineStr"/>
      <c r="K157" s="24">
        <f>ROUND(F150*G157, 4)</f>
        <v/>
      </c>
      <c r="L157" s="24" t="inlineStr"/>
      <c r="M157" s="24" t="inlineStr"/>
      <c r="N157" s="24" t="inlineStr"/>
      <c r="O157" s="1" t="inlineStr">
        <is>
          <t>Khoản 4.4 TT20</t>
        </is>
      </c>
    </row>
    <row r="158">
      <c r="A158" s="1" t="inlineStr"/>
      <c r="B158" s="1" t="inlineStr">
        <is>
          <t>VL_KHAC</t>
        </is>
      </c>
      <c r="C158" s="1" t="inlineStr">
        <is>
          <t>VL_PHỤ</t>
        </is>
      </c>
      <c r="D158" s="1" t="inlineStr">
        <is>
          <t xml:space="preserve"> - Vật liệu phụ khác (8% vật liệu chính)</t>
        </is>
      </c>
      <c r="E158" s="1" t="inlineStr">
        <is>
          <t>%</t>
        </is>
      </c>
      <c r="F158" s="1" t="inlineStr"/>
      <c r="G158" s="24" t="n">
        <v>0.08</v>
      </c>
      <c r="H158" s="24" t="inlineStr"/>
      <c r="I158" s="24" t="inlineStr"/>
      <c r="J158" s="24" t="inlineStr"/>
      <c r="K158" s="24">
        <f>ROUND(K157*G158, 4)</f>
        <v/>
      </c>
      <c r="L158" s="24" t="inlineStr"/>
      <c r="M158" s="24" t="inlineStr"/>
      <c r="N158" s="24" t="inlineStr"/>
      <c r="O158" s="1" t="inlineStr">
        <is>
          <t>8% Khoản 4.4 TT20</t>
        </is>
      </c>
    </row>
    <row r="159">
      <c r="A159" s="21">
        <f>'Công trình'!A24</f>
        <v/>
      </c>
      <c r="B159" s="21">
        <f>'Công trình'!C24</f>
        <v/>
      </c>
      <c r="C159" s="21" t="inlineStr"/>
      <c r="D159" s="22">
        <f>'Công trình'!D24</f>
        <v/>
      </c>
      <c r="E159" s="21">
        <f>'Công trình'!E24</f>
        <v/>
      </c>
      <c r="F159" s="21">
        <f>'Công trình'!L24</f>
        <v/>
      </c>
      <c r="G159" s="23" t="inlineStr"/>
      <c r="H159" s="23" t="inlineStr"/>
      <c r="I159" s="23" t="inlineStr"/>
      <c r="J159" s="23" t="inlineStr"/>
      <c r="K159" s="23" t="inlineStr"/>
      <c r="L159" s="23" t="inlineStr"/>
      <c r="M159" s="23" t="inlineStr"/>
      <c r="N159" s="23" t="inlineStr"/>
      <c r="O159" s="21" t="inlineStr">
        <is>
          <t>PAKT &amp; Định mức TT20</t>
        </is>
      </c>
    </row>
    <row r="160">
      <c r="A160" s="1" t="inlineStr"/>
      <c r="B160" s="1" t="inlineStr">
        <is>
          <t>NC_LDKT</t>
        </is>
      </c>
      <c r="C160" s="1" t="inlineStr">
        <is>
          <t>LĐKT</t>
        </is>
      </c>
      <c r="D160" s="1" t="inlineStr">
        <is>
          <t xml:space="preserve"> - Kỹ sư / Kiểm định viên / Quan trắc viên</t>
        </is>
      </c>
      <c r="E160" s="1" t="inlineStr">
        <is>
          <t>công</t>
        </is>
      </c>
      <c r="F160" s="1" t="inlineStr"/>
      <c r="G160" s="24" t="inlineStr"/>
      <c r="H160" s="24" t="n">
        <v>0.176</v>
      </c>
      <c r="I160" s="24" t="inlineStr"/>
      <c r="J160" s="24" t="inlineStr"/>
      <c r="K160" s="24" t="inlineStr"/>
      <c r="L160" s="24">
        <f>ROUND(F159*H160, 4)</f>
        <v/>
      </c>
      <c r="M160" s="24" t="inlineStr"/>
      <c r="N160" s="24" t="inlineStr"/>
      <c r="O160" s="1" t="inlineStr">
        <is>
          <t>TTLT 56/2015</t>
        </is>
      </c>
    </row>
    <row r="161">
      <c r="A161" s="1" t="inlineStr"/>
      <c r="B161" s="1" t="inlineStr">
        <is>
          <t>NC_LDPT</t>
        </is>
      </c>
      <c r="C161" s="1" t="inlineStr">
        <is>
          <t>LĐPT</t>
        </is>
      </c>
      <c r="D161" s="1" t="inlineStr">
        <is>
          <t xml:space="preserve"> - Lao động phổ thông phụ việc hiện trường</t>
        </is>
      </c>
      <c r="E161" s="1" t="inlineStr">
        <is>
          <t>công</t>
        </is>
      </c>
      <c r="F161" s="1" t="inlineStr"/>
      <c r="G161" s="24" t="inlineStr"/>
      <c r="H161" s="24" t="n">
        <v>0.044</v>
      </c>
      <c r="I161" s="24" t="inlineStr"/>
      <c r="J161" s="24" t="inlineStr"/>
      <c r="K161" s="24" t="inlineStr"/>
      <c r="L161" s="24">
        <f>ROUND(F159*H161, 4)</f>
        <v/>
      </c>
      <c r="M161" s="24" t="inlineStr"/>
      <c r="N161" s="24" t="inlineStr"/>
      <c r="O161" s="1" t="inlineStr">
        <is>
          <t>Hỗ trợ ngoại nghiệp</t>
        </is>
      </c>
    </row>
    <row r="162">
      <c r="A162" s="1" t="inlineStr"/>
      <c r="B162" s="1" t="inlineStr">
        <is>
          <t>CCDC_01</t>
        </is>
      </c>
      <c r="C162" s="1" t="inlineStr">
        <is>
          <t>CCDC</t>
        </is>
      </c>
      <c r="D162" s="1" t="inlineStr">
        <is>
          <t xml:space="preserve"> - Ca dụng cụ, thiết bị nhỏ đo đạc/lấy mẫu</t>
        </is>
      </c>
      <c r="E162" s="1" t="inlineStr">
        <is>
          <t>ca</t>
        </is>
      </c>
      <c r="F162" s="1" t="inlineStr"/>
      <c r="G162" s="24" t="inlineStr"/>
      <c r="H162" s="24" t="inlineStr"/>
      <c r="I162" s="24" t="n">
        <v>0.1</v>
      </c>
      <c r="J162" s="24" t="inlineStr"/>
      <c r="K162" s="24" t="inlineStr"/>
      <c r="L162" s="24" t="inlineStr"/>
      <c r="M162" s="24">
        <f>ROUND(F159*I162, 4)</f>
        <v/>
      </c>
      <c r="N162" s="24" t="inlineStr"/>
      <c r="O162" s="1" t="inlineStr">
        <is>
          <t>Khoản 4.2 TT20</t>
        </is>
      </c>
    </row>
    <row r="163">
      <c r="A163" s="1" t="inlineStr"/>
      <c r="B163" s="1" t="inlineStr">
        <is>
          <t>CCDC_PHU</t>
        </is>
      </c>
      <c r="C163" s="1" t="inlineStr">
        <is>
          <t>CCDC_PHỤ</t>
        </is>
      </c>
      <c r="D163" s="1" t="inlineStr">
        <is>
          <t xml:space="preserve"> - Dụng cụ phụ khác (10% CCDC chính)</t>
        </is>
      </c>
      <c r="E163" s="1" t="inlineStr">
        <is>
          <t>%</t>
        </is>
      </c>
      <c r="F163" s="1" t="inlineStr"/>
      <c r="G163" s="24" t="inlineStr"/>
      <c r="H163" s="24" t="inlineStr"/>
      <c r="I163" s="24" t="n">
        <v>0.1</v>
      </c>
      <c r="J163" s="24" t="inlineStr"/>
      <c r="K163" s="24" t="inlineStr"/>
      <c r="L163" s="24" t="inlineStr"/>
      <c r="M163" s="24">
        <f>ROUND(M162*I163, 4)</f>
        <v/>
      </c>
      <c r="N163" s="24" t="inlineStr"/>
      <c r="O163" s="1" t="inlineStr">
        <is>
          <t>10% Khoản 4.2 TT20</t>
        </is>
      </c>
    </row>
    <row r="164">
      <c r="A164" s="1" t="inlineStr"/>
      <c r="B164" s="1" t="inlineStr">
        <is>
          <t>M_KHTSCD</t>
        </is>
      </c>
      <c r="C164" s="1" t="inlineStr">
        <is>
          <t>MÁY</t>
        </is>
      </c>
      <c r="D164" s="1" t="inlineStr">
        <is>
          <t xml:space="preserve"> - Khấu hao thiết bị quan trắc chuyên dụng</t>
        </is>
      </c>
      <c r="E164" s="1" t="inlineStr">
        <is>
          <t>ca</t>
        </is>
      </c>
      <c r="F164" s="1" t="inlineStr"/>
      <c r="G164" s="24" t="inlineStr"/>
      <c r="H164" s="24" t="inlineStr"/>
      <c r="I164" s="24" t="inlineStr"/>
      <c r="J164" s="24" t="n">
        <v>0.08</v>
      </c>
      <c r="K164" s="24" t="inlineStr"/>
      <c r="L164" s="24" t="inlineStr"/>
      <c r="M164" s="24" t="inlineStr"/>
      <c r="N164" s="24">
        <f>ROUND(F159*J164, 4)</f>
        <v/>
      </c>
      <c r="O164" s="1" t="inlineStr">
        <is>
          <t>TT 45/2013</t>
        </is>
      </c>
    </row>
    <row r="165">
      <c r="A165" s="1" t="inlineStr"/>
      <c r="B165" s="1" t="inlineStr">
        <is>
          <t>M_NANGLUONG</t>
        </is>
      </c>
      <c r="C165" s="1" t="inlineStr">
        <is>
          <t>ĐIỆN</t>
        </is>
      </c>
      <c r="D165" s="1" t="inlineStr">
        <is>
          <t xml:space="preserve"> - Năng lượng điện vận hành thiết bị PTN</t>
        </is>
      </c>
      <c r="E165" s="1" t="inlineStr">
        <is>
          <t>kWh</t>
        </is>
      </c>
      <c r="F165" s="1" t="inlineStr"/>
      <c r="G165" s="24" t="inlineStr"/>
      <c r="H165" s="24" t="inlineStr"/>
      <c r="I165" s="24" t="inlineStr"/>
      <c r="J165" s="24" t="n">
        <v>0.5</v>
      </c>
      <c r="K165" s="24" t="inlineStr"/>
      <c r="L165" s="24" t="inlineStr"/>
      <c r="M165" s="24" t="inlineStr"/>
      <c r="N165" s="24">
        <f>ROUND(F159*J165, 4)</f>
        <v/>
      </c>
      <c r="O165" s="1" t="inlineStr">
        <is>
          <t>Điện năng PTN</t>
        </is>
      </c>
    </row>
    <row r="166">
      <c r="A166" s="1" t="inlineStr"/>
      <c r="B166" s="1" t="inlineStr">
        <is>
          <t>VL_01</t>
        </is>
      </c>
      <c r="C166" s="1" t="inlineStr">
        <is>
          <t>VL</t>
        </is>
      </c>
      <c r="D166" s="1" t="inlineStr">
        <is>
          <t xml:space="preserve"> - Hóa chất phân tích tinh khiết, màng lọc, chuẩn</t>
        </is>
      </c>
      <c r="E166" s="1" t="inlineStr">
        <is>
          <t>bộ</t>
        </is>
      </c>
      <c r="F166" s="1" t="inlineStr"/>
      <c r="G166" s="24" t="n">
        <v>0.04</v>
      </c>
      <c r="H166" s="24" t="inlineStr"/>
      <c r="I166" s="24" t="inlineStr"/>
      <c r="J166" s="24" t="inlineStr"/>
      <c r="K166" s="24">
        <f>ROUND(F159*G166, 4)</f>
        <v/>
      </c>
      <c r="L166" s="24" t="inlineStr"/>
      <c r="M166" s="24" t="inlineStr"/>
      <c r="N166" s="24" t="inlineStr"/>
      <c r="O166" s="1" t="inlineStr">
        <is>
          <t>Khoản 4.4 TT20</t>
        </is>
      </c>
    </row>
    <row r="167">
      <c r="A167" s="1" t="inlineStr"/>
      <c r="B167" s="1" t="inlineStr">
        <is>
          <t>VL_KHAC</t>
        </is>
      </c>
      <c r="C167" s="1" t="inlineStr">
        <is>
          <t>VL_PHỤ</t>
        </is>
      </c>
      <c r="D167" s="1" t="inlineStr">
        <is>
          <t xml:space="preserve"> - Vật liệu phụ khác (8% vật liệu chính)</t>
        </is>
      </c>
      <c r="E167" s="1" t="inlineStr">
        <is>
          <t>%</t>
        </is>
      </c>
      <c r="F167" s="1" t="inlineStr"/>
      <c r="G167" s="24" t="n">
        <v>0.08</v>
      </c>
      <c r="H167" s="24" t="inlineStr"/>
      <c r="I167" s="24" t="inlineStr"/>
      <c r="J167" s="24" t="inlineStr"/>
      <c r="K167" s="24">
        <f>ROUND(K166*G167, 4)</f>
        <v/>
      </c>
      <c r="L167" s="24" t="inlineStr"/>
      <c r="M167" s="24" t="inlineStr"/>
      <c r="N167" s="24" t="inlineStr"/>
      <c r="O167" s="1" t="inlineStr">
        <is>
          <t>8% Khoản 4.4 TT20</t>
        </is>
      </c>
    </row>
    <row r="168">
      <c r="A168" s="21">
        <f>'Công trình'!A25</f>
        <v/>
      </c>
      <c r="B168" s="21">
        <f>'Công trình'!C25</f>
        <v/>
      </c>
      <c r="C168" s="21" t="inlineStr"/>
      <c r="D168" s="22">
        <f>'Công trình'!D25</f>
        <v/>
      </c>
      <c r="E168" s="21">
        <f>'Công trình'!E25</f>
        <v/>
      </c>
      <c r="F168" s="21">
        <f>'Công trình'!L25</f>
        <v/>
      </c>
      <c r="G168" s="23" t="inlineStr"/>
      <c r="H168" s="23" t="inlineStr"/>
      <c r="I168" s="23" t="inlineStr"/>
      <c r="J168" s="23" t="inlineStr"/>
      <c r="K168" s="23" t="inlineStr"/>
      <c r="L168" s="23" t="inlineStr"/>
      <c r="M168" s="23" t="inlineStr"/>
      <c r="N168" s="23" t="inlineStr"/>
      <c r="O168" s="21" t="inlineStr">
        <is>
          <t>PAKT &amp; Định mức TT20</t>
        </is>
      </c>
    </row>
    <row r="169">
      <c r="A169" s="1" t="inlineStr"/>
      <c r="B169" s="1" t="inlineStr">
        <is>
          <t>NC_LDKT</t>
        </is>
      </c>
      <c r="C169" s="1" t="inlineStr">
        <is>
          <t>LĐKT</t>
        </is>
      </c>
      <c r="D169" s="1" t="inlineStr">
        <is>
          <t xml:space="preserve"> - Kỹ sư / Kiểm định viên / Quan trắc viên</t>
        </is>
      </c>
      <c r="E169" s="1" t="inlineStr">
        <is>
          <t>công</t>
        </is>
      </c>
      <c r="F169" s="1" t="inlineStr"/>
      <c r="G169" s="24" t="inlineStr"/>
      <c r="H169" s="24" t="n">
        <v>0.176</v>
      </c>
      <c r="I169" s="24" t="inlineStr"/>
      <c r="J169" s="24" t="inlineStr"/>
      <c r="K169" s="24" t="inlineStr"/>
      <c r="L169" s="24">
        <f>ROUND(F168*H169, 4)</f>
        <v/>
      </c>
      <c r="M169" s="24" t="inlineStr"/>
      <c r="N169" s="24" t="inlineStr"/>
      <c r="O169" s="1" t="inlineStr">
        <is>
          <t>TTLT 56/2015</t>
        </is>
      </c>
    </row>
    <row r="170">
      <c r="A170" s="1" t="inlineStr"/>
      <c r="B170" s="1" t="inlineStr">
        <is>
          <t>NC_LDPT</t>
        </is>
      </c>
      <c r="C170" s="1" t="inlineStr">
        <is>
          <t>LĐPT</t>
        </is>
      </c>
      <c r="D170" s="1" t="inlineStr">
        <is>
          <t xml:space="preserve"> - Lao động phổ thông phụ việc hiện trường</t>
        </is>
      </c>
      <c r="E170" s="1" t="inlineStr">
        <is>
          <t>công</t>
        </is>
      </c>
      <c r="F170" s="1" t="inlineStr"/>
      <c r="G170" s="24" t="inlineStr"/>
      <c r="H170" s="24" t="n">
        <v>0.044</v>
      </c>
      <c r="I170" s="24" t="inlineStr"/>
      <c r="J170" s="24" t="inlineStr"/>
      <c r="K170" s="24" t="inlineStr"/>
      <c r="L170" s="24">
        <f>ROUND(F168*H170, 4)</f>
        <v/>
      </c>
      <c r="M170" s="24" t="inlineStr"/>
      <c r="N170" s="24" t="inlineStr"/>
      <c r="O170" s="1" t="inlineStr">
        <is>
          <t>Hỗ trợ ngoại nghiệp</t>
        </is>
      </c>
    </row>
    <row r="171">
      <c r="A171" s="1" t="inlineStr"/>
      <c r="B171" s="1" t="inlineStr">
        <is>
          <t>CCDC_01</t>
        </is>
      </c>
      <c r="C171" s="1" t="inlineStr">
        <is>
          <t>CCDC</t>
        </is>
      </c>
      <c r="D171" s="1" t="inlineStr">
        <is>
          <t xml:space="preserve"> - Ca dụng cụ, thiết bị nhỏ đo đạc/lấy mẫu</t>
        </is>
      </c>
      <c r="E171" s="1" t="inlineStr">
        <is>
          <t>ca</t>
        </is>
      </c>
      <c r="F171" s="1" t="inlineStr"/>
      <c r="G171" s="24" t="inlineStr"/>
      <c r="H171" s="24" t="inlineStr"/>
      <c r="I171" s="24" t="n">
        <v>0.1</v>
      </c>
      <c r="J171" s="24" t="inlineStr"/>
      <c r="K171" s="24" t="inlineStr"/>
      <c r="L171" s="24" t="inlineStr"/>
      <c r="M171" s="24">
        <f>ROUND(F168*I171, 4)</f>
        <v/>
      </c>
      <c r="N171" s="24" t="inlineStr"/>
      <c r="O171" s="1" t="inlineStr">
        <is>
          <t>Khoản 4.2 TT20</t>
        </is>
      </c>
    </row>
    <row r="172">
      <c r="A172" s="1" t="inlineStr"/>
      <c r="B172" s="1" t="inlineStr">
        <is>
          <t>CCDC_PHU</t>
        </is>
      </c>
      <c r="C172" s="1" t="inlineStr">
        <is>
          <t>CCDC_PHỤ</t>
        </is>
      </c>
      <c r="D172" s="1" t="inlineStr">
        <is>
          <t xml:space="preserve"> - Dụng cụ phụ khác (10% CCDC chính)</t>
        </is>
      </c>
      <c r="E172" s="1" t="inlineStr">
        <is>
          <t>%</t>
        </is>
      </c>
      <c r="F172" s="1" t="inlineStr"/>
      <c r="G172" s="24" t="inlineStr"/>
      <c r="H172" s="24" t="inlineStr"/>
      <c r="I172" s="24" t="n">
        <v>0.1</v>
      </c>
      <c r="J172" s="24" t="inlineStr"/>
      <c r="K172" s="24" t="inlineStr"/>
      <c r="L172" s="24" t="inlineStr"/>
      <c r="M172" s="24">
        <f>ROUND(M171*I172, 4)</f>
        <v/>
      </c>
      <c r="N172" s="24" t="inlineStr"/>
      <c r="O172" s="1" t="inlineStr">
        <is>
          <t>10% Khoản 4.2 TT20</t>
        </is>
      </c>
    </row>
    <row r="173">
      <c r="A173" s="1" t="inlineStr"/>
      <c r="B173" s="1" t="inlineStr">
        <is>
          <t>M_KHTSCD</t>
        </is>
      </c>
      <c r="C173" s="1" t="inlineStr">
        <is>
          <t>MÁY</t>
        </is>
      </c>
      <c r="D173" s="1" t="inlineStr">
        <is>
          <t xml:space="preserve"> - Khấu hao thiết bị quan trắc chuyên dụng</t>
        </is>
      </c>
      <c r="E173" s="1" t="inlineStr">
        <is>
          <t>ca</t>
        </is>
      </c>
      <c r="F173" s="1" t="inlineStr"/>
      <c r="G173" s="24" t="inlineStr"/>
      <c r="H173" s="24" t="inlineStr"/>
      <c r="I173" s="24" t="inlineStr"/>
      <c r="J173" s="24" t="n">
        <v>0.08</v>
      </c>
      <c r="K173" s="24" t="inlineStr"/>
      <c r="L173" s="24" t="inlineStr"/>
      <c r="M173" s="24" t="inlineStr"/>
      <c r="N173" s="24">
        <f>ROUND(F168*J173, 4)</f>
        <v/>
      </c>
      <c r="O173" s="1" t="inlineStr">
        <is>
          <t>TT 45/2013</t>
        </is>
      </c>
    </row>
    <row r="174">
      <c r="A174" s="1" t="inlineStr"/>
      <c r="B174" s="1" t="inlineStr">
        <is>
          <t>M_NANGLUONG</t>
        </is>
      </c>
      <c r="C174" s="1" t="inlineStr">
        <is>
          <t>ĐIỆN</t>
        </is>
      </c>
      <c r="D174" s="1" t="inlineStr">
        <is>
          <t xml:space="preserve"> - Năng lượng điện vận hành thiết bị PTN</t>
        </is>
      </c>
      <c r="E174" s="1" t="inlineStr">
        <is>
          <t>kWh</t>
        </is>
      </c>
      <c r="F174" s="1" t="inlineStr"/>
      <c r="G174" s="24" t="inlineStr"/>
      <c r="H174" s="24" t="inlineStr"/>
      <c r="I174" s="24" t="inlineStr"/>
      <c r="J174" s="24" t="n">
        <v>0.5</v>
      </c>
      <c r="K174" s="24" t="inlineStr"/>
      <c r="L174" s="24" t="inlineStr"/>
      <c r="M174" s="24" t="inlineStr"/>
      <c r="N174" s="24">
        <f>ROUND(F168*J174, 4)</f>
        <v/>
      </c>
      <c r="O174" s="1" t="inlineStr">
        <is>
          <t>Điện năng PTN</t>
        </is>
      </c>
    </row>
    <row r="175">
      <c r="A175" s="1" t="inlineStr"/>
      <c r="B175" s="1" t="inlineStr">
        <is>
          <t>VL_01</t>
        </is>
      </c>
      <c r="C175" s="1" t="inlineStr">
        <is>
          <t>VL</t>
        </is>
      </c>
      <c r="D175" s="1" t="inlineStr">
        <is>
          <t xml:space="preserve"> - Hóa chất phân tích tinh khiết, màng lọc, chuẩn</t>
        </is>
      </c>
      <c r="E175" s="1" t="inlineStr">
        <is>
          <t>bộ</t>
        </is>
      </c>
      <c r="F175" s="1" t="inlineStr"/>
      <c r="G175" s="24" t="n">
        <v>0.04</v>
      </c>
      <c r="H175" s="24" t="inlineStr"/>
      <c r="I175" s="24" t="inlineStr"/>
      <c r="J175" s="24" t="inlineStr"/>
      <c r="K175" s="24">
        <f>ROUND(F168*G175, 4)</f>
        <v/>
      </c>
      <c r="L175" s="24" t="inlineStr"/>
      <c r="M175" s="24" t="inlineStr"/>
      <c r="N175" s="24" t="inlineStr"/>
      <c r="O175" s="1" t="inlineStr">
        <is>
          <t>Khoản 4.4 TT20</t>
        </is>
      </c>
    </row>
    <row r="176">
      <c r="A176" s="1" t="inlineStr"/>
      <c r="B176" s="1" t="inlineStr">
        <is>
          <t>VL_KHAC</t>
        </is>
      </c>
      <c r="C176" s="1" t="inlineStr">
        <is>
          <t>VL_PHỤ</t>
        </is>
      </c>
      <c r="D176" s="1" t="inlineStr">
        <is>
          <t xml:space="preserve"> - Vật liệu phụ khác (8% vật liệu chính)</t>
        </is>
      </c>
      <c r="E176" s="1" t="inlineStr">
        <is>
          <t>%</t>
        </is>
      </c>
      <c r="F176" s="1" t="inlineStr"/>
      <c r="G176" s="24" t="n">
        <v>0.08</v>
      </c>
      <c r="H176" s="24" t="inlineStr"/>
      <c r="I176" s="24" t="inlineStr"/>
      <c r="J176" s="24" t="inlineStr"/>
      <c r="K176" s="24">
        <f>ROUND(K175*G176, 4)</f>
        <v/>
      </c>
      <c r="L176" s="24" t="inlineStr"/>
      <c r="M176" s="24" t="inlineStr"/>
      <c r="N176" s="24" t="inlineStr"/>
      <c r="O176" s="1" t="inlineStr">
        <is>
          <t>8% Khoản 4.4 TT20</t>
        </is>
      </c>
    </row>
    <row r="177">
      <c r="A177" s="21">
        <f>'Công trình'!A26</f>
        <v/>
      </c>
      <c r="B177" s="21">
        <f>'Công trình'!C26</f>
        <v/>
      </c>
      <c r="C177" s="21" t="inlineStr"/>
      <c r="D177" s="22">
        <f>'Công trình'!D26</f>
        <v/>
      </c>
      <c r="E177" s="21">
        <f>'Công trình'!E26</f>
        <v/>
      </c>
      <c r="F177" s="21">
        <f>'Công trình'!L26</f>
        <v/>
      </c>
      <c r="G177" s="23" t="inlineStr"/>
      <c r="H177" s="23" t="inlineStr"/>
      <c r="I177" s="23" t="inlineStr"/>
      <c r="J177" s="23" t="inlineStr"/>
      <c r="K177" s="23" t="inlineStr"/>
      <c r="L177" s="23" t="inlineStr"/>
      <c r="M177" s="23" t="inlineStr"/>
      <c r="N177" s="23" t="inlineStr"/>
      <c r="O177" s="21" t="inlineStr">
        <is>
          <t>PAKT &amp; Định mức TT20</t>
        </is>
      </c>
    </row>
    <row r="178">
      <c r="A178" s="1" t="inlineStr"/>
      <c r="B178" s="1" t="inlineStr">
        <is>
          <t>NC_LDKT</t>
        </is>
      </c>
      <c r="C178" s="1" t="inlineStr">
        <is>
          <t>LĐKT</t>
        </is>
      </c>
      <c r="D178" s="1" t="inlineStr">
        <is>
          <t xml:space="preserve"> - Kỹ sư / Kiểm định viên / Quan trắc viên</t>
        </is>
      </c>
      <c r="E178" s="1" t="inlineStr">
        <is>
          <t>công</t>
        </is>
      </c>
      <c r="F178" s="1" t="inlineStr"/>
      <c r="G178" s="24" t="inlineStr"/>
      <c r="H178" s="24" t="n">
        <v>0.176</v>
      </c>
      <c r="I178" s="24" t="inlineStr"/>
      <c r="J178" s="24" t="inlineStr"/>
      <c r="K178" s="24" t="inlineStr"/>
      <c r="L178" s="24">
        <f>ROUND(F177*H178, 4)</f>
        <v/>
      </c>
      <c r="M178" s="24" t="inlineStr"/>
      <c r="N178" s="24" t="inlineStr"/>
      <c r="O178" s="1" t="inlineStr">
        <is>
          <t>TTLT 56/2015</t>
        </is>
      </c>
    </row>
    <row r="179">
      <c r="A179" s="1" t="inlineStr"/>
      <c r="B179" s="1" t="inlineStr">
        <is>
          <t>NC_LDPT</t>
        </is>
      </c>
      <c r="C179" s="1" t="inlineStr">
        <is>
          <t>LĐPT</t>
        </is>
      </c>
      <c r="D179" s="1" t="inlineStr">
        <is>
          <t xml:space="preserve"> - Lao động phổ thông phụ việc hiện trường</t>
        </is>
      </c>
      <c r="E179" s="1" t="inlineStr">
        <is>
          <t>công</t>
        </is>
      </c>
      <c r="F179" s="1" t="inlineStr"/>
      <c r="G179" s="24" t="inlineStr"/>
      <c r="H179" s="24" t="n">
        <v>0.044</v>
      </c>
      <c r="I179" s="24" t="inlineStr"/>
      <c r="J179" s="24" t="inlineStr"/>
      <c r="K179" s="24" t="inlineStr"/>
      <c r="L179" s="24">
        <f>ROUND(F177*H179, 4)</f>
        <v/>
      </c>
      <c r="M179" s="24" t="inlineStr"/>
      <c r="N179" s="24" t="inlineStr"/>
      <c r="O179" s="1" t="inlineStr">
        <is>
          <t>Hỗ trợ ngoại nghiệp</t>
        </is>
      </c>
    </row>
    <row r="180">
      <c r="A180" s="1" t="inlineStr"/>
      <c r="B180" s="1" t="inlineStr">
        <is>
          <t>CCDC_01</t>
        </is>
      </c>
      <c r="C180" s="1" t="inlineStr">
        <is>
          <t>CCDC</t>
        </is>
      </c>
      <c r="D180" s="1" t="inlineStr">
        <is>
          <t xml:space="preserve"> - Ca dụng cụ, thiết bị nhỏ đo đạc/lấy mẫu</t>
        </is>
      </c>
      <c r="E180" s="1" t="inlineStr">
        <is>
          <t>ca</t>
        </is>
      </c>
      <c r="F180" s="1" t="inlineStr"/>
      <c r="G180" s="24" t="inlineStr"/>
      <c r="H180" s="24" t="inlineStr"/>
      <c r="I180" s="24" t="n">
        <v>0.1</v>
      </c>
      <c r="J180" s="24" t="inlineStr"/>
      <c r="K180" s="24" t="inlineStr"/>
      <c r="L180" s="24" t="inlineStr"/>
      <c r="M180" s="24">
        <f>ROUND(F177*I180, 4)</f>
        <v/>
      </c>
      <c r="N180" s="24" t="inlineStr"/>
      <c r="O180" s="1" t="inlineStr">
        <is>
          <t>Khoản 4.2 TT20</t>
        </is>
      </c>
    </row>
    <row r="181">
      <c r="A181" s="1" t="inlineStr"/>
      <c r="B181" s="1" t="inlineStr">
        <is>
          <t>CCDC_PHU</t>
        </is>
      </c>
      <c r="C181" s="1" t="inlineStr">
        <is>
          <t>CCDC_PHỤ</t>
        </is>
      </c>
      <c r="D181" s="1" t="inlineStr">
        <is>
          <t xml:space="preserve"> - Dụng cụ phụ khác (10% CCDC chính)</t>
        </is>
      </c>
      <c r="E181" s="1" t="inlineStr">
        <is>
          <t>%</t>
        </is>
      </c>
      <c r="F181" s="1" t="inlineStr"/>
      <c r="G181" s="24" t="inlineStr"/>
      <c r="H181" s="24" t="inlineStr"/>
      <c r="I181" s="24" t="n">
        <v>0.1</v>
      </c>
      <c r="J181" s="24" t="inlineStr"/>
      <c r="K181" s="24" t="inlineStr"/>
      <c r="L181" s="24" t="inlineStr"/>
      <c r="M181" s="24">
        <f>ROUND(M180*I181, 4)</f>
        <v/>
      </c>
      <c r="N181" s="24" t="inlineStr"/>
      <c r="O181" s="1" t="inlineStr">
        <is>
          <t>10% Khoản 4.2 TT20</t>
        </is>
      </c>
    </row>
    <row r="182">
      <c r="A182" s="1" t="inlineStr"/>
      <c r="B182" s="1" t="inlineStr">
        <is>
          <t>M_KHTSCD</t>
        </is>
      </c>
      <c r="C182" s="1" t="inlineStr">
        <is>
          <t>MÁY</t>
        </is>
      </c>
      <c r="D182" s="1" t="inlineStr">
        <is>
          <t xml:space="preserve"> - Khấu hao thiết bị quan trắc chuyên dụng</t>
        </is>
      </c>
      <c r="E182" s="1" t="inlineStr">
        <is>
          <t>ca</t>
        </is>
      </c>
      <c r="F182" s="1" t="inlineStr"/>
      <c r="G182" s="24" t="inlineStr"/>
      <c r="H182" s="24" t="inlineStr"/>
      <c r="I182" s="24" t="inlineStr"/>
      <c r="J182" s="24" t="n">
        <v>0.08</v>
      </c>
      <c r="K182" s="24" t="inlineStr"/>
      <c r="L182" s="24" t="inlineStr"/>
      <c r="M182" s="24" t="inlineStr"/>
      <c r="N182" s="24">
        <f>ROUND(F177*J182, 4)</f>
        <v/>
      </c>
      <c r="O182" s="1" t="inlineStr">
        <is>
          <t>TT 45/2013</t>
        </is>
      </c>
    </row>
    <row r="183">
      <c r="A183" s="1" t="inlineStr"/>
      <c r="B183" s="1" t="inlineStr">
        <is>
          <t>M_NANGLUONG</t>
        </is>
      </c>
      <c r="C183" s="1" t="inlineStr">
        <is>
          <t>ĐIỆN</t>
        </is>
      </c>
      <c r="D183" s="1" t="inlineStr">
        <is>
          <t xml:space="preserve"> - Năng lượng điện vận hành thiết bị PTN</t>
        </is>
      </c>
      <c r="E183" s="1" t="inlineStr">
        <is>
          <t>kWh</t>
        </is>
      </c>
      <c r="F183" s="1" t="inlineStr"/>
      <c r="G183" s="24" t="inlineStr"/>
      <c r="H183" s="24" t="inlineStr"/>
      <c r="I183" s="24" t="inlineStr"/>
      <c r="J183" s="24" t="n">
        <v>0.5</v>
      </c>
      <c r="K183" s="24" t="inlineStr"/>
      <c r="L183" s="24" t="inlineStr"/>
      <c r="M183" s="24" t="inlineStr"/>
      <c r="N183" s="24">
        <f>ROUND(F177*J183, 4)</f>
        <v/>
      </c>
      <c r="O183" s="1" t="inlineStr">
        <is>
          <t>Điện năng PTN</t>
        </is>
      </c>
    </row>
    <row r="184">
      <c r="A184" s="1" t="inlineStr"/>
      <c r="B184" s="1" t="inlineStr">
        <is>
          <t>VL_01</t>
        </is>
      </c>
      <c r="C184" s="1" t="inlineStr">
        <is>
          <t>VL</t>
        </is>
      </c>
      <c r="D184" s="1" t="inlineStr">
        <is>
          <t xml:space="preserve"> - Hóa chất phân tích tinh khiết, màng lọc, chuẩn</t>
        </is>
      </c>
      <c r="E184" s="1" t="inlineStr">
        <is>
          <t>bộ</t>
        </is>
      </c>
      <c r="F184" s="1" t="inlineStr"/>
      <c r="G184" s="24" t="n">
        <v>0.04</v>
      </c>
      <c r="H184" s="24" t="inlineStr"/>
      <c r="I184" s="24" t="inlineStr"/>
      <c r="J184" s="24" t="inlineStr"/>
      <c r="K184" s="24">
        <f>ROUND(F177*G184, 4)</f>
        <v/>
      </c>
      <c r="L184" s="24" t="inlineStr"/>
      <c r="M184" s="24" t="inlineStr"/>
      <c r="N184" s="24" t="inlineStr"/>
      <c r="O184" s="1" t="inlineStr">
        <is>
          <t>Khoản 4.4 TT20</t>
        </is>
      </c>
    </row>
    <row r="185">
      <c r="A185" s="1" t="inlineStr"/>
      <c r="B185" s="1" t="inlineStr">
        <is>
          <t>VL_KHAC</t>
        </is>
      </c>
      <c r="C185" s="1" t="inlineStr">
        <is>
          <t>VL_PHỤ</t>
        </is>
      </c>
      <c r="D185" s="1" t="inlineStr">
        <is>
          <t xml:space="preserve"> - Vật liệu phụ khác (8% vật liệu chính)</t>
        </is>
      </c>
      <c r="E185" s="1" t="inlineStr">
        <is>
          <t>%</t>
        </is>
      </c>
      <c r="F185" s="1" t="inlineStr"/>
      <c r="G185" s="24" t="n">
        <v>0.08</v>
      </c>
      <c r="H185" s="24" t="inlineStr"/>
      <c r="I185" s="24" t="inlineStr"/>
      <c r="J185" s="24" t="inlineStr"/>
      <c r="K185" s="24">
        <f>ROUND(K184*G185, 4)</f>
        <v/>
      </c>
      <c r="L185" s="24" t="inlineStr"/>
      <c r="M185" s="24" t="inlineStr"/>
      <c r="N185" s="24" t="inlineStr"/>
      <c r="O185" s="1" t="inlineStr">
        <is>
          <t>8% Khoản 4.4 TT20</t>
        </is>
      </c>
    </row>
    <row r="186">
      <c r="A186" s="21">
        <f>'Công trình'!A27</f>
        <v/>
      </c>
      <c r="B186" s="21">
        <f>'Công trình'!C27</f>
        <v/>
      </c>
      <c r="C186" s="21" t="inlineStr"/>
      <c r="D186" s="22">
        <f>'Công trình'!D27</f>
        <v/>
      </c>
      <c r="E186" s="21">
        <f>'Công trình'!E27</f>
        <v/>
      </c>
      <c r="F186" s="21">
        <f>'Công trình'!L27</f>
        <v/>
      </c>
      <c r="G186" s="23" t="inlineStr"/>
      <c r="H186" s="23" t="inlineStr"/>
      <c r="I186" s="23" t="inlineStr"/>
      <c r="J186" s="23" t="inlineStr"/>
      <c r="K186" s="23" t="inlineStr"/>
      <c r="L186" s="23" t="inlineStr"/>
      <c r="M186" s="23" t="inlineStr"/>
      <c r="N186" s="23" t="inlineStr"/>
      <c r="O186" s="21" t="inlineStr">
        <is>
          <t>PAKT &amp; Định mức TT20</t>
        </is>
      </c>
    </row>
    <row r="187">
      <c r="A187" s="1" t="inlineStr"/>
      <c r="B187" s="1" t="inlineStr">
        <is>
          <t>NC_LDKT</t>
        </is>
      </c>
      <c r="C187" s="1" t="inlineStr">
        <is>
          <t>LĐKT</t>
        </is>
      </c>
      <c r="D187" s="1" t="inlineStr">
        <is>
          <t xml:space="preserve"> - Kỹ sư / Kiểm định viên / Quan trắc viên</t>
        </is>
      </c>
      <c r="E187" s="1" t="inlineStr">
        <is>
          <t>công</t>
        </is>
      </c>
      <c r="F187" s="1" t="inlineStr"/>
      <c r="G187" s="24" t="inlineStr"/>
      <c r="H187" s="24" t="n">
        <v>0.176</v>
      </c>
      <c r="I187" s="24" t="inlineStr"/>
      <c r="J187" s="24" t="inlineStr"/>
      <c r="K187" s="24" t="inlineStr"/>
      <c r="L187" s="24">
        <f>ROUND(F186*H187, 4)</f>
        <v/>
      </c>
      <c r="M187" s="24" t="inlineStr"/>
      <c r="N187" s="24" t="inlineStr"/>
      <c r="O187" s="1" t="inlineStr">
        <is>
          <t>TTLT 56/2015</t>
        </is>
      </c>
    </row>
    <row r="188">
      <c r="A188" s="1" t="inlineStr"/>
      <c r="B188" s="1" t="inlineStr">
        <is>
          <t>NC_LDPT</t>
        </is>
      </c>
      <c r="C188" s="1" t="inlineStr">
        <is>
          <t>LĐPT</t>
        </is>
      </c>
      <c r="D188" s="1" t="inlineStr">
        <is>
          <t xml:space="preserve"> - Lao động phổ thông phụ việc hiện trường</t>
        </is>
      </c>
      <c r="E188" s="1" t="inlineStr">
        <is>
          <t>công</t>
        </is>
      </c>
      <c r="F188" s="1" t="inlineStr"/>
      <c r="G188" s="24" t="inlineStr"/>
      <c r="H188" s="24" t="n">
        <v>0.044</v>
      </c>
      <c r="I188" s="24" t="inlineStr"/>
      <c r="J188" s="24" t="inlineStr"/>
      <c r="K188" s="24" t="inlineStr"/>
      <c r="L188" s="24">
        <f>ROUND(F186*H188, 4)</f>
        <v/>
      </c>
      <c r="M188" s="24" t="inlineStr"/>
      <c r="N188" s="24" t="inlineStr"/>
      <c r="O188" s="1" t="inlineStr">
        <is>
          <t>Hỗ trợ ngoại nghiệp</t>
        </is>
      </c>
    </row>
    <row r="189">
      <c r="A189" s="1" t="inlineStr"/>
      <c r="B189" s="1" t="inlineStr">
        <is>
          <t>CCDC_01</t>
        </is>
      </c>
      <c r="C189" s="1" t="inlineStr">
        <is>
          <t>CCDC</t>
        </is>
      </c>
      <c r="D189" s="1" t="inlineStr">
        <is>
          <t xml:space="preserve"> - Ca dụng cụ, thiết bị nhỏ đo đạc/lấy mẫu</t>
        </is>
      </c>
      <c r="E189" s="1" t="inlineStr">
        <is>
          <t>ca</t>
        </is>
      </c>
      <c r="F189" s="1" t="inlineStr"/>
      <c r="G189" s="24" t="inlineStr"/>
      <c r="H189" s="24" t="inlineStr"/>
      <c r="I189" s="24" t="n">
        <v>0.1</v>
      </c>
      <c r="J189" s="24" t="inlineStr"/>
      <c r="K189" s="24" t="inlineStr"/>
      <c r="L189" s="24" t="inlineStr"/>
      <c r="M189" s="24">
        <f>ROUND(F186*I189, 4)</f>
        <v/>
      </c>
      <c r="N189" s="24" t="inlineStr"/>
      <c r="O189" s="1" t="inlineStr">
        <is>
          <t>Khoản 4.2 TT20</t>
        </is>
      </c>
    </row>
    <row r="190">
      <c r="A190" s="1" t="inlineStr"/>
      <c r="B190" s="1" t="inlineStr">
        <is>
          <t>CCDC_PHU</t>
        </is>
      </c>
      <c r="C190" s="1" t="inlineStr">
        <is>
          <t>CCDC_PHỤ</t>
        </is>
      </c>
      <c r="D190" s="1" t="inlineStr">
        <is>
          <t xml:space="preserve"> - Dụng cụ phụ khác (10% CCDC chính)</t>
        </is>
      </c>
      <c r="E190" s="1" t="inlineStr">
        <is>
          <t>%</t>
        </is>
      </c>
      <c r="F190" s="1" t="inlineStr"/>
      <c r="G190" s="24" t="inlineStr"/>
      <c r="H190" s="24" t="inlineStr"/>
      <c r="I190" s="24" t="n">
        <v>0.1</v>
      </c>
      <c r="J190" s="24" t="inlineStr"/>
      <c r="K190" s="24" t="inlineStr"/>
      <c r="L190" s="24" t="inlineStr"/>
      <c r="M190" s="24">
        <f>ROUND(M189*I190, 4)</f>
        <v/>
      </c>
      <c r="N190" s="24" t="inlineStr"/>
      <c r="O190" s="1" t="inlineStr">
        <is>
          <t>10% Khoản 4.2 TT20</t>
        </is>
      </c>
    </row>
    <row r="191">
      <c r="A191" s="1" t="inlineStr"/>
      <c r="B191" s="1" t="inlineStr">
        <is>
          <t>M_KHTSCD</t>
        </is>
      </c>
      <c r="C191" s="1" t="inlineStr">
        <is>
          <t>MÁY</t>
        </is>
      </c>
      <c r="D191" s="1" t="inlineStr">
        <is>
          <t xml:space="preserve"> - Khấu hao thiết bị quan trắc chuyên dụng</t>
        </is>
      </c>
      <c r="E191" s="1" t="inlineStr">
        <is>
          <t>ca</t>
        </is>
      </c>
      <c r="F191" s="1" t="inlineStr"/>
      <c r="G191" s="24" t="inlineStr"/>
      <c r="H191" s="24" t="inlineStr"/>
      <c r="I191" s="24" t="inlineStr"/>
      <c r="J191" s="24" t="n">
        <v>0.08</v>
      </c>
      <c r="K191" s="24" t="inlineStr"/>
      <c r="L191" s="24" t="inlineStr"/>
      <c r="M191" s="24" t="inlineStr"/>
      <c r="N191" s="24">
        <f>ROUND(F186*J191, 4)</f>
        <v/>
      </c>
      <c r="O191" s="1" t="inlineStr">
        <is>
          <t>TT 45/2013</t>
        </is>
      </c>
    </row>
    <row r="192">
      <c r="A192" s="1" t="inlineStr"/>
      <c r="B192" s="1" t="inlineStr">
        <is>
          <t>M_NANGLUONG</t>
        </is>
      </c>
      <c r="C192" s="1" t="inlineStr">
        <is>
          <t>ĐIỆN</t>
        </is>
      </c>
      <c r="D192" s="1" t="inlineStr">
        <is>
          <t xml:space="preserve"> - Năng lượng điện vận hành thiết bị PTN</t>
        </is>
      </c>
      <c r="E192" s="1" t="inlineStr">
        <is>
          <t>kWh</t>
        </is>
      </c>
      <c r="F192" s="1" t="inlineStr"/>
      <c r="G192" s="24" t="inlineStr"/>
      <c r="H192" s="24" t="inlineStr"/>
      <c r="I192" s="24" t="inlineStr"/>
      <c r="J192" s="24" t="n">
        <v>0.5</v>
      </c>
      <c r="K192" s="24" t="inlineStr"/>
      <c r="L192" s="24" t="inlineStr"/>
      <c r="M192" s="24" t="inlineStr"/>
      <c r="N192" s="24">
        <f>ROUND(F186*J192, 4)</f>
        <v/>
      </c>
      <c r="O192" s="1" t="inlineStr">
        <is>
          <t>Điện năng PTN</t>
        </is>
      </c>
    </row>
    <row r="193">
      <c r="A193" s="1" t="inlineStr"/>
      <c r="B193" s="1" t="inlineStr">
        <is>
          <t>VL_01</t>
        </is>
      </c>
      <c r="C193" s="1" t="inlineStr">
        <is>
          <t>VL</t>
        </is>
      </c>
      <c r="D193" s="1" t="inlineStr">
        <is>
          <t xml:space="preserve"> - Hóa chất phân tích tinh khiết, màng lọc, chuẩn</t>
        </is>
      </c>
      <c r="E193" s="1" t="inlineStr">
        <is>
          <t>bộ</t>
        </is>
      </c>
      <c r="F193" s="1" t="inlineStr"/>
      <c r="G193" s="24" t="n">
        <v>0.04</v>
      </c>
      <c r="H193" s="24" t="inlineStr"/>
      <c r="I193" s="24" t="inlineStr"/>
      <c r="J193" s="24" t="inlineStr"/>
      <c r="K193" s="24">
        <f>ROUND(F186*G193, 4)</f>
        <v/>
      </c>
      <c r="L193" s="24" t="inlineStr"/>
      <c r="M193" s="24" t="inlineStr"/>
      <c r="N193" s="24" t="inlineStr"/>
      <c r="O193" s="1" t="inlineStr">
        <is>
          <t>Khoản 4.4 TT20</t>
        </is>
      </c>
    </row>
    <row r="194">
      <c r="A194" s="1" t="inlineStr"/>
      <c r="B194" s="1" t="inlineStr">
        <is>
          <t>VL_KHAC</t>
        </is>
      </c>
      <c r="C194" s="1" t="inlineStr">
        <is>
          <t>VL_PHỤ</t>
        </is>
      </c>
      <c r="D194" s="1" t="inlineStr">
        <is>
          <t xml:space="preserve"> - Vật liệu phụ khác (8% vật liệu chính)</t>
        </is>
      </c>
      <c r="E194" s="1" t="inlineStr">
        <is>
          <t>%</t>
        </is>
      </c>
      <c r="F194" s="1" t="inlineStr"/>
      <c r="G194" s="24" t="n">
        <v>0.08</v>
      </c>
      <c r="H194" s="24" t="inlineStr"/>
      <c r="I194" s="24" t="inlineStr"/>
      <c r="J194" s="24" t="inlineStr"/>
      <c r="K194" s="24">
        <f>ROUND(K193*G194, 4)</f>
        <v/>
      </c>
      <c r="L194" s="24" t="inlineStr"/>
      <c r="M194" s="24" t="inlineStr"/>
      <c r="N194" s="24" t="inlineStr"/>
      <c r="O194" s="1" t="inlineStr">
        <is>
          <t>8% Khoản 4.4 TT20</t>
        </is>
      </c>
    </row>
    <row r="195">
      <c r="A195" s="21">
        <f>'Công trình'!A28</f>
        <v/>
      </c>
      <c r="B195" s="21">
        <f>'Công trình'!C28</f>
        <v/>
      </c>
      <c r="C195" s="21" t="inlineStr"/>
      <c r="D195" s="22">
        <f>'Công trình'!D28</f>
        <v/>
      </c>
      <c r="E195" s="21">
        <f>'Công trình'!E28</f>
        <v/>
      </c>
      <c r="F195" s="21">
        <f>'Công trình'!L28</f>
        <v/>
      </c>
      <c r="G195" s="23" t="inlineStr"/>
      <c r="H195" s="23" t="inlineStr"/>
      <c r="I195" s="23" t="inlineStr"/>
      <c r="J195" s="23" t="inlineStr"/>
      <c r="K195" s="23" t="inlineStr"/>
      <c r="L195" s="23" t="inlineStr"/>
      <c r="M195" s="23" t="inlineStr"/>
      <c r="N195" s="23" t="inlineStr"/>
      <c r="O195" s="21" t="inlineStr">
        <is>
          <t>PAKT &amp; Định mức TT20</t>
        </is>
      </c>
    </row>
    <row r="196">
      <c r="A196" s="1" t="inlineStr"/>
      <c r="B196" s="1" t="inlineStr">
        <is>
          <t>NC_LDKT</t>
        </is>
      </c>
      <c r="C196" s="1" t="inlineStr">
        <is>
          <t>LĐKT</t>
        </is>
      </c>
      <c r="D196" s="1" t="inlineStr">
        <is>
          <t xml:space="preserve"> - Kỹ sư / Kiểm định viên / Quan trắc viên</t>
        </is>
      </c>
      <c r="E196" s="1" t="inlineStr">
        <is>
          <t>công</t>
        </is>
      </c>
      <c r="F196" s="1" t="inlineStr"/>
      <c r="G196" s="24" t="inlineStr"/>
      <c r="H196" s="24" t="n">
        <v>0.176</v>
      </c>
      <c r="I196" s="24" t="inlineStr"/>
      <c r="J196" s="24" t="inlineStr"/>
      <c r="K196" s="24" t="inlineStr"/>
      <c r="L196" s="24">
        <f>ROUND(F195*H196, 4)</f>
        <v/>
      </c>
      <c r="M196" s="24" t="inlineStr"/>
      <c r="N196" s="24" t="inlineStr"/>
      <c r="O196" s="1" t="inlineStr">
        <is>
          <t>TTLT 56/2015</t>
        </is>
      </c>
    </row>
    <row r="197">
      <c r="A197" s="1" t="inlineStr"/>
      <c r="B197" s="1" t="inlineStr">
        <is>
          <t>NC_LDPT</t>
        </is>
      </c>
      <c r="C197" s="1" t="inlineStr">
        <is>
          <t>LĐPT</t>
        </is>
      </c>
      <c r="D197" s="1" t="inlineStr">
        <is>
          <t xml:space="preserve"> - Lao động phổ thông phụ việc hiện trường</t>
        </is>
      </c>
      <c r="E197" s="1" t="inlineStr">
        <is>
          <t>công</t>
        </is>
      </c>
      <c r="F197" s="1" t="inlineStr"/>
      <c r="G197" s="24" t="inlineStr"/>
      <c r="H197" s="24" t="n">
        <v>0.044</v>
      </c>
      <c r="I197" s="24" t="inlineStr"/>
      <c r="J197" s="24" t="inlineStr"/>
      <c r="K197" s="24" t="inlineStr"/>
      <c r="L197" s="24">
        <f>ROUND(F195*H197, 4)</f>
        <v/>
      </c>
      <c r="M197" s="24" t="inlineStr"/>
      <c r="N197" s="24" t="inlineStr"/>
      <c r="O197" s="1" t="inlineStr">
        <is>
          <t>Hỗ trợ ngoại nghiệp</t>
        </is>
      </c>
    </row>
    <row r="198">
      <c r="A198" s="1" t="inlineStr"/>
      <c r="B198" s="1" t="inlineStr">
        <is>
          <t>CCDC_01</t>
        </is>
      </c>
      <c r="C198" s="1" t="inlineStr">
        <is>
          <t>CCDC</t>
        </is>
      </c>
      <c r="D198" s="1" t="inlineStr">
        <is>
          <t xml:space="preserve"> - Ca dụng cụ, thiết bị nhỏ đo đạc/lấy mẫu</t>
        </is>
      </c>
      <c r="E198" s="1" t="inlineStr">
        <is>
          <t>ca</t>
        </is>
      </c>
      <c r="F198" s="1" t="inlineStr"/>
      <c r="G198" s="24" t="inlineStr"/>
      <c r="H198" s="24" t="inlineStr"/>
      <c r="I198" s="24" t="n">
        <v>0.1</v>
      </c>
      <c r="J198" s="24" t="inlineStr"/>
      <c r="K198" s="24" t="inlineStr"/>
      <c r="L198" s="24" t="inlineStr"/>
      <c r="M198" s="24">
        <f>ROUND(F195*I198, 4)</f>
        <v/>
      </c>
      <c r="N198" s="24" t="inlineStr"/>
      <c r="O198" s="1" t="inlineStr">
        <is>
          <t>Khoản 4.2 TT20</t>
        </is>
      </c>
    </row>
    <row r="199">
      <c r="A199" s="1" t="inlineStr"/>
      <c r="B199" s="1" t="inlineStr">
        <is>
          <t>CCDC_PHU</t>
        </is>
      </c>
      <c r="C199" s="1" t="inlineStr">
        <is>
          <t>CCDC_PHỤ</t>
        </is>
      </c>
      <c r="D199" s="1" t="inlineStr">
        <is>
          <t xml:space="preserve"> - Dụng cụ phụ khác (10% CCDC chính)</t>
        </is>
      </c>
      <c r="E199" s="1" t="inlineStr">
        <is>
          <t>%</t>
        </is>
      </c>
      <c r="F199" s="1" t="inlineStr"/>
      <c r="G199" s="24" t="inlineStr"/>
      <c r="H199" s="24" t="inlineStr"/>
      <c r="I199" s="24" t="n">
        <v>0.1</v>
      </c>
      <c r="J199" s="24" t="inlineStr"/>
      <c r="K199" s="24" t="inlineStr"/>
      <c r="L199" s="24" t="inlineStr"/>
      <c r="M199" s="24">
        <f>ROUND(M198*I199, 4)</f>
        <v/>
      </c>
      <c r="N199" s="24" t="inlineStr"/>
      <c r="O199" s="1" t="inlineStr">
        <is>
          <t>10% Khoản 4.2 TT20</t>
        </is>
      </c>
    </row>
    <row r="200">
      <c r="A200" s="1" t="inlineStr"/>
      <c r="B200" s="1" t="inlineStr">
        <is>
          <t>M_KHTSCD</t>
        </is>
      </c>
      <c r="C200" s="1" t="inlineStr">
        <is>
          <t>MÁY</t>
        </is>
      </c>
      <c r="D200" s="1" t="inlineStr">
        <is>
          <t xml:space="preserve"> - Khấu hao thiết bị quan trắc chuyên dụng</t>
        </is>
      </c>
      <c r="E200" s="1" t="inlineStr">
        <is>
          <t>ca</t>
        </is>
      </c>
      <c r="F200" s="1" t="inlineStr"/>
      <c r="G200" s="24" t="inlineStr"/>
      <c r="H200" s="24" t="inlineStr"/>
      <c r="I200" s="24" t="inlineStr"/>
      <c r="J200" s="24" t="n">
        <v>0.08</v>
      </c>
      <c r="K200" s="24" t="inlineStr"/>
      <c r="L200" s="24" t="inlineStr"/>
      <c r="M200" s="24" t="inlineStr"/>
      <c r="N200" s="24">
        <f>ROUND(F195*J200, 4)</f>
        <v/>
      </c>
      <c r="O200" s="1" t="inlineStr">
        <is>
          <t>TT 45/2013</t>
        </is>
      </c>
    </row>
    <row r="201">
      <c r="A201" s="1" t="inlineStr"/>
      <c r="B201" s="1" t="inlineStr">
        <is>
          <t>M_NANGLUONG</t>
        </is>
      </c>
      <c r="C201" s="1" t="inlineStr">
        <is>
          <t>ĐIỆN</t>
        </is>
      </c>
      <c r="D201" s="1" t="inlineStr">
        <is>
          <t xml:space="preserve"> - Năng lượng điện vận hành thiết bị PTN</t>
        </is>
      </c>
      <c r="E201" s="1" t="inlineStr">
        <is>
          <t>kWh</t>
        </is>
      </c>
      <c r="F201" s="1" t="inlineStr"/>
      <c r="G201" s="24" t="inlineStr"/>
      <c r="H201" s="24" t="inlineStr"/>
      <c r="I201" s="24" t="inlineStr"/>
      <c r="J201" s="24" t="n">
        <v>0.5</v>
      </c>
      <c r="K201" s="24" t="inlineStr"/>
      <c r="L201" s="24" t="inlineStr"/>
      <c r="M201" s="24" t="inlineStr"/>
      <c r="N201" s="24">
        <f>ROUND(F195*J201, 4)</f>
        <v/>
      </c>
      <c r="O201" s="1" t="inlineStr">
        <is>
          <t>Điện năng PTN</t>
        </is>
      </c>
    </row>
    <row r="202">
      <c r="A202" s="1" t="inlineStr"/>
      <c r="B202" s="1" t="inlineStr">
        <is>
          <t>VL_01</t>
        </is>
      </c>
      <c r="C202" s="1" t="inlineStr">
        <is>
          <t>VL</t>
        </is>
      </c>
      <c r="D202" s="1" t="inlineStr">
        <is>
          <t xml:space="preserve"> - Hóa chất phân tích tinh khiết, màng lọc, chuẩn</t>
        </is>
      </c>
      <c r="E202" s="1" t="inlineStr">
        <is>
          <t>bộ</t>
        </is>
      </c>
      <c r="F202" s="1" t="inlineStr"/>
      <c r="G202" s="24" t="n">
        <v>0.04</v>
      </c>
      <c r="H202" s="24" t="inlineStr"/>
      <c r="I202" s="24" t="inlineStr"/>
      <c r="J202" s="24" t="inlineStr"/>
      <c r="K202" s="24">
        <f>ROUND(F195*G202, 4)</f>
        <v/>
      </c>
      <c r="L202" s="24" t="inlineStr"/>
      <c r="M202" s="24" t="inlineStr"/>
      <c r="N202" s="24" t="inlineStr"/>
      <c r="O202" s="1" t="inlineStr">
        <is>
          <t>Khoản 4.4 TT20</t>
        </is>
      </c>
    </row>
    <row r="203">
      <c r="A203" s="1" t="inlineStr"/>
      <c r="B203" s="1" t="inlineStr">
        <is>
          <t>VL_KHAC</t>
        </is>
      </c>
      <c r="C203" s="1" t="inlineStr">
        <is>
          <t>VL_PHỤ</t>
        </is>
      </c>
      <c r="D203" s="1" t="inlineStr">
        <is>
          <t xml:space="preserve"> - Vật liệu phụ khác (8% vật liệu chính)</t>
        </is>
      </c>
      <c r="E203" s="1" t="inlineStr">
        <is>
          <t>%</t>
        </is>
      </c>
      <c r="F203" s="1" t="inlineStr"/>
      <c r="G203" s="24" t="n">
        <v>0.08</v>
      </c>
      <c r="H203" s="24" t="inlineStr"/>
      <c r="I203" s="24" t="inlineStr"/>
      <c r="J203" s="24" t="inlineStr"/>
      <c r="K203" s="24">
        <f>ROUND(K202*G203, 4)</f>
        <v/>
      </c>
      <c r="L203" s="24" t="inlineStr"/>
      <c r="M203" s="24" t="inlineStr"/>
      <c r="N203" s="24" t="inlineStr"/>
      <c r="O203" s="1" t="inlineStr">
        <is>
          <t>8% Khoản 4.4 TT20</t>
        </is>
      </c>
    </row>
    <row r="204">
      <c r="A204" s="21">
        <f>'Công trình'!A29</f>
        <v/>
      </c>
      <c r="B204" s="21">
        <f>'Công trình'!C29</f>
        <v/>
      </c>
      <c r="C204" s="21" t="inlineStr"/>
      <c r="D204" s="22">
        <f>'Công trình'!D29</f>
        <v/>
      </c>
      <c r="E204" s="21">
        <f>'Công trình'!E29</f>
        <v/>
      </c>
      <c r="F204" s="21">
        <f>'Công trình'!L29</f>
        <v/>
      </c>
      <c r="G204" s="23" t="inlineStr"/>
      <c r="H204" s="23" t="inlineStr"/>
      <c r="I204" s="23" t="inlineStr"/>
      <c r="J204" s="23" t="inlineStr"/>
      <c r="K204" s="23" t="inlineStr"/>
      <c r="L204" s="23" t="inlineStr"/>
      <c r="M204" s="23" t="inlineStr"/>
      <c r="N204" s="23" t="inlineStr"/>
      <c r="O204" s="21" t="inlineStr">
        <is>
          <t>PAKT &amp; Định mức TT20</t>
        </is>
      </c>
    </row>
    <row r="205">
      <c r="A205" s="1" t="inlineStr"/>
      <c r="B205" s="1" t="inlineStr">
        <is>
          <t>NC_LDKT</t>
        </is>
      </c>
      <c r="C205" s="1" t="inlineStr">
        <is>
          <t>LĐKT</t>
        </is>
      </c>
      <c r="D205" s="1" t="inlineStr">
        <is>
          <t xml:space="preserve"> - Kỹ sư / Kiểm định viên / Quan trắc viên</t>
        </is>
      </c>
      <c r="E205" s="1" t="inlineStr">
        <is>
          <t>công</t>
        </is>
      </c>
      <c r="F205" s="1" t="inlineStr"/>
      <c r="G205" s="24" t="inlineStr"/>
      <c r="H205" s="24" t="n">
        <v>0.176</v>
      </c>
      <c r="I205" s="24" t="inlineStr"/>
      <c r="J205" s="24" t="inlineStr"/>
      <c r="K205" s="24" t="inlineStr"/>
      <c r="L205" s="24">
        <f>ROUND(F204*H205, 4)</f>
        <v/>
      </c>
      <c r="M205" s="24" t="inlineStr"/>
      <c r="N205" s="24" t="inlineStr"/>
      <c r="O205" s="1" t="inlineStr">
        <is>
          <t>TTLT 56/2015</t>
        </is>
      </c>
    </row>
    <row r="206">
      <c r="A206" s="1" t="inlineStr"/>
      <c r="B206" s="1" t="inlineStr">
        <is>
          <t>NC_LDPT</t>
        </is>
      </c>
      <c r="C206" s="1" t="inlineStr">
        <is>
          <t>LĐPT</t>
        </is>
      </c>
      <c r="D206" s="1" t="inlineStr">
        <is>
          <t xml:space="preserve"> - Lao động phổ thông phụ việc hiện trường</t>
        </is>
      </c>
      <c r="E206" s="1" t="inlineStr">
        <is>
          <t>công</t>
        </is>
      </c>
      <c r="F206" s="1" t="inlineStr"/>
      <c r="G206" s="24" t="inlineStr"/>
      <c r="H206" s="24" t="n">
        <v>0.044</v>
      </c>
      <c r="I206" s="24" t="inlineStr"/>
      <c r="J206" s="24" t="inlineStr"/>
      <c r="K206" s="24" t="inlineStr"/>
      <c r="L206" s="24">
        <f>ROUND(F204*H206, 4)</f>
        <v/>
      </c>
      <c r="M206" s="24" t="inlineStr"/>
      <c r="N206" s="24" t="inlineStr"/>
      <c r="O206" s="1" t="inlineStr">
        <is>
          <t>Hỗ trợ ngoại nghiệp</t>
        </is>
      </c>
    </row>
    <row r="207">
      <c r="A207" s="1" t="inlineStr"/>
      <c r="B207" s="1" t="inlineStr">
        <is>
          <t>CCDC_01</t>
        </is>
      </c>
      <c r="C207" s="1" t="inlineStr">
        <is>
          <t>CCDC</t>
        </is>
      </c>
      <c r="D207" s="1" t="inlineStr">
        <is>
          <t xml:space="preserve"> - Ca dụng cụ, thiết bị nhỏ đo đạc/lấy mẫu</t>
        </is>
      </c>
      <c r="E207" s="1" t="inlineStr">
        <is>
          <t>ca</t>
        </is>
      </c>
      <c r="F207" s="1" t="inlineStr"/>
      <c r="G207" s="24" t="inlineStr"/>
      <c r="H207" s="24" t="inlineStr"/>
      <c r="I207" s="24" t="n">
        <v>0.1</v>
      </c>
      <c r="J207" s="24" t="inlineStr"/>
      <c r="K207" s="24" t="inlineStr"/>
      <c r="L207" s="24" t="inlineStr"/>
      <c r="M207" s="24">
        <f>ROUND(F204*I207, 4)</f>
        <v/>
      </c>
      <c r="N207" s="24" t="inlineStr"/>
      <c r="O207" s="1" t="inlineStr">
        <is>
          <t>Khoản 4.2 TT20</t>
        </is>
      </c>
    </row>
    <row r="208">
      <c r="A208" s="1" t="inlineStr"/>
      <c r="B208" s="1" t="inlineStr">
        <is>
          <t>CCDC_PHU</t>
        </is>
      </c>
      <c r="C208" s="1" t="inlineStr">
        <is>
          <t>CCDC_PHỤ</t>
        </is>
      </c>
      <c r="D208" s="1" t="inlineStr">
        <is>
          <t xml:space="preserve"> - Dụng cụ phụ khác (10% CCDC chính)</t>
        </is>
      </c>
      <c r="E208" s="1" t="inlineStr">
        <is>
          <t>%</t>
        </is>
      </c>
      <c r="F208" s="1" t="inlineStr"/>
      <c r="G208" s="24" t="inlineStr"/>
      <c r="H208" s="24" t="inlineStr"/>
      <c r="I208" s="24" t="n">
        <v>0.1</v>
      </c>
      <c r="J208" s="24" t="inlineStr"/>
      <c r="K208" s="24" t="inlineStr"/>
      <c r="L208" s="24" t="inlineStr"/>
      <c r="M208" s="24">
        <f>ROUND(M207*I208, 4)</f>
        <v/>
      </c>
      <c r="N208" s="24" t="inlineStr"/>
      <c r="O208" s="1" t="inlineStr">
        <is>
          <t>10% Khoản 4.2 TT20</t>
        </is>
      </c>
    </row>
    <row r="209">
      <c r="A209" s="1" t="inlineStr"/>
      <c r="B209" s="1" t="inlineStr">
        <is>
          <t>M_KHTSCD</t>
        </is>
      </c>
      <c r="C209" s="1" t="inlineStr">
        <is>
          <t>MÁY</t>
        </is>
      </c>
      <c r="D209" s="1" t="inlineStr">
        <is>
          <t xml:space="preserve"> - Khấu hao thiết bị quan trắc chuyên dụng</t>
        </is>
      </c>
      <c r="E209" s="1" t="inlineStr">
        <is>
          <t>ca</t>
        </is>
      </c>
      <c r="F209" s="1" t="inlineStr"/>
      <c r="G209" s="24" t="inlineStr"/>
      <c r="H209" s="24" t="inlineStr"/>
      <c r="I209" s="24" t="inlineStr"/>
      <c r="J209" s="24" t="n">
        <v>0.08</v>
      </c>
      <c r="K209" s="24" t="inlineStr"/>
      <c r="L209" s="24" t="inlineStr"/>
      <c r="M209" s="24" t="inlineStr"/>
      <c r="N209" s="24">
        <f>ROUND(F204*J209, 4)</f>
        <v/>
      </c>
      <c r="O209" s="1" t="inlineStr">
        <is>
          <t>TT 45/2013</t>
        </is>
      </c>
    </row>
    <row r="210">
      <c r="A210" s="1" t="inlineStr"/>
      <c r="B210" s="1" t="inlineStr">
        <is>
          <t>M_NANGLUONG</t>
        </is>
      </c>
      <c r="C210" s="1" t="inlineStr">
        <is>
          <t>ĐIỆN</t>
        </is>
      </c>
      <c r="D210" s="1" t="inlineStr">
        <is>
          <t xml:space="preserve"> - Năng lượng điện vận hành thiết bị PTN</t>
        </is>
      </c>
      <c r="E210" s="1" t="inlineStr">
        <is>
          <t>kWh</t>
        </is>
      </c>
      <c r="F210" s="1" t="inlineStr"/>
      <c r="G210" s="24" t="inlineStr"/>
      <c r="H210" s="24" t="inlineStr"/>
      <c r="I210" s="24" t="inlineStr"/>
      <c r="J210" s="24" t="n">
        <v>0.5</v>
      </c>
      <c r="K210" s="24" t="inlineStr"/>
      <c r="L210" s="24" t="inlineStr"/>
      <c r="M210" s="24" t="inlineStr"/>
      <c r="N210" s="24">
        <f>ROUND(F204*J210, 4)</f>
        <v/>
      </c>
      <c r="O210" s="1" t="inlineStr">
        <is>
          <t>Điện năng PTN</t>
        </is>
      </c>
    </row>
    <row r="211">
      <c r="A211" s="1" t="inlineStr"/>
      <c r="B211" s="1" t="inlineStr">
        <is>
          <t>VL_01</t>
        </is>
      </c>
      <c r="C211" s="1" t="inlineStr">
        <is>
          <t>VL</t>
        </is>
      </c>
      <c r="D211" s="1" t="inlineStr">
        <is>
          <t xml:space="preserve"> - Hóa chất phân tích tinh khiết, màng lọc, chuẩn</t>
        </is>
      </c>
      <c r="E211" s="1" t="inlineStr">
        <is>
          <t>bộ</t>
        </is>
      </c>
      <c r="F211" s="1" t="inlineStr"/>
      <c r="G211" s="24" t="n">
        <v>0.04</v>
      </c>
      <c r="H211" s="24" t="inlineStr"/>
      <c r="I211" s="24" t="inlineStr"/>
      <c r="J211" s="24" t="inlineStr"/>
      <c r="K211" s="24">
        <f>ROUND(F204*G211, 4)</f>
        <v/>
      </c>
      <c r="L211" s="24" t="inlineStr"/>
      <c r="M211" s="24" t="inlineStr"/>
      <c r="N211" s="24" t="inlineStr"/>
      <c r="O211" s="1" t="inlineStr">
        <is>
          <t>Khoản 4.4 TT20</t>
        </is>
      </c>
    </row>
    <row r="212">
      <c r="A212" s="1" t="inlineStr"/>
      <c r="B212" s="1" t="inlineStr">
        <is>
          <t>VL_KHAC</t>
        </is>
      </c>
      <c r="C212" s="1" t="inlineStr">
        <is>
          <t>VL_PHỤ</t>
        </is>
      </c>
      <c r="D212" s="1" t="inlineStr">
        <is>
          <t xml:space="preserve"> - Vật liệu phụ khác (8% vật liệu chính)</t>
        </is>
      </c>
      <c r="E212" s="1" t="inlineStr">
        <is>
          <t>%</t>
        </is>
      </c>
      <c r="F212" s="1" t="inlineStr"/>
      <c r="G212" s="24" t="n">
        <v>0.08</v>
      </c>
      <c r="H212" s="24" t="inlineStr"/>
      <c r="I212" s="24" t="inlineStr"/>
      <c r="J212" s="24" t="inlineStr"/>
      <c r="K212" s="24">
        <f>ROUND(K211*G212, 4)</f>
        <v/>
      </c>
      <c r="L212" s="24" t="inlineStr"/>
      <c r="M212" s="24" t="inlineStr"/>
      <c r="N212" s="24" t="inlineStr"/>
      <c r="O212" s="1" t="inlineStr">
        <is>
          <t>8% Khoản 4.4 TT20</t>
        </is>
      </c>
    </row>
    <row r="213">
      <c r="A213" s="21">
        <f>'Công trình'!A30</f>
        <v/>
      </c>
      <c r="B213" s="21">
        <f>'Công trình'!C30</f>
        <v/>
      </c>
      <c r="C213" s="21" t="inlineStr"/>
      <c r="D213" s="22">
        <f>'Công trình'!D30</f>
        <v/>
      </c>
      <c r="E213" s="21">
        <f>'Công trình'!E30</f>
        <v/>
      </c>
      <c r="F213" s="21">
        <f>'Công trình'!L30</f>
        <v/>
      </c>
      <c r="G213" s="23" t="inlineStr"/>
      <c r="H213" s="23" t="inlineStr"/>
      <c r="I213" s="23" t="inlineStr"/>
      <c r="J213" s="23" t="inlineStr"/>
      <c r="K213" s="23" t="inlineStr"/>
      <c r="L213" s="23" t="inlineStr"/>
      <c r="M213" s="23" t="inlineStr"/>
      <c r="N213" s="23" t="inlineStr"/>
      <c r="O213" s="21" t="inlineStr">
        <is>
          <t>PAKT &amp; Định mức TT20</t>
        </is>
      </c>
    </row>
    <row r="214">
      <c r="A214" s="1" t="inlineStr"/>
      <c r="B214" s="1" t="inlineStr">
        <is>
          <t>NC_LDKT</t>
        </is>
      </c>
      <c r="C214" s="1" t="inlineStr">
        <is>
          <t>LĐKT</t>
        </is>
      </c>
      <c r="D214" s="1" t="inlineStr">
        <is>
          <t xml:space="preserve"> - Kỹ sư / Kiểm định viên / Quan trắc viên</t>
        </is>
      </c>
      <c r="E214" s="1" t="inlineStr">
        <is>
          <t>công</t>
        </is>
      </c>
      <c r="F214" s="1" t="inlineStr"/>
      <c r="G214" s="24" t="inlineStr"/>
      <c r="H214" s="24" t="n">
        <v>0.176</v>
      </c>
      <c r="I214" s="24" t="inlineStr"/>
      <c r="J214" s="24" t="inlineStr"/>
      <c r="K214" s="24" t="inlineStr"/>
      <c r="L214" s="24">
        <f>ROUND(F213*H214, 4)</f>
        <v/>
      </c>
      <c r="M214" s="24" t="inlineStr"/>
      <c r="N214" s="24" t="inlineStr"/>
      <c r="O214" s="1" t="inlineStr">
        <is>
          <t>TTLT 56/2015</t>
        </is>
      </c>
    </row>
    <row r="215">
      <c r="A215" s="1" t="inlineStr"/>
      <c r="B215" s="1" t="inlineStr">
        <is>
          <t>NC_LDPT</t>
        </is>
      </c>
      <c r="C215" s="1" t="inlineStr">
        <is>
          <t>LĐPT</t>
        </is>
      </c>
      <c r="D215" s="1" t="inlineStr">
        <is>
          <t xml:space="preserve"> - Lao động phổ thông phụ việc hiện trường</t>
        </is>
      </c>
      <c r="E215" s="1" t="inlineStr">
        <is>
          <t>công</t>
        </is>
      </c>
      <c r="F215" s="1" t="inlineStr"/>
      <c r="G215" s="24" t="inlineStr"/>
      <c r="H215" s="24" t="n">
        <v>0.044</v>
      </c>
      <c r="I215" s="24" t="inlineStr"/>
      <c r="J215" s="24" t="inlineStr"/>
      <c r="K215" s="24" t="inlineStr"/>
      <c r="L215" s="24">
        <f>ROUND(F213*H215, 4)</f>
        <v/>
      </c>
      <c r="M215" s="24" t="inlineStr"/>
      <c r="N215" s="24" t="inlineStr"/>
      <c r="O215" s="1" t="inlineStr">
        <is>
          <t>Hỗ trợ ngoại nghiệp</t>
        </is>
      </c>
    </row>
    <row r="216">
      <c r="A216" s="1" t="inlineStr"/>
      <c r="B216" s="1" t="inlineStr">
        <is>
          <t>CCDC_01</t>
        </is>
      </c>
      <c r="C216" s="1" t="inlineStr">
        <is>
          <t>CCDC</t>
        </is>
      </c>
      <c r="D216" s="1" t="inlineStr">
        <is>
          <t xml:space="preserve"> - Ca dụng cụ, thiết bị nhỏ đo đạc/lấy mẫu</t>
        </is>
      </c>
      <c r="E216" s="1" t="inlineStr">
        <is>
          <t>ca</t>
        </is>
      </c>
      <c r="F216" s="1" t="inlineStr"/>
      <c r="G216" s="24" t="inlineStr"/>
      <c r="H216" s="24" t="inlineStr"/>
      <c r="I216" s="24" t="n">
        <v>0.1</v>
      </c>
      <c r="J216" s="24" t="inlineStr"/>
      <c r="K216" s="24" t="inlineStr"/>
      <c r="L216" s="24" t="inlineStr"/>
      <c r="M216" s="24">
        <f>ROUND(F213*I216, 4)</f>
        <v/>
      </c>
      <c r="N216" s="24" t="inlineStr"/>
      <c r="O216" s="1" t="inlineStr">
        <is>
          <t>Khoản 4.2 TT20</t>
        </is>
      </c>
    </row>
    <row r="217">
      <c r="A217" s="1" t="inlineStr"/>
      <c r="B217" s="1" t="inlineStr">
        <is>
          <t>CCDC_PHU</t>
        </is>
      </c>
      <c r="C217" s="1" t="inlineStr">
        <is>
          <t>CCDC_PHỤ</t>
        </is>
      </c>
      <c r="D217" s="1" t="inlineStr">
        <is>
          <t xml:space="preserve"> - Dụng cụ phụ khác (10% CCDC chính)</t>
        </is>
      </c>
      <c r="E217" s="1" t="inlineStr">
        <is>
          <t>%</t>
        </is>
      </c>
      <c r="F217" s="1" t="inlineStr"/>
      <c r="G217" s="24" t="inlineStr"/>
      <c r="H217" s="24" t="inlineStr"/>
      <c r="I217" s="24" t="n">
        <v>0.1</v>
      </c>
      <c r="J217" s="24" t="inlineStr"/>
      <c r="K217" s="24" t="inlineStr"/>
      <c r="L217" s="24" t="inlineStr"/>
      <c r="M217" s="24">
        <f>ROUND(M216*I217, 4)</f>
        <v/>
      </c>
      <c r="N217" s="24" t="inlineStr"/>
      <c r="O217" s="1" t="inlineStr">
        <is>
          <t>10% Khoản 4.2 TT20</t>
        </is>
      </c>
    </row>
    <row r="218">
      <c r="A218" s="1" t="inlineStr"/>
      <c r="B218" s="1" t="inlineStr">
        <is>
          <t>M_KHTSCD</t>
        </is>
      </c>
      <c r="C218" s="1" t="inlineStr">
        <is>
          <t>MÁY</t>
        </is>
      </c>
      <c r="D218" s="1" t="inlineStr">
        <is>
          <t xml:space="preserve"> - Khấu hao thiết bị quan trắc chuyên dụng</t>
        </is>
      </c>
      <c r="E218" s="1" t="inlineStr">
        <is>
          <t>ca</t>
        </is>
      </c>
      <c r="F218" s="1" t="inlineStr"/>
      <c r="G218" s="24" t="inlineStr"/>
      <c r="H218" s="24" t="inlineStr"/>
      <c r="I218" s="24" t="inlineStr"/>
      <c r="J218" s="24" t="n">
        <v>0.08</v>
      </c>
      <c r="K218" s="24" t="inlineStr"/>
      <c r="L218" s="24" t="inlineStr"/>
      <c r="M218" s="24" t="inlineStr"/>
      <c r="N218" s="24">
        <f>ROUND(F213*J218, 4)</f>
        <v/>
      </c>
      <c r="O218" s="1" t="inlineStr">
        <is>
          <t>TT 45/2013</t>
        </is>
      </c>
    </row>
    <row r="219">
      <c r="A219" s="1" t="inlineStr"/>
      <c r="B219" s="1" t="inlineStr">
        <is>
          <t>M_NANGLUONG</t>
        </is>
      </c>
      <c r="C219" s="1" t="inlineStr">
        <is>
          <t>ĐIỆN</t>
        </is>
      </c>
      <c r="D219" s="1" t="inlineStr">
        <is>
          <t xml:space="preserve"> - Năng lượng điện vận hành thiết bị PTN</t>
        </is>
      </c>
      <c r="E219" s="1" t="inlineStr">
        <is>
          <t>kWh</t>
        </is>
      </c>
      <c r="F219" s="1" t="inlineStr"/>
      <c r="G219" s="24" t="inlineStr"/>
      <c r="H219" s="24" t="inlineStr"/>
      <c r="I219" s="24" t="inlineStr"/>
      <c r="J219" s="24" t="n">
        <v>0.5</v>
      </c>
      <c r="K219" s="24" t="inlineStr"/>
      <c r="L219" s="24" t="inlineStr"/>
      <c r="M219" s="24" t="inlineStr"/>
      <c r="N219" s="24">
        <f>ROUND(F213*J219, 4)</f>
        <v/>
      </c>
      <c r="O219" s="1" t="inlineStr">
        <is>
          <t>Điện năng PTN</t>
        </is>
      </c>
    </row>
    <row r="220">
      <c r="A220" s="1" t="inlineStr"/>
      <c r="B220" s="1" t="inlineStr">
        <is>
          <t>VL_01</t>
        </is>
      </c>
      <c r="C220" s="1" t="inlineStr">
        <is>
          <t>VL</t>
        </is>
      </c>
      <c r="D220" s="1" t="inlineStr">
        <is>
          <t xml:space="preserve"> - Hóa chất phân tích tinh khiết, màng lọc, chuẩn</t>
        </is>
      </c>
      <c r="E220" s="1" t="inlineStr">
        <is>
          <t>bộ</t>
        </is>
      </c>
      <c r="F220" s="1" t="inlineStr"/>
      <c r="G220" s="24" t="n">
        <v>0.04</v>
      </c>
      <c r="H220" s="24" t="inlineStr"/>
      <c r="I220" s="24" t="inlineStr"/>
      <c r="J220" s="24" t="inlineStr"/>
      <c r="K220" s="24">
        <f>ROUND(F213*G220, 4)</f>
        <v/>
      </c>
      <c r="L220" s="24" t="inlineStr"/>
      <c r="M220" s="24" t="inlineStr"/>
      <c r="N220" s="24" t="inlineStr"/>
      <c r="O220" s="1" t="inlineStr">
        <is>
          <t>Khoản 4.4 TT20</t>
        </is>
      </c>
    </row>
    <row r="221">
      <c r="A221" s="1" t="inlineStr"/>
      <c r="B221" s="1" t="inlineStr">
        <is>
          <t>VL_KHAC</t>
        </is>
      </c>
      <c r="C221" s="1" t="inlineStr">
        <is>
          <t>VL_PHỤ</t>
        </is>
      </c>
      <c r="D221" s="1" t="inlineStr">
        <is>
          <t xml:space="preserve"> - Vật liệu phụ khác (8% vật liệu chính)</t>
        </is>
      </c>
      <c r="E221" s="1" t="inlineStr">
        <is>
          <t>%</t>
        </is>
      </c>
      <c r="F221" s="1" t="inlineStr"/>
      <c r="G221" s="24" t="n">
        <v>0.08</v>
      </c>
      <c r="H221" s="24" t="inlineStr"/>
      <c r="I221" s="24" t="inlineStr"/>
      <c r="J221" s="24" t="inlineStr"/>
      <c r="K221" s="24">
        <f>ROUND(K220*G221, 4)</f>
        <v/>
      </c>
      <c r="L221" s="24" t="inlineStr"/>
      <c r="M221" s="24" t="inlineStr"/>
      <c r="N221" s="24" t="inlineStr"/>
      <c r="O221" s="1" t="inlineStr">
        <is>
          <t>8% Khoản 4.4 TT20</t>
        </is>
      </c>
    </row>
    <row r="222">
      <c r="A222" s="21">
        <f>'Công trình'!A31</f>
        <v/>
      </c>
      <c r="B222" s="21">
        <f>'Công trình'!C31</f>
        <v/>
      </c>
      <c r="C222" s="21" t="inlineStr"/>
      <c r="D222" s="22">
        <f>'Công trình'!D31</f>
        <v/>
      </c>
      <c r="E222" s="21">
        <f>'Công trình'!E31</f>
        <v/>
      </c>
      <c r="F222" s="21">
        <f>'Công trình'!L31</f>
        <v/>
      </c>
      <c r="G222" s="23" t="inlineStr"/>
      <c r="H222" s="23" t="inlineStr"/>
      <c r="I222" s="23" t="inlineStr"/>
      <c r="J222" s="23" t="inlineStr"/>
      <c r="K222" s="23" t="inlineStr"/>
      <c r="L222" s="23" t="inlineStr"/>
      <c r="M222" s="23" t="inlineStr"/>
      <c r="N222" s="23" t="inlineStr"/>
      <c r="O222" s="21" t="inlineStr">
        <is>
          <t>PAKT &amp; Định mức TT20</t>
        </is>
      </c>
    </row>
    <row r="223">
      <c r="A223" s="1" t="inlineStr"/>
      <c r="B223" s="1" t="inlineStr">
        <is>
          <t>NC_LDKT</t>
        </is>
      </c>
      <c r="C223" s="1" t="inlineStr">
        <is>
          <t>LĐKT</t>
        </is>
      </c>
      <c r="D223" s="1" t="inlineStr">
        <is>
          <t xml:space="preserve"> - Kỹ sư / Kiểm định viên / Quan trắc viên</t>
        </is>
      </c>
      <c r="E223" s="1" t="inlineStr">
        <is>
          <t>công</t>
        </is>
      </c>
      <c r="F223" s="1" t="inlineStr"/>
      <c r="G223" s="24" t="inlineStr"/>
      <c r="H223" s="24" t="n">
        <v>0.176</v>
      </c>
      <c r="I223" s="24" t="inlineStr"/>
      <c r="J223" s="24" t="inlineStr"/>
      <c r="K223" s="24" t="inlineStr"/>
      <c r="L223" s="24">
        <f>ROUND(F222*H223, 4)</f>
        <v/>
      </c>
      <c r="M223" s="24" t="inlineStr"/>
      <c r="N223" s="24" t="inlineStr"/>
      <c r="O223" s="1" t="inlineStr">
        <is>
          <t>TTLT 56/2015</t>
        </is>
      </c>
    </row>
    <row r="224">
      <c r="A224" s="1" t="inlineStr"/>
      <c r="B224" s="1" t="inlineStr">
        <is>
          <t>NC_LDPT</t>
        </is>
      </c>
      <c r="C224" s="1" t="inlineStr">
        <is>
          <t>LĐPT</t>
        </is>
      </c>
      <c r="D224" s="1" t="inlineStr">
        <is>
          <t xml:space="preserve"> - Lao động phổ thông phụ việc hiện trường</t>
        </is>
      </c>
      <c r="E224" s="1" t="inlineStr">
        <is>
          <t>công</t>
        </is>
      </c>
      <c r="F224" s="1" t="inlineStr"/>
      <c r="G224" s="24" t="inlineStr"/>
      <c r="H224" s="24" t="n">
        <v>0.044</v>
      </c>
      <c r="I224" s="24" t="inlineStr"/>
      <c r="J224" s="24" t="inlineStr"/>
      <c r="K224" s="24" t="inlineStr"/>
      <c r="L224" s="24">
        <f>ROUND(F222*H224, 4)</f>
        <v/>
      </c>
      <c r="M224" s="24" t="inlineStr"/>
      <c r="N224" s="24" t="inlineStr"/>
      <c r="O224" s="1" t="inlineStr">
        <is>
          <t>Hỗ trợ ngoại nghiệp</t>
        </is>
      </c>
    </row>
    <row r="225">
      <c r="A225" s="1" t="inlineStr"/>
      <c r="B225" s="1" t="inlineStr">
        <is>
          <t>CCDC_01</t>
        </is>
      </c>
      <c r="C225" s="1" t="inlineStr">
        <is>
          <t>CCDC</t>
        </is>
      </c>
      <c r="D225" s="1" t="inlineStr">
        <is>
          <t xml:space="preserve"> - Ca dụng cụ, thiết bị nhỏ đo đạc/lấy mẫu</t>
        </is>
      </c>
      <c r="E225" s="1" t="inlineStr">
        <is>
          <t>ca</t>
        </is>
      </c>
      <c r="F225" s="1" t="inlineStr"/>
      <c r="G225" s="24" t="inlineStr"/>
      <c r="H225" s="24" t="inlineStr"/>
      <c r="I225" s="24" t="n">
        <v>0.1</v>
      </c>
      <c r="J225" s="24" t="inlineStr"/>
      <c r="K225" s="24" t="inlineStr"/>
      <c r="L225" s="24" t="inlineStr"/>
      <c r="M225" s="24">
        <f>ROUND(F222*I225, 4)</f>
        <v/>
      </c>
      <c r="N225" s="24" t="inlineStr"/>
      <c r="O225" s="1" t="inlineStr">
        <is>
          <t>Khoản 4.2 TT20</t>
        </is>
      </c>
    </row>
    <row r="226">
      <c r="A226" s="1" t="inlineStr"/>
      <c r="B226" s="1" t="inlineStr">
        <is>
          <t>CCDC_PHU</t>
        </is>
      </c>
      <c r="C226" s="1" t="inlineStr">
        <is>
          <t>CCDC_PHỤ</t>
        </is>
      </c>
      <c r="D226" s="1" t="inlineStr">
        <is>
          <t xml:space="preserve"> - Dụng cụ phụ khác (10% CCDC chính)</t>
        </is>
      </c>
      <c r="E226" s="1" t="inlineStr">
        <is>
          <t>%</t>
        </is>
      </c>
      <c r="F226" s="1" t="inlineStr"/>
      <c r="G226" s="24" t="inlineStr"/>
      <c r="H226" s="24" t="inlineStr"/>
      <c r="I226" s="24" t="n">
        <v>0.1</v>
      </c>
      <c r="J226" s="24" t="inlineStr"/>
      <c r="K226" s="24" t="inlineStr"/>
      <c r="L226" s="24" t="inlineStr"/>
      <c r="M226" s="24">
        <f>ROUND(M225*I226, 4)</f>
        <v/>
      </c>
      <c r="N226" s="24" t="inlineStr"/>
      <c r="O226" s="1" t="inlineStr">
        <is>
          <t>10% Khoản 4.2 TT20</t>
        </is>
      </c>
    </row>
    <row r="227">
      <c r="A227" s="1" t="inlineStr"/>
      <c r="B227" s="1" t="inlineStr">
        <is>
          <t>M_KHTSCD</t>
        </is>
      </c>
      <c r="C227" s="1" t="inlineStr">
        <is>
          <t>MÁY</t>
        </is>
      </c>
      <c r="D227" s="1" t="inlineStr">
        <is>
          <t xml:space="preserve"> - Khấu hao thiết bị quan trắc chuyên dụng</t>
        </is>
      </c>
      <c r="E227" s="1" t="inlineStr">
        <is>
          <t>ca</t>
        </is>
      </c>
      <c r="F227" s="1" t="inlineStr"/>
      <c r="G227" s="24" t="inlineStr"/>
      <c r="H227" s="24" t="inlineStr"/>
      <c r="I227" s="24" t="inlineStr"/>
      <c r="J227" s="24" t="n">
        <v>0.08</v>
      </c>
      <c r="K227" s="24" t="inlineStr"/>
      <c r="L227" s="24" t="inlineStr"/>
      <c r="M227" s="24" t="inlineStr"/>
      <c r="N227" s="24">
        <f>ROUND(F222*J227, 4)</f>
        <v/>
      </c>
      <c r="O227" s="1" t="inlineStr">
        <is>
          <t>TT 45/2013</t>
        </is>
      </c>
    </row>
    <row r="228">
      <c r="A228" s="1" t="inlineStr"/>
      <c r="B228" s="1" t="inlineStr">
        <is>
          <t>M_NANGLUONG</t>
        </is>
      </c>
      <c r="C228" s="1" t="inlineStr">
        <is>
          <t>ĐIỆN</t>
        </is>
      </c>
      <c r="D228" s="1" t="inlineStr">
        <is>
          <t xml:space="preserve"> - Năng lượng điện vận hành thiết bị PTN</t>
        </is>
      </c>
      <c r="E228" s="1" t="inlineStr">
        <is>
          <t>kWh</t>
        </is>
      </c>
      <c r="F228" s="1" t="inlineStr"/>
      <c r="G228" s="24" t="inlineStr"/>
      <c r="H228" s="24" t="inlineStr"/>
      <c r="I228" s="24" t="inlineStr"/>
      <c r="J228" s="24" t="n">
        <v>0.5</v>
      </c>
      <c r="K228" s="24" t="inlineStr"/>
      <c r="L228" s="24" t="inlineStr"/>
      <c r="M228" s="24" t="inlineStr"/>
      <c r="N228" s="24">
        <f>ROUND(F222*J228, 4)</f>
        <v/>
      </c>
      <c r="O228" s="1" t="inlineStr">
        <is>
          <t>Điện năng PTN</t>
        </is>
      </c>
    </row>
    <row r="229">
      <c r="A229" s="1" t="inlineStr"/>
      <c r="B229" s="1" t="inlineStr">
        <is>
          <t>VL_01</t>
        </is>
      </c>
      <c r="C229" s="1" t="inlineStr">
        <is>
          <t>VL</t>
        </is>
      </c>
      <c r="D229" s="1" t="inlineStr">
        <is>
          <t xml:space="preserve"> - Hóa chất phân tích tinh khiết, màng lọc, chuẩn</t>
        </is>
      </c>
      <c r="E229" s="1" t="inlineStr">
        <is>
          <t>bộ</t>
        </is>
      </c>
      <c r="F229" s="1" t="inlineStr"/>
      <c r="G229" s="24" t="n">
        <v>0.04</v>
      </c>
      <c r="H229" s="24" t="inlineStr"/>
      <c r="I229" s="24" t="inlineStr"/>
      <c r="J229" s="24" t="inlineStr"/>
      <c r="K229" s="24">
        <f>ROUND(F222*G229, 4)</f>
        <v/>
      </c>
      <c r="L229" s="24" t="inlineStr"/>
      <c r="M229" s="24" t="inlineStr"/>
      <c r="N229" s="24" t="inlineStr"/>
      <c r="O229" s="1" t="inlineStr">
        <is>
          <t>Khoản 4.4 TT20</t>
        </is>
      </c>
    </row>
    <row r="230">
      <c r="A230" s="1" t="inlineStr"/>
      <c r="B230" s="1" t="inlineStr">
        <is>
          <t>VL_KHAC</t>
        </is>
      </c>
      <c r="C230" s="1" t="inlineStr">
        <is>
          <t>VL_PHỤ</t>
        </is>
      </c>
      <c r="D230" s="1" t="inlineStr">
        <is>
          <t xml:space="preserve"> - Vật liệu phụ khác (8% vật liệu chính)</t>
        </is>
      </c>
      <c r="E230" s="1" t="inlineStr">
        <is>
          <t>%</t>
        </is>
      </c>
      <c r="F230" s="1" t="inlineStr"/>
      <c r="G230" s="24" t="n">
        <v>0.08</v>
      </c>
      <c r="H230" s="24" t="inlineStr"/>
      <c r="I230" s="24" t="inlineStr"/>
      <c r="J230" s="24" t="inlineStr"/>
      <c r="K230" s="24">
        <f>ROUND(K229*G230, 4)</f>
        <v/>
      </c>
      <c r="L230" s="24" t="inlineStr"/>
      <c r="M230" s="24" t="inlineStr"/>
      <c r="N230" s="24" t="inlineStr"/>
      <c r="O230" s="1" t="inlineStr">
        <is>
          <t>8% Khoản 4.4 TT20</t>
        </is>
      </c>
    </row>
    <row r="231">
      <c r="A231" s="21">
        <f>'Công trình'!A32</f>
        <v/>
      </c>
      <c r="B231" s="21">
        <f>'Công trình'!C32</f>
        <v/>
      </c>
      <c r="C231" s="21" t="inlineStr"/>
      <c r="D231" s="22">
        <f>'Công trình'!D32</f>
        <v/>
      </c>
      <c r="E231" s="21">
        <f>'Công trình'!E32</f>
        <v/>
      </c>
      <c r="F231" s="21">
        <f>'Công trình'!L32</f>
        <v/>
      </c>
      <c r="G231" s="23" t="inlineStr"/>
      <c r="H231" s="23" t="inlineStr"/>
      <c r="I231" s="23" t="inlineStr"/>
      <c r="J231" s="23" t="inlineStr"/>
      <c r="K231" s="23" t="inlineStr"/>
      <c r="L231" s="23" t="inlineStr"/>
      <c r="M231" s="23" t="inlineStr"/>
      <c r="N231" s="23" t="inlineStr"/>
      <c r="O231" s="21" t="inlineStr">
        <is>
          <t>PAKT &amp; Định mức TT20</t>
        </is>
      </c>
    </row>
    <row r="232">
      <c r="A232" s="1" t="inlineStr"/>
      <c r="B232" s="1" t="inlineStr">
        <is>
          <t>NC_LDKT</t>
        </is>
      </c>
      <c r="C232" s="1" t="inlineStr">
        <is>
          <t>LĐKT</t>
        </is>
      </c>
      <c r="D232" s="1" t="inlineStr">
        <is>
          <t xml:space="preserve"> - Kỹ sư / Kiểm định viên / Quan trắc viên</t>
        </is>
      </c>
      <c r="E232" s="1" t="inlineStr">
        <is>
          <t>công</t>
        </is>
      </c>
      <c r="F232" s="1" t="inlineStr"/>
      <c r="G232" s="24" t="inlineStr"/>
      <c r="H232" s="24" t="n">
        <v>0.176</v>
      </c>
      <c r="I232" s="24" t="inlineStr"/>
      <c r="J232" s="24" t="inlineStr"/>
      <c r="K232" s="24" t="inlineStr"/>
      <c r="L232" s="24">
        <f>ROUND(F231*H232, 4)</f>
        <v/>
      </c>
      <c r="M232" s="24" t="inlineStr"/>
      <c r="N232" s="24" t="inlineStr"/>
      <c r="O232" s="1" t="inlineStr">
        <is>
          <t>TTLT 56/2015</t>
        </is>
      </c>
    </row>
    <row r="233">
      <c r="A233" s="1" t="inlineStr"/>
      <c r="B233" s="1" t="inlineStr">
        <is>
          <t>NC_LDPT</t>
        </is>
      </c>
      <c r="C233" s="1" t="inlineStr">
        <is>
          <t>LĐPT</t>
        </is>
      </c>
      <c r="D233" s="1" t="inlineStr">
        <is>
          <t xml:space="preserve"> - Lao động phổ thông phụ việc hiện trường</t>
        </is>
      </c>
      <c r="E233" s="1" t="inlineStr">
        <is>
          <t>công</t>
        </is>
      </c>
      <c r="F233" s="1" t="inlineStr"/>
      <c r="G233" s="24" t="inlineStr"/>
      <c r="H233" s="24" t="n">
        <v>0.044</v>
      </c>
      <c r="I233" s="24" t="inlineStr"/>
      <c r="J233" s="24" t="inlineStr"/>
      <c r="K233" s="24" t="inlineStr"/>
      <c r="L233" s="24">
        <f>ROUND(F231*H233, 4)</f>
        <v/>
      </c>
      <c r="M233" s="24" t="inlineStr"/>
      <c r="N233" s="24" t="inlineStr"/>
      <c r="O233" s="1" t="inlineStr">
        <is>
          <t>Hỗ trợ ngoại nghiệp</t>
        </is>
      </c>
    </row>
    <row r="234">
      <c r="A234" s="1" t="inlineStr"/>
      <c r="B234" s="1" t="inlineStr">
        <is>
          <t>CCDC_01</t>
        </is>
      </c>
      <c r="C234" s="1" t="inlineStr">
        <is>
          <t>CCDC</t>
        </is>
      </c>
      <c r="D234" s="1" t="inlineStr">
        <is>
          <t xml:space="preserve"> - Ca dụng cụ, thiết bị nhỏ đo đạc/lấy mẫu</t>
        </is>
      </c>
      <c r="E234" s="1" t="inlineStr">
        <is>
          <t>ca</t>
        </is>
      </c>
      <c r="F234" s="1" t="inlineStr"/>
      <c r="G234" s="24" t="inlineStr"/>
      <c r="H234" s="24" t="inlineStr"/>
      <c r="I234" s="24" t="n">
        <v>0.1</v>
      </c>
      <c r="J234" s="24" t="inlineStr"/>
      <c r="K234" s="24" t="inlineStr"/>
      <c r="L234" s="24" t="inlineStr"/>
      <c r="M234" s="24">
        <f>ROUND(F231*I234, 4)</f>
        <v/>
      </c>
      <c r="N234" s="24" t="inlineStr"/>
      <c r="O234" s="1" t="inlineStr">
        <is>
          <t>Khoản 4.2 TT20</t>
        </is>
      </c>
    </row>
    <row r="235">
      <c r="A235" s="1" t="inlineStr"/>
      <c r="B235" s="1" t="inlineStr">
        <is>
          <t>CCDC_PHU</t>
        </is>
      </c>
      <c r="C235" s="1" t="inlineStr">
        <is>
          <t>CCDC_PHỤ</t>
        </is>
      </c>
      <c r="D235" s="1" t="inlineStr">
        <is>
          <t xml:space="preserve"> - Dụng cụ phụ khác (10% CCDC chính)</t>
        </is>
      </c>
      <c r="E235" s="1" t="inlineStr">
        <is>
          <t>%</t>
        </is>
      </c>
      <c r="F235" s="1" t="inlineStr"/>
      <c r="G235" s="24" t="inlineStr"/>
      <c r="H235" s="24" t="inlineStr"/>
      <c r="I235" s="24" t="n">
        <v>0.1</v>
      </c>
      <c r="J235" s="24" t="inlineStr"/>
      <c r="K235" s="24" t="inlineStr"/>
      <c r="L235" s="24" t="inlineStr"/>
      <c r="M235" s="24">
        <f>ROUND(M234*I235, 4)</f>
        <v/>
      </c>
      <c r="N235" s="24" t="inlineStr"/>
      <c r="O235" s="1" t="inlineStr">
        <is>
          <t>10% Khoản 4.2 TT20</t>
        </is>
      </c>
    </row>
    <row r="236">
      <c r="A236" s="1" t="inlineStr"/>
      <c r="B236" s="1" t="inlineStr">
        <is>
          <t>M_KHTSCD</t>
        </is>
      </c>
      <c r="C236" s="1" t="inlineStr">
        <is>
          <t>MÁY</t>
        </is>
      </c>
      <c r="D236" s="1" t="inlineStr">
        <is>
          <t xml:space="preserve"> - Khấu hao thiết bị quan trắc chuyên dụng</t>
        </is>
      </c>
      <c r="E236" s="1" t="inlineStr">
        <is>
          <t>ca</t>
        </is>
      </c>
      <c r="F236" s="1" t="inlineStr"/>
      <c r="G236" s="24" t="inlineStr"/>
      <c r="H236" s="24" t="inlineStr"/>
      <c r="I236" s="24" t="inlineStr"/>
      <c r="J236" s="24" t="n">
        <v>0.08</v>
      </c>
      <c r="K236" s="24" t="inlineStr"/>
      <c r="L236" s="24" t="inlineStr"/>
      <c r="M236" s="24" t="inlineStr"/>
      <c r="N236" s="24">
        <f>ROUND(F231*J236, 4)</f>
        <v/>
      </c>
      <c r="O236" s="1" t="inlineStr">
        <is>
          <t>TT 45/2013</t>
        </is>
      </c>
    </row>
    <row r="237">
      <c r="A237" s="1" t="inlineStr"/>
      <c r="B237" s="1" t="inlineStr">
        <is>
          <t>M_NANGLUONG</t>
        </is>
      </c>
      <c r="C237" s="1" t="inlineStr">
        <is>
          <t>ĐIỆN</t>
        </is>
      </c>
      <c r="D237" s="1" t="inlineStr">
        <is>
          <t xml:space="preserve"> - Năng lượng điện vận hành thiết bị PTN</t>
        </is>
      </c>
      <c r="E237" s="1" t="inlineStr">
        <is>
          <t>kWh</t>
        </is>
      </c>
      <c r="F237" s="1" t="inlineStr"/>
      <c r="G237" s="24" t="inlineStr"/>
      <c r="H237" s="24" t="inlineStr"/>
      <c r="I237" s="24" t="inlineStr"/>
      <c r="J237" s="24" t="n">
        <v>0.5</v>
      </c>
      <c r="K237" s="24" t="inlineStr"/>
      <c r="L237" s="24" t="inlineStr"/>
      <c r="M237" s="24" t="inlineStr"/>
      <c r="N237" s="24">
        <f>ROUND(F231*J237, 4)</f>
        <v/>
      </c>
      <c r="O237" s="1" t="inlineStr">
        <is>
          <t>Điện năng PTN</t>
        </is>
      </c>
    </row>
    <row r="238">
      <c r="A238" s="1" t="inlineStr"/>
      <c r="B238" s="1" t="inlineStr">
        <is>
          <t>VL_01</t>
        </is>
      </c>
      <c r="C238" s="1" t="inlineStr">
        <is>
          <t>VL</t>
        </is>
      </c>
      <c r="D238" s="1" t="inlineStr">
        <is>
          <t xml:space="preserve"> - Hóa chất phân tích tinh khiết, màng lọc, chuẩn</t>
        </is>
      </c>
      <c r="E238" s="1" t="inlineStr">
        <is>
          <t>bộ</t>
        </is>
      </c>
      <c r="F238" s="1" t="inlineStr"/>
      <c r="G238" s="24" t="n">
        <v>0.04</v>
      </c>
      <c r="H238" s="24" t="inlineStr"/>
      <c r="I238" s="24" t="inlineStr"/>
      <c r="J238" s="24" t="inlineStr"/>
      <c r="K238" s="24">
        <f>ROUND(F231*G238, 4)</f>
        <v/>
      </c>
      <c r="L238" s="24" t="inlineStr"/>
      <c r="M238" s="24" t="inlineStr"/>
      <c r="N238" s="24" t="inlineStr"/>
      <c r="O238" s="1" t="inlineStr">
        <is>
          <t>Khoản 4.4 TT20</t>
        </is>
      </c>
    </row>
    <row r="239">
      <c r="A239" s="1" t="inlineStr"/>
      <c r="B239" s="1" t="inlineStr">
        <is>
          <t>VL_KHAC</t>
        </is>
      </c>
      <c r="C239" s="1" t="inlineStr">
        <is>
          <t>VL_PHỤ</t>
        </is>
      </c>
      <c r="D239" s="1" t="inlineStr">
        <is>
          <t xml:space="preserve"> - Vật liệu phụ khác (8% vật liệu chính)</t>
        </is>
      </c>
      <c r="E239" s="1" t="inlineStr">
        <is>
          <t>%</t>
        </is>
      </c>
      <c r="F239" s="1" t="inlineStr"/>
      <c r="G239" s="24" t="n">
        <v>0.08</v>
      </c>
      <c r="H239" s="24" t="inlineStr"/>
      <c r="I239" s="24" t="inlineStr"/>
      <c r="J239" s="24" t="inlineStr"/>
      <c r="K239" s="24">
        <f>ROUND(K238*G239, 4)</f>
        <v/>
      </c>
      <c r="L239" s="24" t="inlineStr"/>
      <c r="M239" s="24" t="inlineStr"/>
      <c r="N239" s="24" t="inlineStr"/>
      <c r="O239" s="1" t="inlineStr">
        <is>
          <t>8% Khoản 4.4 TT20</t>
        </is>
      </c>
    </row>
    <row r="240">
      <c r="A240" s="21">
        <f>'Công trình'!A33</f>
        <v/>
      </c>
      <c r="B240" s="21">
        <f>'Công trình'!C33</f>
        <v/>
      </c>
      <c r="C240" s="21" t="inlineStr"/>
      <c r="D240" s="22">
        <f>'Công trình'!D33</f>
        <v/>
      </c>
      <c r="E240" s="21">
        <f>'Công trình'!E33</f>
        <v/>
      </c>
      <c r="F240" s="21">
        <f>'Công trình'!L33</f>
        <v/>
      </c>
      <c r="G240" s="23" t="inlineStr"/>
      <c r="H240" s="23" t="inlineStr"/>
      <c r="I240" s="23" t="inlineStr"/>
      <c r="J240" s="23" t="inlineStr"/>
      <c r="K240" s="23" t="inlineStr"/>
      <c r="L240" s="23" t="inlineStr"/>
      <c r="M240" s="23" t="inlineStr"/>
      <c r="N240" s="23" t="inlineStr"/>
      <c r="O240" s="21" t="inlineStr">
        <is>
          <t>PAKT &amp; Định mức TT20</t>
        </is>
      </c>
    </row>
    <row r="241">
      <c r="A241" s="1" t="inlineStr"/>
      <c r="B241" s="1" t="inlineStr">
        <is>
          <t>NC_LDKT</t>
        </is>
      </c>
      <c r="C241" s="1" t="inlineStr">
        <is>
          <t>LĐKT</t>
        </is>
      </c>
      <c r="D241" s="1" t="inlineStr">
        <is>
          <t xml:space="preserve"> - Kỹ sư / Kiểm định viên / Quan trắc viên</t>
        </is>
      </c>
      <c r="E241" s="1" t="inlineStr">
        <is>
          <t>công</t>
        </is>
      </c>
      <c r="F241" s="1" t="inlineStr"/>
      <c r="G241" s="24" t="inlineStr"/>
      <c r="H241" s="24" t="n">
        <v>0.176</v>
      </c>
      <c r="I241" s="24" t="inlineStr"/>
      <c r="J241" s="24" t="inlineStr"/>
      <c r="K241" s="24" t="inlineStr"/>
      <c r="L241" s="24">
        <f>ROUND(F240*H241, 4)</f>
        <v/>
      </c>
      <c r="M241" s="24" t="inlineStr"/>
      <c r="N241" s="24" t="inlineStr"/>
      <c r="O241" s="1" t="inlineStr">
        <is>
          <t>TTLT 56/2015</t>
        </is>
      </c>
    </row>
    <row r="242">
      <c r="A242" s="1" t="inlineStr"/>
      <c r="B242" s="1" t="inlineStr">
        <is>
          <t>NC_LDPT</t>
        </is>
      </c>
      <c r="C242" s="1" t="inlineStr">
        <is>
          <t>LĐPT</t>
        </is>
      </c>
      <c r="D242" s="1" t="inlineStr">
        <is>
          <t xml:space="preserve"> - Lao động phổ thông phụ việc hiện trường</t>
        </is>
      </c>
      <c r="E242" s="1" t="inlineStr">
        <is>
          <t>công</t>
        </is>
      </c>
      <c r="F242" s="1" t="inlineStr"/>
      <c r="G242" s="24" t="inlineStr"/>
      <c r="H242" s="24" t="n">
        <v>0.044</v>
      </c>
      <c r="I242" s="24" t="inlineStr"/>
      <c r="J242" s="24" t="inlineStr"/>
      <c r="K242" s="24" t="inlineStr"/>
      <c r="L242" s="24">
        <f>ROUND(F240*H242, 4)</f>
        <v/>
      </c>
      <c r="M242" s="24" t="inlineStr"/>
      <c r="N242" s="24" t="inlineStr"/>
      <c r="O242" s="1" t="inlineStr">
        <is>
          <t>Hỗ trợ ngoại nghiệp</t>
        </is>
      </c>
    </row>
    <row r="243">
      <c r="A243" s="1" t="inlineStr"/>
      <c r="B243" s="1" t="inlineStr">
        <is>
          <t>CCDC_01</t>
        </is>
      </c>
      <c r="C243" s="1" t="inlineStr">
        <is>
          <t>CCDC</t>
        </is>
      </c>
      <c r="D243" s="1" t="inlineStr">
        <is>
          <t xml:space="preserve"> - Ca dụng cụ, thiết bị nhỏ đo đạc/lấy mẫu</t>
        </is>
      </c>
      <c r="E243" s="1" t="inlineStr">
        <is>
          <t>ca</t>
        </is>
      </c>
      <c r="F243" s="1" t="inlineStr"/>
      <c r="G243" s="24" t="inlineStr"/>
      <c r="H243" s="24" t="inlineStr"/>
      <c r="I243" s="24" t="n">
        <v>0.1</v>
      </c>
      <c r="J243" s="24" t="inlineStr"/>
      <c r="K243" s="24" t="inlineStr"/>
      <c r="L243" s="24" t="inlineStr"/>
      <c r="M243" s="24">
        <f>ROUND(F240*I243, 4)</f>
        <v/>
      </c>
      <c r="N243" s="24" t="inlineStr"/>
      <c r="O243" s="1" t="inlineStr">
        <is>
          <t>Khoản 4.2 TT20</t>
        </is>
      </c>
    </row>
    <row r="244">
      <c r="A244" s="1" t="inlineStr"/>
      <c r="B244" s="1" t="inlineStr">
        <is>
          <t>CCDC_PHU</t>
        </is>
      </c>
      <c r="C244" s="1" t="inlineStr">
        <is>
          <t>CCDC_PHỤ</t>
        </is>
      </c>
      <c r="D244" s="1" t="inlineStr">
        <is>
          <t xml:space="preserve"> - Dụng cụ phụ khác (10% CCDC chính)</t>
        </is>
      </c>
      <c r="E244" s="1" t="inlineStr">
        <is>
          <t>%</t>
        </is>
      </c>
      <c r="F244" s="1" t="inlineStr"/>
      <c r="G244" s="24" t="inlineStr"/>
      <c r="H244" s="24" t="inlineStr"/>
      <c r="I244" s="24" t="n">
        <v>0.1</v>
      </c>
      <c r="J244" s="24" t="inlineStr"/>
      <c r="K244" s="24" t="inlineStr"/>
      <c r="L244" s="24" t="inlineStr"/>
      <c r="M244" s="24">
        <f>ROUND(M243*I244, 4)</f>
        <v/>
      </c>
      <c r="N244" s="24" t="inlineStr"/>
      <c r="O244" s="1" t="inlineStr">
        <is>
          <t>10% Khoản 4.2 TT20</t>
        </is>
      </c>
    </row>
    <row r="245">
      <c r="A245" s="1" t="inlineStr"/>
      <c r="B245" s="1" t="inlineStr">
        <is>
          <t>M_KHTSCD</t>
        </is>
      </c>
      <c r="C245" s="1" t="inlineStr">
        <is>
          <t>MÁY</t>
        </is>
      </c>
      <c r="D245" s="1" t="inlineStr">
        <is>
          <t xml:space="preserve"> - Khấu hao thiết bị quan trắc chuyên dụng</t>
        </is>
      </c>
      <c r="E245" s="1" t="inlineStr">
        <is>
          <t>ca</t>
        </is>
      </c>
      <c r="F245" s="1" t="inlineStr"/>
      <c r="G245" s="24" t="inlineStr"/>
      <c r="H245" s="24" t="inlineStr"/>
      <c r="I245" s="24" t="inlineStr"/>
      <c r="J245" s="24" t="n">
        <v>0.08</v>
      </c>
      <c r="K245" s="24" t="inlineStr"/>
      <c r="L245" s="24" t="inlineStr"/>
      <c r="M245" s="24" t="inlineStr"/>
      <c r="N245" s="24">
        <f>ROUND(F240*J245, 4)</f>
        <v/>
      </c>
      <c r="O245" s="1" t="inlineStr">
        <is>
          <t>TT 45/2013</t>
        </is>
      </c>
    </row>
    <row r="246">
      <c r="A246" s="1" t="inlineStr"/>
      <c r="B246" s="1" t="inlineStr">
        <is>
          <t>M_NANGLUONG</t>
        </is>
      </c>
      <c r="C246" s="1" t="inlineStr">
        <is>
          <t>ĐIỆN</t>
        </is>
      </c>
      <c r="D246" s="1" t="inlineStr">
        <is>
          <t xml:space="preserve"> - Năng lượng điện vận hành thiết bị PTN</t>
        </is>
      </c>
      <c r="E246" s="1" t="inlineStr">
        <is>
          <t>kWh</t>
        </is>
      </c>
      <c r="F246" s="1" t="inlineStr"/>
      <c r="G246" s="24" t="inlineStr"/>
      <c r="H246" s="24" t="inlineStr"/>
      <c r="I246" s="24" t="inlineStr"/>
      <c r="J246" s="24" t="n">
        <v>0.5</v>
      </c>
      <c r="K246" s="24" t="inlineStr"/>
      <c r="L246" s="24" t="inlineStr"/>
      <c r="M246" s="24" t="inlineStr"/>
      <c r="N246" s="24">
        <f>ROUND(F240*J246, 4)</f>
        <v/>
      </c>
      <c r="O246" s="1" t="inlineStr">
        <is>
          <t>Điện năng PTN</t>
        </is>
      </c>
    </row>
    <row r="247">
      <c r="A247" s="1" t="inlineStr"/>
      <c r="B247" s="1" t="inlineStr">
        <is>
          <t>VL_01</t>
        </is>
      </c>
      <c r="C247" s="1" t="inlineStr">
        <is>
          <t>VL</t>
        </is>
      </c>
      <c r="D247" s="1" t="inlineStr">
        <is>
          <t xml:space="preserve"> - Hóa chất phân tích tinh khiết, màng lọc, chuẩn</t>
        </is>
      </c>
      <c r="E247" s="1" t="inlineStr">
        <is>
          <t>bộ</t>
        </is>
      </c>
      <c r="F247" s="1" t="inlineStr"/>
      <c r="G247" s="24" t="n">
        <v>0.04</v>
      </c>
      <c r="H247" s="24" t="inlineStr"/>
      <c r="I247" s="24" t="inlineStr"/>
      <c r="J247" s="24" t="inlineStr"/>
      <c r="K247" s="24">
        <f>ROUND(F240*G247, 4)</f>
        <v/>
      </c>
      <c r="L247" s="24" t="inlineStr"/>
      <c r="M247" s="24" t="inlineStr"/>
      <c r="N247" s="24" t="inlineStr"/>
      <c r="O247" s="1" t="inlineStr">
        <is>
          <t>Khoản 4.4 TT20</t>
        </is>
      </c>
    </row>
    <row r="248">
      <c r="A248" s="1" t="inlineStr"/>
      <c r="B248" s="1" t="inlineStr">
        <is>
          <t>VL_KHAC</t>
        </is>
      </c>
      <c r="C248" s="1" t="inlineStr">
        <is>
          <t>VL_PHỤ</t>
        </is>
      </c>
      <c r="D248" s="1" t="inlineStr">
        <is>
          <t xml:space="preserve"> - Vật liệu phụ khác (8% vật liệu chính)</t>
        </is>
      </c>
      <c r="E248" s="1" t="inlineStr">
        <is>
          <t>%</t>
        </is>
      </c>
      <c r="F248" s="1" t="inlineStr"/>
      <c r="G248" s="24" t="n">
        <v>0.08</v>
      </c>
      <c r="H248" s="24" t="inlineStr"/>
      <c r="I248" s="24" t="inlineStr"/>
      <c r="J248" s="24" t="inlineStr"/>
      <c r="K248" s="24">
        <f>ROUND(K247*G248, 4)</f>
        <v/>
      </c>
      <c r="L248" s="24" t="inlineStr"/>
      <c r="M248" s="24" t="inlineStr"/>
      <c r="N248" s="24" t="inlineStr"/>
      <c r="O248" s="1" t="inlineStr">
        <is>
          <t>8% Khoản 4.4 TT20</t>
        </is>
      </c>
    </row>
    <row r="249">
      <c r="A249" s="21">
        <f>'Công trình'!A34</f>
        <v/>
      </c>
      <c r="B249" s="21">
        <f>'Công trình'!C34</f>
        <v/>
      </c>
      <c r="C249" s="21" t="inlineStr"/>
      <c r="D249" s="22">
        <f>'Công trình'!D34</f>
        <v/>
      </c>
      <c r="E249" s="21">
        <f>'Công trình'!E34</f>
        <v/>
      </c>
      <c r="F249" s="21">
        <f>'Công trình'!L34</f>
        <v/>
      </c>
      <c r="G249" s="23" t="inlineStr"/>
      <c r="H249" s="23" t="inlineStr"/>
      <c r="I249" s="23" t="inlineStr"/>
      <c r="J249" s="23" t="inlineStr"/>
      <c r="K249" s="23" t="inlineStr"/>
      <c r="L249" s="23" t="inlineStr"/>
      <c r="M249" s="23" t="inlineStr"/>
      <c r="N249" s="23" t="inlineStr"/>
      <c r="O249" s="21" t="inlineStr">
        <is>
          <t>PAKT &amp; Định mức TT20</t>
        </is>
      </c>
    </row>
    <row r="250">
      <c r="A250" s="1" t="inlineStr"/>
      <c r="B250" s="1" t="inlineStr">
        <is>
          <t>NC_LDKT</t>
        </is>
      </c>
      <c r="C250" s="1" t="inlineStr">
        <is>
          <t>LĐKT</t>
        </is>
      </c>
      <c r="D250" s="1" t="inlineStr">
        <is>
          <t xml:space="preserve"> - Kỹ sư / Kiểm định viên / Quan trắc viên</t>
        </is>
      </c>
      <c r="E250" s="1" t="inlineStr">
        <is>
          <t>công</t>
        </is>
      </c>
      <c r="F250" s="1" t="inlineStr"/>
      <c r="G250" s="24" t="inlineStr"/>
      <c r="H250" s="24" t="n">
        <v>0.176</v>
      </c>
      <c r="I250" s="24" t="inlineStr"/>
      <c r="J250" s="24" t="inlineStr"/>
      <c r="K250" s="24" t="inlineStr"/>
      <c r="L250" s="24">
        <f>ROUND(F249*H250, 4)</f>
        <v/>
      </c>
      <c r="M250" s="24" t="inlineStr"/>
      <c r="N250" s="24" t="inlineStr"/>
      <c r="O250" s="1" t="inlineStr">
        <is>
          <t>TTLT 56/2015</t>
        </is>
      </c>
    </row>
    <row r="251">
      <c r="A251" s="1" t="inlineStr"/>
      <c r="B251" s="1" t="inlineStr">
        <is>
          <t>NC_LDPT</t>
        </is>
      </c>
      <c r="C251" s="1" t="inlineStr">
        <is>
          <t>LĐPT</t>
        </is>
      </c>
      <c r="D251" s="1" t="inlineStr">
        <is>
          <t xml:space="preserve"> - Lao động phổ thông phụ việc hiện trường</t>
        </is>
      </c>
      <c r="E251" s="1" t="inlineStr">
        <is>
          <t>công</t>
        </is>
      </c>
      <c r="F251" s="1" t="inlineStr"/>
      <c r="G251" s="24" t="inlineStr"/>
      <c r="H251" s="24" t="n">
        <v>0.044</v>
      </c>
      <c r="I251" s="24" t="inlineStr"/>
      <c r="J251" s="24" t="inlineStr"/>
      <c r="K251" s="24" t="inlineStr"/>
      <c r="L251" s="24">
        <f>ROUND(F249*H251, 4)</f>
        <v/>
      </c>
      <c r="M251" s="24" t="inlineStr"/>
      <c r="N251" s="24" t="inlineStr"/>
      <c r="O251" s="1" t="inlineStr">
        <is>
          <t>Hỗ trợ ngoại nghiệp</t>
        </is>
      </c>
    </row>
    <row r="252">
      <c r="A252" s="1" t="inlineStr"/>
      <c r="B252" s="1" t="inlineStr">
        <is>
          <t>CCDC_01</t>
        </is>
      </c>
      <c r="C252" s="1" t="inlineStr">
        <is>
          <t>CCDC</t>
        </is>
      </c>
      <c r="D252" s="1" t="inlineStr">
        <is>
          <t xml:space="preserve"> - Ca dụng cụ, thiết bị nhỏ đo đạc/lấy mẫu</t>
        </is>
      </c>
      <c r="E252" s="1" t="inlineStr">
        <is>
          <t>ca</t>
        </is>
      </c>
      <c r="F252" s="1" t="inlineStr"/>
      <c r="G252" s="24" t="inlineStr"/>
      <c r="H252" s="24" t="inlineStr"/>
      <c r="I252" s="24" t="n">
        <v>0.1</v>
      </c>
      <c r="J252" s="24" t="inlineStr"/>
      <c r="K252" s="24" t="inlineStr"/>
      <c r="L252" s="24" t="inlineStr"/>
      <c r="M252" s="24">
        <f>ROUND(F249*I252, 4)</f>
        <v/>
      </c>
      <c r="N252" s="24" t="inlineStr"/>
      <c r="O252" s="1" t="inlineStr">
        <is>
          <t>Khoản 4.2 TT20</t>
        </is>
      </c>
    </row>
    <row r="253">
      <c r="A253" s="1" t="inlineStr"/>
      <c r="B253" s="1" t="inlineStr">
        <is>
          <t>CCDC_PHU</t>
        </is>
      </c>
      <c r="C253" s="1" t="inlineStr">
        <is>
          <t>CCDC_PHỤ</t>
        </is>
      </c>
      <c r="D253" s="1" t="inlineStr">
        <is>
          <t xml:space="preserve"> - Dụng cụ phụ khác (10% CCDC chính)</t>
        </is>
      </c>
      <c r="E253" s="1" t="inlineStr">
        <is>
          <t>%</t>
        </is>
      </c>
      <c r="F253" s="1" t="inlineStr"/>
      <c r="G253" s="24" t="inlineStr"/>
      <c r="H253" s="24" t="inlineStr"/>
      <c r="I253" s="24" t="n">
        <v>0.1</v>
      </c>
      <c r="J253" s="24" t="inlineStr"/>
      <c r="K253" s="24" t="inlineStr"/>
      <c r="L253" s="24" t="inlineStr"/>
      <c r="M253" s="24">
        <f>ROUND(M252*I253, 4)</f>
        <v/>
      </c>
      <c r="N253" s="24" t="inlineStr"/>
      <c r="O253" s="1" t="inlineStr">
        <is>
          <t>10% Khoản 4.2 TT20</t>
        </is>
      </c>
    </row>
    <row r="254">
      <c r="A254" s="1" t="inlineStr"/>
      <c r="B254" s="1" t="inlineStr">
        <is>
          <t>M_KHTSCD</t>
        </is>
      </c>
      <c r="C254" s="1" t="inlineStr">
        <is>
          <t>MÁY</t>
        </is>
      </c>
      <c r="D254" s="1" t="inlineStr">
        <is>
          <t xml:space="preserve"> - Khấu hao thiết bị quan trắc chuyên dụng</t>
        </is>
      </c>
      <c r="E254" s="1" t="inlineStr">
        <is>
          <t>ca</t>
        </is>
      </c>
      <c r="F254" s="1" t="inlineStr"/>
      <c r="G254" s="24" t="inlineStr"/>
      <c r="H254" s="24" t="inlineStr"/>
      <c r="I254" s="24" t="inlineStr"/>
      <c r="J254" s="24" t="n">
        <v>0.08</v>
      </c>
      <c r="K254" s="24" t="inlineStr"/>
      <c r="L254" s="24" t="inlineStr"/>
      <c r="M254" s="24" t="inlineStr"/>
      <c r="N254" s="24">
        <f>ROUND(F249*J254, 4)</f>
        <v/>
      </c>
      <c r="O254" s="1" t="inlineStr">
        <is>
          <t>TT 45/2013</t>
        </is>
      </c>
    </row>
    <row r="255">
      <c r="A255" s="1" t="inlineStr"/>
      <c r="B255" s="1" t="inlineStr">
        <is>
          <t>M_NANGLUONG</t>
        </is>
      </c>
      <c r="C255" s="1" t="inlineStr">
        <is>
          <t>ĐIỆN</t>
        </is>
      </c>
      <c r="D255" s="1" t="inlineStr">
        <is>
          <t xml:space="preserve"> - Năng lượng điện vận hành thiết bị PTN</t>
        </is>
      </c>
      <c r="E255" s="1" t="inlineStr">
        <is>
          <t>kWh</t>
        </is>
      </c>
      <c r="F255" s="1" t="inlineStr"/>
      <c r="G255" s="24" t="inlineStr"/>
      <c r="H255" s="24" t="inlineStr"/>
      <c r="I255" s="24" t="inlineStr"/>
      <c r="J255" s="24" t="n">
        <v>0.5</v>
      </c>
      <c r="K255" s="24" t="inlineStr"/>
      <c r="L255" s="24" t="inlineStr"/>
      <c r="M255" s="24" t="inlineStr"/>
      <c r="N255" s="24">
        <f>ROUND(F249*J255, 4)</f>
        <v/>
      </c>
      <c r="O255" s="1" t="inlineStr">
        <is>
          <t>Điện năng PTN</t>
        </is>
      </c>
    </row>
    <row r="256">
      <c r="A256" s="1" t="inlineStr"/>
      <c r="B256" s="1" t="inlineStr">
        <is>
          <t>VL_01</t>
        </is>
      </c>
      <c r="C256" s="1" t="inlineStr">
        <is>
          <t>VL</t>
        </is>
      </c>
      <c r="D256" s="1" t="inlineStr">
        <is>
          <t xml:space="preserve"> - Hóa chất phân tích tinh khiết, màng lọc, chuẩn</t>
        </is>
      </c>
      <c r="E256" s="1" t="inlineStr">
        <is>
          <t>bộ</t>
        </is>
      </c>
      <c r="F256" s="1" t="inlineStr"/>
      <c r="G256" s="24" t="n">
        <v>0.04</v>
      </c>
      <c r="H256" s="24" t="inlineStr"/>
      <c r="I256" s="24" t="inlineStr"/>
      <c r="J256" s="24" t="inlineStr"/>
      <c r="K256" s="24">
        <f>ROUND(F249*G256, 4)</f>
        <v/>
      </c>
      <c r="L256" s="24" t="inlineStr"/>
      <c r="M256" s="24" t="inlineStr"/>
      <c r="N256" s="24" t="inlineStr"/>
      <c r="O256" s="1" t="inlineStr">
        <is>
          <t>Khoản 4.4 TT20</t>
        </is>
      </c>
    </row>
    <row r="257">
      <c r="A257" s="1" t="inlineStr"/>
      <c r="B257" s="1" t="inlineStr">
        <is>
          <t>VL_KHAC</t>
        </is>
      </c>
      <c r="C257" s="1" t="inlineStr">
        <is>
          <t>VL_PHỤ</t>
        </is>
      </c>
      <c r="D257" s="1" t="inlineStr">
        <is>
          <t xml:space="preserve"> - Vật liệu phụ khác (8% vật liệu chính)</t>
        </is>
      </c>
      <c r="E257" s="1" t="inlineStr">
        <is>
          <t>%</t>
        </is>
      </c>
      <c r="F257" s="1" t="inlineStr"/>
      <c r="G257" s="24" t="n">
        <v>0.08</v>
      </c>
      <c r="H257" s="24" t="inlineStr"/>
      <c r="I257" s="24" t="inlineStr"/>
      <c r="J257" s="24" t="inlineStr"/>
      <c r="K257" s="24">
        <f>ROUND(K256*G257, 4)</f>
        <v/>
      </c>
      <c r="L257" s="24" t="inlineStr"/>
      <c r="M257" s="24" t="inlineStr"/>
      <c r="N257" s="24" t="inlineStr"/>
      <c r="O257" s="1" t="inlineStr">
        <is>
          <t>8% Khoản 4.4 TT20</t>
        </is>
      </c>
    </row>
    <row r="258">
      <c r="A258" s="21">
        <f>'Công trình'!A35</f>
        <v/>
      </c>
      <c r="B258" s="21">
        <f>'Công trình'!C35</f>
        <v/>
      </c>
      <c r="C258" s="21" t="inlineStr"/>
      <c r="D258" s="22">
        <f>'Công trình'!D35</f>
        <v/>
      </c>
      <c r="E258" s="21">
        <f>'Công trình'!E35</f>
        <v/>
      </c>
      <c r="F258" s="21">
        <f>'Công trình'!L35</f>
        <v/>
      </c>
      <c r="G258" s="23" t="inlineStr"/>
      <c r="H258" s="23" t="inlineStr"/>
      <c r="I258" s="23" t="inlineStr"/>
      <c r="J258" s="23" t="inlineStr"/>
      <c r="K258" s="23" t="inlineStr"/>
      <c r="L258" s="23" t="inlineStr"/>
      <c r="M258" s="23" t="inlineStr"/>
      <c r="N258" s="23" t="inlineStr"/>
      <c r="O258" s="21" t="inlineStr">
        <is>
          <t>PAKT &amp; Định mức TT20</t>
        </is>
      </c>
    </row>
    <row r="259">
      <c r="A259" s="1" t="inlineStr"/>
      <c r="B259" s="1" t="inlineStr">
        <is>
          <t>NC_LDKT</t>
        </is>
      </c>
      <c r="C259" s="1" t="inlineStr">
        <is>
          <t>LĐKT</t>
        </is>
      </c>
      <c r="D259" s="1" t="inlineStr">
        <is>
          <t xml:space="preserve"> - Kỹ sư / Kiểm định viên / Quan trắc viên</t>
        </is>
      </c>
      <c r="E259" s="1" t="inlineStr">
        <is>
          <t>công</t>
        </is>
      </c>
      <c r="F259" s="1" t="inlineStr"/>
      <c r="G259" s="24" t="inlineStr"/>
      <c r="H259" s="24" t="n">
        <v>0.176</v>
      </c>
      <c r="I259" s="24" t="inlineStr"/>
      <c r="J259" s="24" t="inlineStr"/>
      <c r="K259" s="24" t="inlineStr"/>
      <c r="L259" s="24">
        <f>ROUND(F258*H259, 4)</f>
        <v/>
      </c>
      <c r="M259" s="24" t="inlineStr"/>
      <c r="N259" s="24" t="inlineStr"/>
      <c r="O259" s="1" t="inlineStr">
        <is>
          <t>TTLT 56/2015</t>
        </is>
      </c>
    </row>
    <row r="260">
      <c r="A260" s="1" t="inlineStr"/>
      <c r="B260" s="1" t="inlineStr">
        <is>
          <t>NC_LDPT</t>
        </is>
      </c>
      <c r="C260" s="1" t="inlineStr">
        <is>
          <t>LĐPT</t>
        </is>
      </c>
      <c r="D260" s="1" t="inlineStr">
        <is>
          <t xml:space="preserve"> - Lao động phổ thông phụ việc hiện trường</t>
        </is>
      </c>
      <c r="E260" s="1" t="inlineStr">
        <is>
          <t>công</t>
        </is>
      </c>
      <c r="F260" s="1" t="inlineStr"/>
      <c r="G260" s="24" t="inlineStr"/>
      <c r="H260" s="24" t="n">
        <v>0.044</v>
      </c>
      <c r="I260" s="24" t="inlineStr"/>
      <c r="J260" s="24" t="inlineStr"/>
      <c r="K260" s="24" t="inlineStr"/>
      <c r="L260" s="24">
        <f>ROUND(F258*H260, 4)</f>
        <v/>
      </c>
      <c r="M260" s="24" t="inlineStr"/>
      <c r="N260" s="24" t="inlineStr"/>
      <c r="O260" s="1" t="inlineStr">
        <is>
          <t>Hỗ trợ ngoại nghiệp</t>
        </is>
      </c>
    </row>
    <row r="261">
      <c r="A261" s="1" t="inlineStr"/>
      <c r="B261" s="1" t="inlineStr">
        <is>
          <t>CCDC_01</t>
        </is>
      </c>
      <c r="C261" s="1" t="inlineStr">
        <is>
          <t>CCDC</t>
        </is>
      </c>
      <c r="D261" s="1" t="inlineStr">
        <is>
          <t xml:space="preserve"> - Ca dụng cụ, thiết bị nhỏ đo đạc/lấy mẫu</t>
        </is>
      </c>
      <c r="E261" s="1" t="inlineStr">
        <is>
          <t>ca</t>
        </is>
      </c>
      <c r="F261" s="1" t="inlineStr"/>
      <c r="G261" s="24" t="inlineStr"/>
      <c r="H261" s="24" t="inlineStr"/>
      <c r="I261" s="24" t="n">
        <v>0.1</v>
      </c>
      <c r="J261" s="24" t="inlineStr"/>
      <c r="K261" s="24" t="inlineStr"/>
      <c r="L261" s="24" t="inlineStr"/>
      <c r="M261" s="24">
        <f>ROUND(F258*I261, 4)</f>
        <v/>
      </c>
      <c r="N261" s="24" t="inlineStr"/>
      <c r="O261" s="1" t="inlineStr">
        <is>
          <t>Khoản 4.2 TT20</t>
        </is>
      </c>
    </row>
    <row r="262">
      <c r="A262" s="1" t="inlineStr"/>
      <c r="B262" s="1" t="inlineStr">
        <is>
          <t>CCDC_PHU</t>
        </is>
      </c>
      <c r="C262" s="1" t="inlineStr">
        <is>
          <t>CCDC_PHỤ</t>
        </is>
      </c>
      <c r="D262" s="1" t="inlineStr">
        <is>
          <t xml:space="preserve"> - Dụng cụ phụ khác (10% CCDC chính)</t>
        </is>
      </c>
      <c r="E262" s="1" t="inlineStr">
        <is>
          <t>%</t>
        </is>
      </c>
      <c r="F262" s="1" t="inlineStr"/>
      <c r="G262" s="24" t="inlineStr"/>
      <c r="H262" s="24" t="inlineStr"/>
      <c r="I262" s="24" t="n">
        <v>0.1</v>
      </c>
      <c r="J262" s="24" t="inlineStr"/>
      <c r="K262" s="24" t="inlineStr"/>
      <c r="L262" s="24" t="inlineStr"/>
      <c r="M262" s="24">
        <f>ROUND(M261*I262, 4)</f>
        <v/>
      </c>
      <c r="N262" s="24" t="inlineStr"/>
      <c r="O262" s="1" t="inlineStr">
        <is>
          <t>10% Khoản 4.2 TT20</t>
        </is>
      </c>
    </row>
    <row r="263">
      <c r="A263" s="1" t="inlineStr"/>
      <c r="B263" s="1" t="inlineStr">
        <is>
          <t>M_KHTSCD</t>
        </is>
      </c>
      <c r="C263" s="1" t="inlineStr">
        <is>
          <t>MÁY</t>
        </is>
      </c>
      <c r="D263" s="1" t="inlineStr">
        <is>
          <t xml:space="preserve"> - Khấu hao thiết bị quan trắc chuyên dụng</t>
        </is>
      </c>
      <c r="E263" s="1" t="inlineStr">
        <is>
          <t>ca</t>
        </is>
      </c>
      <c r="F263" s="1" t="inlineStr"/>
      <c r="G263" s="24" t="inlineStr"/>
      <c r="H263" s="24" t="inlineStr"/>
      <c r="I263" s="24" t="inlineStr"/>
      <c r="J263" s="24" t="n">
        <v>0.08</v>
      </c>
      <c r="K263" s="24" t="inlineStr"/>
      <c r="L263" s="24" t="inlineStr"/>
      <c r="M263" s="24" t="inlineStr"/>
      <c r="N263" s="24">
        <f>ROUND(F258*J263, 4)</f>
        <v/>
      </c>
      <c r="O263" s="1" t="inlineStr">
        <is>
          <t>TT 45/2013</t>
        </is>
      </c>
    </row>
    <row r="264">
      <c r="A264" s="1" t="inlineStr"/>
      <c r="B264" s="1" t="inlineStr">
        <is>
          <t>M_NANGLUONG</t>
        </is>
      </c>
      <c r="C264" s="1" t="inlineStr">
        <is>
          <t>ĐIỆN</t>
        </is>
      </c>
      <c r="D264" s="1" t="inlineStr">
        <is>
          <t xml:space="preserve"> - Năng lượng điện vận hành thiết bị PTN</t>
        </is>
      </c>
      <c r="E264" s="1" t="inlineStr">
        <is>
          <t>kWh</t>
        </is>
      </c>
      <c r="F264" s="1" t="inlineStr"/>
      <c r="G264" s="24" t="inlineStr"/>
      <c r="H264" s="24" t="inlineStr"/>
      <c r="I264" s="24" t="inlineStr"/>
      <c r="J264" s="24" t="n">
        <v>0.5</v>
      </c>
      <c r="K264" s="24" t="inlineStr"/>
      <c r="L264" s="24" t="inlineStr"/>
      <c r="M264" s="24" t="inlineStr"/>
      <c r="N264" s="24">
        <f>ROUND(F258*J264, 4)</f>
        <v/>
      </c>
      <c r="O264" s="1" t="inlineStr">
        <is>
          <t>Điện năng PTN</t>
        </is>
      </c>
    </row>
    <row r="265">
      <c r="A265" s="1" t="inlineStr"/>
      <c r="B265" s="1" t="inlineStr">
        <is>
          <t>VL_01</t>
        </is>
      </c>
      <c r="C265" s="1" t="inlineStr">
        <is>
          <t>VL</t>
        </is>
      </c>
      <c r="D265" s="1" t="inlineStr">
        <is>
          <t xml:space="preserve"> - Hóa chất phân tích tinh khiết, màng lọc, chuẩn</t>
        </is>
      </c>
      <c r="E265" s="1" t="inlineStr">
        <is>
          <t>bộ</t>
        </is>
      </c>
      <c r="F265" s="1" t="inlineStr"/>
      <c r="G265" s="24" t="n">
        <v>0.04</v>
      </c>
      <c r="H265" s="24" t="inlineStr"/>
      <c r="I265" s="24" t="inlineStr"/>
      <c r="J265" s="24" t="inlineStr"/>
      <c r="K265" s="24">
        <f>ROUND(F258*G265, 4)</f>
        <v/>
      </c>
      <c r="L265" s="24" t="inlineStr"/>
      <c r="M265" s="24" t="inlineStr"/>
      <c r="N265" s="24" t="inlineStr"/>
      <c r="O265" s="1" t="inlineStr">
        <is>
          <t>Khoản 4.4 TT20</t>
        </is>
      </c>
    </row>
    <row r="266">
      <c r="A266" s="1" t="inlineStr"/>
      <c r="B266" s="1" t="inlineStr">
        <is>
          <t>VL_KHAC</t>
        </is>
      </c>
      <c r="C266" s="1" t="inlineStr">
        <is>
          <t>VL_PHỤ</t>
        </is>
      </c>
      <c r="D266" s="1" t="inlineStr">
        <is>
          <t xml:space="preserve"> - Vật liệu phụ khác (8% vật liệu chính)</t>
        </is>
      </c>
      <c r="E266" s="1" t="inlineStr">
        <is>
          <t>%</t>
        </is>
      </c>
      <c r="F266" s="1" t="inlineStr"/>
      <c r="G266" s="24" t="n">
        <v>0.08</v>
      </c>
      <c r="H266" s="24" t="inlineStr"/>
      <c r="I266" s="24" t="inlineStr"/>
      <c r="J266" s="24" t="inlineStr"/>
      <c r="K266" s="24">
        <f>ROUND(K265*G266, 4)</f>
        <v/>
      </c>
      <c r="L266" s="24" t="inlineStr"/>
      <c r="M266" s="24" t="inlineStr"/>
      <c r="N266" s="24" t="inlineStr"/>
      <c r="O266" s="1" t="inlineStr">
        <is>
          <t>8% Khoản 4.4 TT20</t>
        </is>
      </c>
    </row>
    <row r="267">
      <c r="A267" s="21">
        <f>'Công trình'!A36</f>
        <v/>
      </c>
      <c r="B267" s="21">
        <f>'Công trình'!C36</f>
        <v/>
      </c>
      <c r="C267" s="21" t="inlineStr"/>
      <c r="D267" s="22">
        <f>'Công trình'!D36</f>
        <v/>
      </c>
      <c r="E267" s="21">
        <f>'Công trình'!E36</f>
        <v/>
      </c>
      <c r="F267" s="21">
        <f>'Công trình'!L36</f>
        <v/>
      </c>
      <c r="G267" s="23" t="inlineStr"/>
      <c r="H267" s="23" t="inlineStr"/>
      <c r="I267" s="23" t="inlineStr"/>
      <c r="J267" s="23" t="inlineStr"/>
      <c r="K267" s="23" t="inlineStr"/>
      <c r="L267" s="23" t="inlineStr"/>
      <c r="M267" s="23" t="inlineStr"/>
      <c r="N267" s="23" t="inlineStr"/>
      <c r="O267" s="21" t="inlineStr">
        <is>
          <t>PAKT &amp; Định mức TT20</t>
        </is>
      </c>
    </row>
    <row r="268">
      <c r="A268" s="1" t="inlineStr"/>
      <c r="B268" s="1" t="inlineStr">
        <is>
          <t>NC_LDKT</t>
        </is>
      </c>
      <c r="C268" s="1" t="inlineStr">
        <is>
          <t>LĐKT</t>
        </is>
      </c>
      <c r="D268" s="1" t="inlineStr">
        <is>
          <t xml:space="preserve"> - Kỹ sư / Kiểm định viên / Quan trắc viên</t>
        </is>
      </c>
      <c r="E268" s="1" t="inlineStr">
        <is>
          <t>công</t>
        </is>
      </c>
      <c r="F268" s="1" t="inlineStr"/>
      <c r="G268" s="24" t="inlineStr"/>
      <c r="H268" s="24" t="n">
        <v>0.176</v>
      </c>
      <c r="I268" s="24" t="inlineStr"/>
      <c r="J268" s="24" t="inlineStr"/>
      <c r="K268" s="24" t="inlineStr"/>
      <c r="L268" s="24">
        <f>ROUND(F267*H268, 4)</f>
        <v/>
      </c>
      <c r="M268" s="24" t="inlineStr"/>
      <c r="N268" s="24" t="inlineStr"/>
      <c r="O268" s="1" t="inlineStr">
        <is>
          <t>TTLT 56/2015</t>
        </is>
      </c>
    </row>
    <row r="269">
      <c r="A269" s="1" t="inlineStr"/>
      <c r="B269" s="1" t="inlineStr">
        <is>
          <t>NC_LDPT</t>
        </is>
      </c>
      <c r="C269" s="1" t="inlineStr">
        <is>
          <t>LĐPT</t>
        </is>
      </c>
      <c r="D269" s="1" t="inlineStr">
        <is>
          <t xml:space="preserve"> - Lao động phổ thông phụ việc hiện trường</t>
        </is>
      </c>
      <c r="E269" s="1" t="inlineStr">
        <is>
          <t>công</t>
        </is>
      </c>
      <c r="F269" s="1" t="inlineStr"/>
      <c r="G269" s="24" t="inlineStr"/>
      <c r="H269" s="24" t="n">
        <v>0.044</v>
      </c>
      <c r="I269" s="24" t="inlineStr"/>
      <c r="J269" s="24" t="inlineStr"/>
      <c r="K269" s="24" t="inlineStr"/>
      <c r="L269" s="24">
        <f>ROUND(F267*H269, 4)</f>
        <v/>
      </c>
      <c r="M269" s="24" t="inlineStr"/>
      <c r="N269" s="24" t="inlineStr"/>
      <c r="O269" s="1" t="inlineStr">
        <is>
          <t>Hỗ trợ ngoại nghiệp</t>
        </is>
      </c>
    </row>
    <row r="270">
      <c r="A270" s="1" t="inlineStr"/>
      <c r="B270" s="1" t="inlineStr">
        <is>
          <t>CCDC_01</t>
        </is>
      </c>
      <c r="C270" s="1" t="inlineStr">
        <is>
          <t>CCDC</t>
        </is>
      </c>
      <c r="D270" s="1" t="inlineStr">
        <is>
          <t xml:space="preserve"> - Ca dụng cụ, thiết bị nhỏ đo đạc/lấy mẫu</t>
        </is>
      </c>
      <c r="E270" s="1" t="inlineStr">
        <is>
          <t>ca</t>
        </is>
      </c>
      <c r="F270" s="1" t="inlineStr"/>
      <c r="G270" s="24" t="inlineStr"/>
      <c r="H270" s="24" t="inlineStr"/>
      <c r="I270" s="24" t="n">
        <v>0.1</v>
      </c>
      <c r="J270" s="24" t="inlineStr"/>
      <c r="K270" s="24" t="inlineStr"/>
      <c r="L270" s="24" t="inlineStr"/>
      <c r="M270" s="24">
        <f>ROUND(F267*I270, 4)</f>
        <v/>
      </c>
      <c r="N270" s="24" t="inlineStr"/>
      <c r="O270" s="1" t="inlineStr">
        <is>
          <t>Khoản 4.2 TT20</t>
        </is>
      </c>
    </row>
    <row r="271">
      <c r="A271" s="1" t="inlineStr"/>
      <c r="B271" s="1" t="inlineStr">
        <is>
          <t>CCDC_PHU</t>
        </is>
      </c>
      <c r="C271" s="1" t="inlineStr">
        <is>
          <t>CCDC_PHỤ</t>
        </is>
      </c>
      <c r="D271" s="1" t="inlineStr">
        <is>
          <t xml:space="preserve"> - Dụng cụ phụ khác (10% CCDC chính)</t>
        </is>
      </c>
      <c r="E271" s="1" t="inlineStr">
        <is>
          <t>%</t>
        </is>
      </c>
      <c r="F271" s="1" t="inlineStr"/>
      <c r="G271" s="24" t="inlineStr"/>
      <c r="H271" s="24" t="inlineStr"/>
      <c r="I271" s="24" t="n">
        <v>0.1</v>
      </c>
      <c r="J271" s="24" t="inlineStr"/>
      <c r="K271" s="24" t="inlineStr"/>
      <c r="L271" s="24" t="inlineStr"/>
      <c r="M271" s="24">
        <f>ROUND(M270*I271, 4)</f>
        <v/>
      </c>
      <c r="N271" s="24" t="inlineStr"/>
      <c r="O271" s="1" t="inlineStr">
        <is>
          <t>10% Khoản 4.2 TT20</t>
        </is>
      </c>
    </row>
    <row r="272">
      <c r="A272" s="1" t="inlineStr"/>
      <c r="B272" s="1" t="inlineStr">
        <is>
          <t>M_KHTSCD</t>
        </is>
      </c>
      <c r="C272" s="1" t="inlineStr">
        <is>
          <t>MÁY</t>
        </is>
      </c>
      <c r="D272" s="1" t="inlineStr">
        <is>
          <t xml:space="preserve"> - Khấu hao thiết bị quan trắc chuyên dụng</t>
        </is>
      </c>
      <c r="E272" s="1" t="inlineStr">
        <is>
          <t>ca</t>
        </is>
      </c>
      <c r="F272" s="1" t="inlineStr"/>
      <c r="G272" s="24" t="inlineStr"/>
      <c r="H272" s="24" t="inlineStr"/>
      <c r="I272" s="24" t="inlineStr"/>
      <c r="J272" s="24" t="n">
        <v>0.08</v>
      </c>
      <c r="K272" s="24" t="inlineStr"/>
      <c r="L272" s="24" t="inlineStr"/>
      <c r="M272" s="24" t="inlineStr"/>
      <c r="N272" s="24">
        <f>ROUND(F267*J272, 4)</f>
        <v/>
      </c>
      <c r="O272" s="1" t="inlineStr">
        <is>
          <t>TT 45/2013</t>
        </is>
      </c>
    </row>
    <row r="273">
      <c r="A273" s="1" t="inlineStr"/>
      <c r="B273" s="1" t="inlineStr">
        <is>
          <t>M_NANGLUONG</t>
        </is>
      </c>
      <c r="C273" s="1" t="inlineStr">
        <is>
          <t>ĐIỆN</t>
        </is>
      </c>
      <c r="D273" s="1" t="inlineStr">
        <is>
          <t xml:space="preserve"> - Năng lượng điện vận hành thiết bị PTN</t>
        </is>
      </c>
      <c r="E273" s="1" t="inlineStr">
        <is>
          <t>kWh</t>
        </is>
      </c>
      <c r="F273" s="1" t="inlineStr"/>
      <c r="G273" s="24" t="inlineStr"/>
      <c r="H273" s="24" t="inlineStr"/>
      <c r="I273" s="24" t="inlineStr"/>
      <c r="J273" s="24" t="n">
        <v>0.5</v>
      </c>
      <c r="K273" s="24" t="inlineStr"/>
      <c r="L273" s="24" t="inlineStr"/>
      <c r="M273" s="24" t="inlineStr"/>
      <c r="N273" s="24">
        <f>ROUND(F267*J273, 4)</f>
        <v/>
      </c>
      <c r="O273" s="1" t="inlineStr">
        <is>
          <t>Điện năng PTN</t>
        </is>
      </c>
    </row>
    <row r="274">
      <c r="A274" s="1" t="inlineStr"/>
      <c r="B274" s="1" t="inlineStr">
        <is>
          <t>VL_01</t>
        </is>
      </c>
      <c r="C274" s="1" t="inlineStr">
        <is>
          <t>VL</t>
        </is>
      </c>
      <c r="D274" s="1" t="inlineStr">
        <is>
          <t xml:space="preserve"> - Hóa chất phân tích tinh khiết, màng lọc, chuẩn</t>
        </is>
      </c>
      <c r="E274" s="1" t="inlineStr">
        <is>
          <t>bộ</t>
        </is>
      </c>
      <c r="F274" s="1" t="inlineStr"/>
      <c r="G274" s="24" t="n">
        <v>0.04</v>
      </c>
      <c r="H274" s="24" t="inlineStr"/>
      <c r="I274" s="24" t="inlineStr"/>
      <c r="J274" s="24" t="inlineStr"/>
      <c r="K274" s="24">
        <f>ROUND(F267*G274, 4)</f>
        <v/>
      </c>
      <c r="L274" s="24" t="inlineStr"/>
      <c r="M274" s="24" t="inlineStr"/>
      <c r="N274" s="24" t="inlineStr"/>
      <c r="O274" s="1" t="inlineStr">
        <is>
          <t>Khoản 4.4 TT20</t>
        </is>
      </c>
    </row>
    <row r="275">
      <c r="A275" s="1" t="inlineStr"/>
      <c r="B275" s="1" t="inlineStr">
        <is>
          <t>VL_KHAC</t>
        </is>
      </c>
      <c r="C275" s="1" t="inlineStr">
        <is>
          <t>VL_PHỤ</t>
        </is>
      </c>
      <c r="D275" s="1" t="inlineStr">
        <is>
          <t xml:space="preserve"> - Vật liệu phụ khác (8% vật liệu chính)</t>
        </is>
      </c>
      <c r="E275" s="1" t="inlineStr">
        <is>
          <t>%</t>
        </is>
      </c>
      <c r="F275" s="1" t="inlineStr"/>
      <c r="G275" s="24" t="n">
        <v>0.08</v>
      </c>
      <c r="H275" s="24" t="inlineStr"/>
      <c r="I275" s="24" t="inlineStr"/>
      <c r="J275" s="24" t="inlineStr"/>
      <c r="K275" s="24">
        <f>ROUND(K274*G275, 4)</f>
        <v/>
      </c>
      <c r="L275" s="24" t="inlineStr"/>
      <c r="M275" s="24" t="inlineStr"/>
      <c r="N275" s="24" t="inlineStr"/>
      <c r="O275" s="1" t="inlineStr">
        <is>
          <t>8% Khoản 4.4 TT20</t>
        </is>
      </c>
    </row>
    <row r="276">
      <c r="A276" s="21">
        <f>'Công trình'!A37</f>
        <v/>
      </c>
      <c r="B276" s="21">
        <f>'Công trình'!C37</f>
        <v/>
      </c>
      <c r="C276" s="21" t="inlineStr"/>
      <c r="D276" s="22">
        <f>'Công trình'!D37</f>
        <v/>
      </c>
      <c r="E276" s="21">
        <f>'Công trình'!E37</f>
        <v/>
      </c>
      <c r="F276" s="21">
        <f>'Công trình'!L37</f>
        <v/>
      </c>
      <c r="G276" s="23" t="inlineStr"/>
      <c r="H276" s="23" t="inlineStr"/>
      <c r="I276" s="23" t="inlineStr"/>
      <c r="J276" s="23" t="inlineStr"/>
      <c r="K276" s="23" t="inlineStr"/>
      <c r="L276" s="23" t="inlineStr"/>
      <c r="M276" s="23" t="inlineStr"/>
      <c r="N276" s="23" t="inlineStr"/>
      <c r="O276" s="21" t="inlineStr">
        <is>
          <t>PAKT &amp; Định mức TT20</t>
        </is>
      </c>
    </row>
    <row r="277">
      <c r="A277" s="1" t="inlineStr"/>
      <c r="B277" s="1" t="inlineStr">
        <is>
          <t>NC_LDKT</t>
        </is>
      </c>
      <c r="C277" s="1" t="inlineStr">
        <is>
          <t>LĐKT</t>
        </is>
      </c>
      <c r="D277" s="1" t="inlineStr">
        <is>
          <t xml:space="preserve"> - Kỹ sư / Kiểm định viên / Quan trắc viên</t>
        </is>
      </c>
      <c r="E277" s="1" t="inlineStr">
        <is>
          <t>công</t>
        </is>
      </c>
      <c r="F277" s="1" t="inlineStr"/>
      <c r="G277" s="24" t="inlineStr"/>
      <c r="H277" s="24" t="n">
        <v>0.176</v>
      </c>
      <c r="I277" s="24" t="inlineStr"/>
      <c r="J277" s="24" t="inlineStr"/>
      <c r="K277" s="24" t="inlineStr"/>
      <c r="L277" s="24">
        <f>ROUND(F276*H277, 4)</f>
        <v/>
      </c>
      <c r="M277" s="24" t="inlineStr"/>
      <c r="N277" s="24" t="inlineStr"/>
      <c r="O277" s="1" t="inlineStr">
        <is>
          <t>TTLT 56/2015</t>
        </is>
      </c>
    </row>
    <row r="278">
      <c r="A278" s="1" t="inlineStr"/>
      <c r="B278" s="1" t="inlineStr">
        <is>
          <t>NC_LDPT</t>
        </is>
      </c>
      <c r="C278" s="1" t="inlineStr">
        <is>
          <t>LĐPT</t>
        </is>
      </c>
      <c r="D278" s="1" t="inlineStr">
        <is>
          <t xml:space="preserve"> - Lao động phổ thông phụ việc hiện trường</t>
        </is>
      </c>
      <c r="E278" s="1" t="inlineStr">
        <is>
          <t>công</t>
        </is>
      </c>
      <c r="F278" s="1" t="inlineStr"/>
      <c r="G278" s="24" t="inlineStr"/>
      <c r="H278" s="24" t="n">
        <v>0.044</v>
      </c>
      <c r="I278" s="24" t="inlineStr"/>
      <c r="J278" s="24" t="inlineStr"/>
      <c r="K278" s="24" t="inlineStr"/>
      <c r="L278" s="24">
        <f>ROUND(F276*H278, 4)</f>
        <v/>
      </c>
      <c r="M278" s="24" t="inlineStr"/>
      <c r="N278" s="24" t="inlineStr"/>
      <c r="O278" s="1" t="inlineStr">
        <is>
          <t>Hỗ trợ ngoại nghiệp</t>
        </is>
      </c>
    </row>
    <row r="279">
      <c r="A279" s="1" t="inlineStr"/>
      <c r="B279" s="1" t="inlineStr">
        <is>
          <t>CCDC_01</t>
        </is>
      </c>
      <c r="C279" s="1" t="inlineStr">
        <is>
          <t>CCDC</t>
        </is>
      </c>
      <c r="D279" s="1" t="inlineStr">
        <is>
          <t xml:space="preserve"> - Ca dụng cụ, thiết bị nhỏ đo đạc/lấy mẫu</t>
        </is>
      </c>
      <c r="E279" s="1" t="inlineStr">
        <is>
          <t>ca</t>
        </is>
      </c>
      <c r="F279" s="1" t="inlineStr"/>
      <c r="G279" s="24" t="inlineStr"/>
      <c r="H279" s="24" t="inlineStr"/>
      <c r="I279" s="24" t="n">
        <v>0.1</v>
      </c>
      <c r="J279" s="24" t="inlineStr"/>
      <c r="K279" s="24" t="inlineStr"/>
      <c r="L279" s="24" t="inlineStr"/>
      <c r="M279" s="24">
        <f>ROUND(F276*I279, 4)</f>
        <v/>
      </c>
      <c r="N279" s="24" t="inlineStr"/>
      <c r="O279" s="1" t="inlineStr">
        <is>
          <t>Khoản 4.2 TT20</t>
        </is>
      </c>
    </row>
    <row r="280">
      <c r="A280" s="1" t="inlineStr"/>
      <c r="B280" s="1" t="inlineStr">
        <is>
          <t>CCDC_PHU</t>
        </is>
      </c>
      <c r="C280" s="1" t="inlineStr">
        <is>
          <t>CCDC_PHỤ</t>
        </is>
      </c>
      <c r="D280" s="1" t="inlineStr">
        <is>
          <t xml:space="preserve"> - Dụng cụ phụ khác (10% CCDC chính)</t>
        </is>
      </c>
      <c r="E280" s="1" t="inlineStr">
        <is>
          <t>%</t>
        </is>
      </c>
      <c r="F280" s="1" t="inlineStr"/>
      <c r="G280" s="24" t="inlineStr"/>
      <c r="H280" s="24" t="inlineStr"/>
      <c r="I280" s="24" t="n">
        <v>0.1</v>
      </c>
      <c r="J280" s="24" t="inlineStr"/>
      <c r="K280" s="24" t="inlineStr"/>
      <c r="L280" s="24" t="inlineStr"/>
      <c r="M280" s="24">
        <f>ROUND(M279*I280, 4)</f>
        <v/>
      </c>
      <c r="N280" s="24" t="inlineStr"/>
      <c r="O280" s="1" t="inlineStr">
        <is>
          <t>10% Khoản 4.2 TT20</t>
        </is>
      </c>
    </row>
    <row r="281">
      <c r="A281" s="1" t="inlineStr"/>
      <c r="B281" s="1" t="inlineStr">
        <is>
          <t>M_KHTSCD</t>
        </is>
      </c>
      <c r="C281" s="1" t="inlineStr">
        <is>
          <t>MÁY</t>
        </is>
      </c>
      <c r="D281" s="1" t="inlineStr">
        <is>
          <t xml:space="preserve"> - Khấu hao thiết bị quan trắc chuyên dụng</t>
        </is>
      </c>
      <c r="E281" s="1" t="inlineStr">
        <is>
          <t>ca</t>
        </is>
      </c>
      <c r="F281" s="1" t="inlineStr"/>
      <c r="G281" s="24" t="inlineStr"/>
      <c r="H281" s="24" t="inlineStr"/>
      <c r="I281" s="24" t="inlineStr"/>
      <c r="J281" s="24" t="n">
        <v>0.08</v>
      </c>
      <c r="K281" s="24" t="inlineStr"/>
      <c r="L281" s="24" t="inlineStr"/>
      <c r="M281" s="24" t="inlineStr"/>
      <c r="N281" s="24">
        <f>ROUND(F276*J281, 4)</f>
        <v/>
      </c>
      <c r="O281" s="1" t="inlineStr">
        <is>
          <t>TT 45/2013</t>
        </is>
      </c>
    </row>
    <row r="282">
      <c r="A282" s="1" t="inlineStr"/>
      <c r="B282" s="1" t="inlineStr">
        <is>
          <t>M_NANGLUONG</t>
        </is>
      </c>
      <c r="C282" s="1" t="inlineStr">
        <is>
          <t>ĐIỆN</t>
        </is>
      </c>
      <c r="D282" s="1" t="inlineStr">
        <is>
          <t xml:space="preserve"> - Năng lượng điện vận hành thiết bị PTN</t>
        </is>
      </c>
      <c r="E282" s="1" t="inlineStr">
        <is>
          <t>kWh</t>
        </is>
      </c>
      <c r="F282" s="1" t="inlineStr"/>
      <c r="G282" s="24" t="inlineStr"/>
      <c r="H282" s="24" t="inlineStr"/>
      <c r="I282" s="24" t="inlineStr"/>
      <c r="J282" s="24" t="n">
        <v>0.5</v>
      </c>
      <c r="K282" s="24" t="inlineStr"/>
      <c r="L282" s="24" t="inlineStr"/>
      <c r="M282" s="24" t="inlineStr"/>
      <c r="N282" s="24">
        <f>ROUND(F276*J282, 4)</f>
        <v/>
      </c>
      <c r="O282" s="1" t="inlineStr">
        <is>
          <t>Điện năng PTN</t>
        </is>
      </c>
    </row>
    <row r="283">
      <c r="A283" s="1" t="inlineStr"/>
      <c r="B283" s="1" t="inlineStr">
        <is>
          <t>VL_01</t>
        </is>
      </c>
      <c r="C283" s="1" t="inlineStr">
        <is>
          <t>VL</t>
        </is>
      </c>
      <c r="D283" s="1" t="inlineStr">
        <is>
          <t xml:space="preserve"> - Hóa chất phân tích tinh khiết, màng lọc, chuẩn</t>
        </is>
      </c>
      <c r="E283" s="1" t="inlineStr">
        <is>
          <t>bộ</t>
        </is>
      </c>
      <c r="F283" s="1" t="inlineStr"/>
      <c r="G283" s="24" t="n">
        <v>0.04</v>
      </c>
      <c r="H283" s="24" t="inlineStr"/>
      <c r="I283" s="24" t="inlineStr"/>
      <c r="J283" s="24" t="inlineStr"/>
      <c r="K283" s="24">
        <f>ROUND(F276*G283, 4)</f>
        <v/>
      </c>
      <c r="L283" s="24" t="inlineStr"/>
      <c r="M283" s="24" t="inlineStr"/>
      <c r="N283" s="24" t="inlineStr"/>
      <c r="O283" s="1" t="inlineStr">
        <is>
          <t>Khoản 4.4 TT20</t>
        </is>
      </c>
    </row>
    <row r="284">
      <c r="A284" s="1" t="inlineStr"/>
      <c r="B284" s="1" t="inlineStr">
        <is>
          <t>VL_KHAC</t>
        </is>
      </c>
      <c r="C284" s="1" t="inlineStr">
        <is>
          <t>VL_PHỤ</t>
        </is>
      </c>
      <c r="D284" s="1" t="inlineStr">
        <is>
          <t xml:space="preserve"> - Vật liệu phụ khác (8% vật liệu chính)</t>
        </is>
      </c>
      <c r="E284" s="1" t="inlineStr">
        <is>
          <t>%</t>
        </is>
      </c>
      <c r="F284" s="1" t="inlineStr"/>
      <c r="G284" s="24" t="n">
        <v>0.08</v>
      </c>
      <c r="H284" s="24" t="inlineStr"/>
      <c r="I284" s="24" t="inlineStr"/>
      <c r="J284" s="24" t="inlineStr"/>
      <c r="K284" s="24">
        <f>ROUND(K283*G284, 4)</f>
        <v/>
      </c>
      <c r="L284" s="24" t="inlineStr"/>
      <c r="M284" s="24" t="inlineStr"/>
      <c r="N284" s="24" t="inlineStr"/>
      <c r="O284" s="1" t="inlineStr">
        <is>
          <t>8% Khoản 4.4 TT20</t>
        </is>
      </c>
    </row>
    <row r="285">
      <c r="A285" s="21">
        <f>'Công trình'!A38</f>
        <v/>
      </c>
      <c r="B285" s="21">
        <f>'Công trình'!C38</f>
        <v/>
      </c>
      <c r="C285" s="21" t="inlineStr"/>
      <c r="D285" s="22">
        <f>'Công trình'!D38</f>
        <v/>
      </c>
      <c r="E285" s="21">
        <f>'Công trình'!E38</f>
        <v/>
      </c>
      <c r="F285" s="21">
        <f>'Công trình'!L38</f>
        <v/>
      </c>
      <c r="G285" s="23" t="inlineStr"/>
      <c r="H285" s="23" t="inlineStr"/>
      <c r="I285" s="23" t="inlineStr"/>
      <c r="J285" s="23" t="inlineStr"/>
      <c r="K285" s="23" t="inlineStr"/>
      <c r="L285" s="23" t="inlineStr"/>
      <c r="M285" s="23" t="inlineStr"/>
      <c r="N285" s="23" t="inlineStr"/>
      <c r="O285" s="21" t="inlineStr">
        <is>
          <t>PAKT &amp; Định mức TT20</t>
        </is>
      </c>
    </row>
    <row r="286">
      <c r="A286" s="1" t="inlineStr"/>
      <c r="B286" s="1" t="inlineStr">
        <is>
          <t>NC_LDKT</t>
        </is>
      </c>
      <c r="C286" s="1" t="inlineStr">
        <is>
          <t>LĐKT</t>
        </is>
      </c>
      <c r="D286" s="1" t="inlineStr">
        <is>
          <t xml:space="preserve"> - Kỹ sư / Kiểm định viên / Quan trắc viên</t>
        </is>
      </c>
      <c r="E286" s="1" t="inlineStr">
        <is>
          <t>công</t>
        </is>
      </c>
      <c r="F286" s="1" t="inlineStr"/>
      <c r="G286" s="24" t="inlineStr"/>
      <c r="H286" s="24" t="n">
        <v>0.176</v>
      </c>
      <c r="I286" s="24" t="inlineStr"/>
      <c r="J286" s="24" t="inlineStr"/>
      <c r="K286" s="24" t="inlineStr"/>
      <c r="L286" s="24">
        <f>ROUND(F285*H286, 4)</f>
        <v/>
      </c>
      <c r="M286" s="24" t="inlineStr"/>
      <c r="N286" s="24" t="inlineStr"/>
      <c r="O286" s="1" t="inlineStr">
        <is>
          <t>TTLT 56/2015</t>
        </is>
      </c>
    </row>
    <row r="287">
      <c r="A287" s="1" t="inlineStr"/>
      <c r="B287" s="1" t="inlineStr">
        <is>
          <t>NC_LDPT</t>
        </is>
      </c>
      <c r="C287" s="1" t="inlineStr">
        <is>
          <t>LĐPT</t>
        </is>
      </c>
      <c r="D287" s="1" t="inlineStr">
        <is>
          <t xml:space="preserve"> - Lao động phổ thông phụ việc hiện trường</t>
        </is>
      </c>
      <c r="E287" s="1" t="inlineStr">
        <is>
          <t>công</t>
        </is>
      </c>
      <c r="F287" s="1" t="inlineStr"/>
      <c r="G287" s="24" t="inlineStr"/>
      <c r="H287" s="24" t="n">
        <v>0.044</v>
      </c>
      <c r="I287" s="24" t="inlineStr"/>
      <c r="J287" s="24" t="inlineStr"/>
      <c r="K287" s="24" t="inlineStr"/>
      <c r="L287" s="24">
        <f>ROUND(F285*H287, 4)</f>
        <v/>
      </c>
      <c r="M287" s="24" t="inlineStr"/>
      <c r="N287" s="24" t="inlineStr"/>
      <c r="O287" s="1" t="inlineStr">
        <is>
          <t>Hỗ trợ ngoại nghiệp</t>
        </is>
      </c>
    </row>
    <row r="288">
      <c r="A288" s="1" t="inlineStr"/>
      <c r="B288" s="1" t="inlineStr">
        <is>
          <t>CCDC_01</t>
        </is>
      </c>
      <c r="C288" s="1" t="inlineStr">
        <is>
          <t>CCDC</t>
        </is>
      </c>
      <c r="D288" s="1" t="inlineStr">
        <is>
          <t xml:space="preserve"> - Ca dụng cụ, thiết bị nhỏ đo đạc/lấy mẫu</t>
        </is>
      </c>
      <c r="E288" s="1" t="inlineStr">
        <is>
          <t>ca</t>
        </is>
      </c>
      <c r="F288" s="1" t="inlineStr"/>
      <c r="G288" s="24" t="inlineStr"/>
      <c r="H288" s="24" t="inlineStr"/>
      <c r="I288" s="24" t="n">
        <v>0.1</v>
      </c>
      <c r="J288" s="24" t="inlineStr"/>
      <c r="K288" s="24" t="inlineStr"/>
      <c r="L288" s="24" t="inlineStr"/>
      <c r="M288" s="24">
        <f>ROUND(F285*I288, 4)</f>
        <v/>
      </c>
      <c r="N288" s="24" t="inlineStr"/>
      <c r="O288" s="1" t="inlineStr">
        <is>
          <t>Khoản 4.2 TT20</t>
        </is>
      </c>
    </row>
    <row r="289">
      <c r="A289" s="1" t="inlineStr"/>
      <c r="B289" s="1" t="inlineStr">
        <is>
          <t>CCDC_PHU</t>
        </is>
      </c>
      <c r="C289" s="1" t="inlineStr">
        <is>
          <t>CCDC_PHỤ</t>
        </is>
      </c>
      <c r="D289" s="1" t="inlineStr">
        <is>
          <t xml:space="preserve"> - Dụng cụ phụ khác (10% CCDC chính)</t>
        </is>
      </c>
      <c r="E289" s="1" t="inlineStr">
        <is>
          <t>%</t>
        </is>
      </c>
      <c r="F289" s="1" t="inlineStr"/>
      <c r="G289" s="24" t="inlineStr"/>
      <c r="H289" s="24" t="inlineStr"/>
      <c r="I289" s="24" t="n">
        <v>0.1</v>
      </c>
      <c r="J289" s="24" t="inlineStr"/>
      <c r="K289" s="24" t="inlineStr"/>
      <c r="L289" s="24" t="inlineStr"/>
      <c r="M289" s="24">
        <f>ROUND(M288*I289, 4)</f>
        <v/>
      </c>
      <c r="N289" s="24" t="inlineStr"/>
      <c r="O289" s="1" t="inlineStr">
        <is>
          <t>10% Khoản 4.2 TT20</t>
        </is>
      </c>
    </row>
    <row r="290">
      <c r="A290" s="1" t="inlineStr"/>
      <c r="B290" s="1" t="inlineStr">
        <is>
          <t>M_KHTSCD</t>
        </is>
      </c>
      <c r="C290" s="1" t="inlineStr">
        <is>
          <t>MÁY</t>
        </is>
      </c>
      <c r="D290" s="1" t="inlineStr">
        <is>
          <t xml:space="preserve"> - Khấu hao thiết bị quan trắc chuyên dụng</t>
        </is>
      </c>
      <c r="E290" s="1" t="inlineStr">
        <is>
          <t>ca</t>
        </is>
      </c>
      <c r="F290" s="1" t="inlineStr"/>
      <c r="G290" s="24" t="inlineStr"/>
      <c r="H290" s="24" t="inlineStr"/>
      <c r="I290" s="24" t="inlineStr"/>
      <c r="J290" s="24" t="n">
        <v>0.08</v>
      </c>
      <c r="K290" s="24" t="inlineStr"/>
      <c r="L290" s="24" t="inlineStr"/>
      <c r="M290" s="24" t="inlineStr"/>
      <c r="N290" s="24">
        <f>ROUND(F285*J290, 4)</f>
        <v/>
      </c>
      <c r="O290" s="1" t="inlineStr">
        <is>
          <t>TT 45/2013</t>
        </is>
      </c>
    </row>
    <row r="291">
      <c r="A291" s="1" t="inlineStr"/>
      <c r="B291" s="1" t="inlineStr">
        <is>
          <t>M_NANGLUONG</t>
        </is>
      </c>
      <c r="C291" s="1" t="inlineStr">
        <is>
          <t>ĐIỆN</t>
        </is>
      </c>
      <c r="D291" s="1" t="inlineStr">
        <is>
          <t xml:space="preserve"> - Năng lượng điện vận hành thiết bị PTN</t>
        </is>
      </c>
      <c r="E291" s="1" t="inlineStr">
        <is>
          <t>kWh</t>
        </is>
      </c>
      <c r="F291" s="1" t="inlineStr"/>
      <c r="G291" s="24" t="inlineStr"/>
      <c r="H291" s="24" t="inlineStr"/>
      <c r="I291" s="24" t="inlineStr"/>
      <c r="J291" s="24" t="n">
        <v>0.5</v>
      </c>
      <c r="K291" s="24" t="inlineStr"/>
      <c r="L291" s="24" t="inlineStr"/>
      <c r="M291" s="24" t="inlineStr"/>
      <c r="N291" s="24">
        <f>ROUND(F285*J291, 4)</f>
        <v/>
      </c>
      <c r="O291" s="1" t="inlineStr">
        <is>
          <t>Điện năng PTN</t>
        </is>
      </c>
    </row>
    <row r="292">
      <c r="A292" s="1" t="inlineStr"/>
      <c r="B292" s="1" t="inlineStr">
        <is>
          <t>VL_01</t>
        </is>
      </c>
      <c r="C292" s="1" t="inlineStr">
        <is>
          <t>VL</t>
        </is>
      </c>
      <c r="D292" s="1" t="inlineStr">
        <is>
          <t xml:space="preserve"> - Hóa chất phân tích tinh khiết, màng lọc, chuẩn</t>
        </is>
      </c>
      <c r="E292" s="1" t="inlineStr">
        <is>
          <t>bộ</t>
        </is>
      </c>
      <c r="F292" s="1" t="inlineStr"/>
      <c r="G292" s="24" t="n">
        <v>0.04</v>
      </c>
      <c r="H292" s="24" t="inlineStr"/>
      <c r="I292" s="24" t="inlineStr"/>
      <c r="J292" s="24" t="inlineStr"/>
      <c r="K292" s="24">
        <f>ROUND(F285*G292, 4)</f>
        <v/>
      </c>
      <c r="L292" s="24" t="inlineStr"/>
      <c r="M292" s="24" t="inlineStr"/>
      <c r="N292" s="24" t="inlineStr"/>
      <c r="O292" s="1" t="inlineStr">
        <is>
          <t>Khoản 4.4 TT20</t>
        </is>
      </c>
    </row>
    <row r="293">
      <c r="A293" s="1" t="inlineStr"/>
      <c r="B293" s="1" t="inlineStr">
        <is>
          <t>VL_KHAC</t>
        </is>
      </c>
      <c r="C293" s="1" t="inlineStr">
        <is>
          <t>VL_PHỤ</t>
        </is>
      </c>
      <c r="D293" s="1" t="inlineStr">
        <is>
          <t xml:space="preserve"> - Vật liệu phụ khác (8% vật liệu chính)</t>
        </is>
      </c>
      <c r="E293" s="1" t="inlineStr">
        <is>
          <t>%</t>
        </is>
      </c>
      <c r="F293" s="1" t="inlineStr"/>
      <c r="G293" s="24" t="n">
        <v>0.08</v>
      </c>
      <c r="H293" s="24" t="inlineStr"/>
      <c r="I293" s="24" t="inlineStr"/>
      <c r="J293" s="24" t="inlineStr"/>
      <c r="K293" s="24">
        <f>ROUND(K292*G293, 4)</f>
        <v/>
      </c>
      <c r="L293" s="24" t="inlineStr"/>
      <c r="M293" s="24" t="inlineStr"/>
      <c r="N293" s="24" t="inlineStr"/>
      <c r="O293" s="1" t="inlineStr">
        <is>
          <t>8% Khoản 4.4 TT20</t>
        </is>
      </c>
    </row>
    <row r="294">
      <c r="A294" s="21">
        <f>'Công trình'!A39</f>
        <v/>
      </c>
      <c r="B294" s="21">
        <f>'Công trình'!C39</f>
        <v/>
      </c>
      <c r="C294" s="21" t="inlineStr"/>
      <c r="D294" s="22">
        <f>'Công trình'!D39</f>
        <v/>
      </c>
      <c r="E294" s="21">
        <f>'Công trình'!E39</f>
        <v/>
      </c>
      <c r="F294" s="21">
        <f>'Công trình'!L39</f>
        <v/>
      </c>
      <c r="G294" s="23" t="inlineStr"/>
      <c r="H294" s="23" t="inlineStr"/>
      <c r="I294" s="23" t="inlineStr"/>
      <c r="J294" s="23" t="inlineStr"/>
      <c r="K294" s="23" t="inlineStr"/>
      <c r="L294" s="23" t="inlineStr"/>
      <c r="M294" s="23" t="inlineStr"/>
      <c r="N294" s="23" t="inlineStr"/>
      <c r="O294" s="21" t="inlineStr">
        <is>
          <t>PAKT &amp; Định mức TT20</t>
        </is>
      </c>
    </row>
    <row r="295">
      <c r="A295" s="1" t="inlineStr"/>
      <c r="B295" s="1" t="inlineStr">
        <is>
          <t>NC_LDKT</t>
        </is>
      </c>
      <c r="C295" s="1" t="inlineStr">
        <is>
          <t>LĐKT</t>
        </is>
      </c>
      <c r="D295" s="1" t="inlineStr">
        <is>
          <t xml:space="preserve"> - Kỹ sư / Kiểm định viên / Quan trắc viên</t>
        </is>
      </c>
      <c r="E295" s="1" t="inlineStr">
        <is>
          <t>công</t>
        </is>
      </c>
      <c r="F295" s="1" t="inlineStr"/>
      <c r="G295" s="24" t="inlineStr"/>
      <c r="H295" s="24" t="n">
        <v>0.176</v>
      </c>
      <c r="I295" s="24" t="inlineStr"/>
      <c r="J295" s="24" t="inlineStr"/>
      <c r="K295" s="24" t="inlineStr"/>
      <c r="L295" s="24">
        <f>ROUND(F294*H295, 4)</f>
        <v/>
      </c>
      <c r="M295" s="24" t="inlineStr"/>
      <c r="N295" s="24" t="inlineStr"/>
      <c r="O295" s="1" t="inlineStr">
        <is>
          <t>TTLT 56/2015</t>
        </is>
      </c>
    </row>
    <row r="296">
      <c r="A296" s="1" t="inlineStr"/>
      <c r="B296" s="1" t="inlineStr">
        <is>
          <t>NC_LDPT</t>
        </is>
      </c>
      <c r="C296" s="1" t="inlineStr">
        <is>
          <t>LĐPT</t>
        </is>
      </c>
      <c r="D296" s="1" t="inlineStr">
        <is>
          <t xml:space="preserve"> - Lao động phổ thông phụ việc hiện trường</t>
        </is>
      </c>
      <c r="E296" s="1" t="inlineStr">
        <is>
          <t>công</t>
        </is>
      </c>
      <c r="F296" s="1" t="inlineStr"/>
      <c r="G296" s="24" t="inlineStr"/>
      <c r="H296" s="24" t="n">
        <v>0.044</v>
      </c>
      <c r="I296" s="24" t="inlineStr"/>
      <c r="J296" s="24" t="inlineStr"/>
      <c r="K296" s="24" t="inlineStr"/>
      <c r="L296" s="24">
        <f>ROUND(F294*H296, 4)</f>
        <v/>
      </c>
      <c r="M296" s="24" t="inlineStr"/>
      <c r="N296" s="24" t="inlineStr"/>
      <c r="O296" s="1" t="inlineStr">
        <is>
          <t>Hỗ trợ ngoại nghiệp</t>
        </is>
      </c>
    </row>
    <row r="297">
      <c r="A297" s="1" t="inlineStr"/>
      <c r="B297" s="1" t="inlineStr">
        <is>
          <t>CCDC_01</t>
        </is>
      </c>
      <c r="C297" s="1" t="inlineStr">
        <is>
          <t>CCDC</t>
        </is>
      </c>
      <c r="D297" s="1" t="inlineStr">
        <is>
          <t xml:space="preserve"> - Ca dụng cụ, thiết bị nhỏ đo đạc/lấy mẫu</t>
        </is>
      </c>
      <c r="E297" s="1" t="inlineStr">
        <is>
          <t>ca</t>
        </is>
      </c>
      <c r="F297" s="1" t="inlineStr"/>
      <c r="G297" s="24" t="inlineStr"/>
      <c r="H297" s="24" t="inlineStr"/>
      <c r="I297" s="24" t="n">
        <v>0.1</v>
      </c>
      <c r="J297" s="24" t="inlineStr"/>
      <c r="K297" s="24" t="inlineStr"/>
      <c r="L297" s="24" t="inlineStr"/>
      <c r="M297" s="24">
        <f>ROUND(F294*I297, 4)</f>
        <v/>
      </c>
      <c r="N297" s="24" t="inlineStr"/>
      <c r="O297" s="1" t="inlineStr">
        <is>
          <t>Khoản 4.2 TT20</t>
        </is>
      </c>
    </row>
    <row r="298">
      <c r="A298" s="1" t="inlineStr"/>
      <c r="B298" s="1" t="inlineStr">
        <is>
          <t>CCDC_PHU</t>
        </is>
      </c>
      <c r="C298" s="1" t="inlineStr">
        <is>
          <t>CCDC_PHỤ</t>
        </is>
      </c>
      <c r="D298" s="1" t="inlineStr">
        <is>
          <t xml:space="preserve"> - Dụng cụ phụ khác (10% CCDC chính)</t>
        </is>
      </c>
      <c r="E298" s="1" t="inlineStr">
        <is>
          <t>%</t>
        </is>
      </c>
      <c r="F298" s="1" t="inlineStr"/>
      <c r="G298" s="24" t="inlineStr"/>
      <c r="H298" s="24" t="inlineStr"/>
      <c r="I298" s="24" t="n">
        <v>0.1</v>
      </c>
      <c r="J298" s="24" t="inlineStr"/>
      <c r="K298" s="24" t="inlineStr"/>
      <c r="L298" s="24" t="inlineStr"/>
      <c r="M298" s="24">
        <f>ROUND(M297*I298, 4)</f>
        <v/>
      </c>
      <c r="N298" s="24" t="inlineStr"/>
      <c r="O298" s="1" t="inlineStr">
        <is>
          <t>10% Khoản 4.2 TT20</t>
        </is>
      </c>
    </row>
    <row r="299">
      <c r="A299" s="1" t="inlineStr"/>
      <c r="B299" s="1" t="inlineStr">
        <is>
          <t>M_KHTSCD</t>
        </is>
      </c>
      <c r="C299" s="1" t="inlineStr">
        <is>
          <t>MÁY</t>
        </is>
      </c>
      <c r="D299" s="1" t="inlineStr">
        <is>
          <t xml:space="preserve"> - Khấu hao thiết bị quan trắc chuyên dụng</t>
        </is>
      </c>
      <c r="E299" s="1" t="inlineStr">
        <is>
          <t>ca</t>
        </is>
      </c>
      <c r="F299" s="1" t="inlineStr"/>
      <c r="G299" s="24" t="inlineStr"/>
      <c r="H299" s="24" t="inlineStr"/>
      <c r="I299" s="24" t="inlineStr"/>
      <c r="J299" s="24" t="n">
        <v>0.08</v>
      </c>
      <c r="K299" s="24" t="inlineStr"/>
      <c r="L299" s="24" t="inlineStr"/>
      <c r="M299" s="24" t="inlineStr"/>
      <c r="N299" s="24">
        <f>ROUND(F294*J299, 4)</f>
        <v/>
      </c>
      <c r="O299" s="1" t="inlineStr">
        <is>
          <t>TT 45/2013</t>
        </is>
      </c>
    </row>
    <row r="300">
      <c r="A300" s="1" t="inlineStr"/>
      <c r="B300" s="1" t="inlineStr">
        <is>
          <t>M_NANGLUONG</t>
        </is>
      </c>
      <c r="C300" s="1" t="inlineStr">
        <is>
          <t>ĐIỆN</t>
        </is>
      </c>
      <c r="D300" s="1" t="inlineStr">
        <is>
          <t xml:space="preserve"> - Năng lượng điện vận hành thiết bị PTN</t>
        </is>
      </c>
      <c r="E300" s="1" t="inlineStr">
        <is>
          <t>kWh</t>
        </is>
      </c>
      <c r="F300" s="1" t="inlineStr"/>
      <c r="G300" s="24" t="inlineStr"/>
      <c r="H300" s="24" t="inlineStr"/>
      <c r="I300" s="24" t="inlineStr"/>
      <c r="J300" s="24" t="n">
        <v>0.5</v>
      </c>
      <c r="K300" s="24" t="inlineStr"/>
      <c r="L300" s="24" t="inlineStr"/>
      <c r="M300" s="24" t="inlineStr"/>
      <c r="N300" s="24">
        <f>ROUND(F294*J300, 4)</f>
        <v/>
      </c>
      <c r="O300" s="1" t="inlineStr">
        <is>
          <t>Điện năng PTN</t>
        </is>
      </c>
    </row>
    <row r="301">
      <c r="A301" s="1" t="inlineStr"/>
      <c r="B301" s="1" t="inlineStr">
        <is>
          <t>VL_01</t>
        </is>
      </c>
      <c r="C301" s="1" t="inlineStr">
        <is>
          <t>VL</t>
        </is>
      </c>
      <c r="D301" s="1" t="inlineStr">
        <is>
          <t xml:space="preserve"> - Hóa chất phân tích tinh khiết, màng lọc, chuẩn</t>
        </is>
      </c>
      <c r="E301" s="1" t="inlineStr">
        <is>
          <t>bộ</t>
        </is>
      </c>
      <c r="F301" s="1" t="inlineStr"/>
      <c r="G301" s="24" t="n">
        <v>0.04</v>
      </c>
      <c r="H301" s="24" t="inlineStr"/>
      <c r="I301" s="24" t="inlineStr"/>
      <c r="J301" s="24" t="inlineStr"/>
      <c r="K301" s="24">
        <f>ROUND(F294*G301, 4)</f>
        <v/>
      </c>
      <c r="L301" s="24" t="inlineStr"/>
      <c r="M301" s="24" t="inlineStr"/>
      <c r="N301" s="24" t="inlineStr"/>
      <c r="O301" s="1" t="inlineStr">
        <is>
          <t>Khoản 4.4 TT20</t>
        </is>
      </c>
    </row>
    <row r="302">
      <c r="A302" s="1" t="inlineStr"/>
      <c r="B302" s="1" t="inlineStr">
        <is>
          <t>VL_KHAC</t>
        </is>
      </c>
      <c r="C302" s="1" t="inlineStr">
        <is>
          <t>VL_PHỤ</t>
        </is>
      </c>
      <c r="D302" s="1" t="inlineStr">
        <is>
          <t xml:space="preserve"> - Vật liệu phụ khác (8% vật liệu chính)</t>
        </is>
      </c>
      <c r="E302" s="1" t="inlineStr">
        <is>
          <t>%</t>
        </is>
      </c>
      <c r="F302" s="1" t="inlineStr"/>
      <c r="G302" s="24" t="n">
        <v>0.08</v>
      </c>
      <c r="H302" s="24" t="inlineStr"/>
      <c r="I302" s="24" t="inlineStr"/>
      <c r="J302" s="24" t="inlineStr"/>
      <c r="K302" s="24">
        <f>ROUND(K301*G302, 4)</f>
        <v/>
      </c>
      <c r="L302" s="24" t="inlineStr"/>
      <c r="M302" s="24" t="inlineStr"/>
      <c r="N302" s="24" t="inlineStr"/>
      <c r="O302" s="1" t="inlineStr">
        <is>
          <t>8% Khoản 4.4 TT20</t>
        </is>
      </c>
    </row>
    <row r="303">
      <c r="A303" s="21">
        <f>'Công trình'!A40</f>
        <v/>
      </c>
      <c r="B303" s="21">
        <f>'Công trình'!C40</f>
        <v/>
      </c>
      <c r="C303" s="21" t="inlineStr"/>
      <c r="D303" s="22">
        <f>'Công trình'!D40</f>
        <v/>
      </c>
      <c r="E303" s="21">
        <f>'Công trình'!E40</f>
        <v/>
      </c>
      <c r="F303" s="21">
        <f>'Công trình'!L40</f>
        <v/>
      </c>
      <c r="G303" s="23" t="inlineStr"/>
      <c r="H303" s="23" t="inlineStr"/>
      <c r="I303" s="23" t="inlineStr"/>
      <c r="J303" s="23" t="inlineStr"/>
      <c r="K303" s="23" t="inlineStr"/>
      <c r="L303" s="23" t="inlineStr"/>
      <c r="M303" s="23" t="inlineStr"/>
      <c r="N303" s="23" t="inlineStr"/>
      <c r="O303" s="21" t="inlineStr">
        <is>
          <t>PAKT &amp; Định mức TT20</t>
        </is>
      </c>
    </row>
    <row r="304">
      <c r="A304" s="1" t="inlineStr"/>
      <c r="B304" s="1" t="inlineStr">
        <is>
          <t>NC_LDKT</t>
        </is>
      </c>
      <c r="C304" s="1" t="inlineStr">
        <is>
          <t>LĐKT</t>
        </is>
      </c>
      <c r="D304" s="1" t="inlineStr">
        <is>
          <t xml:space="preserve"> - Kỹ sư / Kiểm định viên / Quan trắc viên</t>
        </is>
      </c>
      <c r="E304" s="1" t="inlineStr">
        <is>
          <t>công</t>
        </is>
      </c>
      <c r="F304" s="1" t="inlineStr"/>
      <c r="G304" s="24" t="inlineStr"/>
      <c r="H304" s="24" t="n">
        <v>0.176</v>
      </c>
      <c r="I304" s="24" t="inlineStr"/>
      <c r="J304" s="24" t="inlineStr"/>
      <c r="K304" s="24" t="inlineStr"/>
      <c r="L304" s="24">
        <f>ROUND(F303*H304, 4)</f>
        <v/>
      </c>
      <c r="M304" s="24" t="inlineStr"/>
      <c r="N304" s="24" t="inlineStr"/>
      <c r="O304" s="1" t="inlineStr">
        <is>
          <t>TTLT 56/2015</t>
        </is>
      </c>
    </row>
    <row r="305">
      <c r="A305" s="1" t="inlineStr"/>
      <c r="B305" s="1" t="inlineStr">
        <is>
          <t>NC_LDPT</t>
        </is>
      </c>
      <c r="C305" s="1" t="inlineStr">
        <is>
          <t>LĐPT</t>
        </is>
      </c>
      <c r="D305" s="1" t="inlineStr">
        <is>
          <t xml:space="preserve"> - Lao động phổ thông phụ việc hiện trường</t>
        </is>
      </c>
      <c r="E305" s="1" t="inlineStr">
        <is>
          <t>công</t>
        </is>
      </c>
      <c r="F305" s="1" t="inlineStr"/>
      <c r="G305" s="24" t="inlineStr"/>
      <c r="H305" s="24" t="n">
        <v>0.044</v>
      </c>
      <c r="I305" s="24" t="inlineStr"/>
      <c r="J305" s="24" t="inlineStr"/>
      <c r="K305" s="24" t="inlineStr"/>
      <c r="L305" s="24">
        <f>ROUND(F303*H305, 4)</f>
        <v/>
      </c>
      <c r="M305" s="24" t="inlineStr"/>
      <c r="N305" s="24" t="inlineStr"/>
      <c r="O305" s="1" t="inlineStr">
        <is>
          <t>Hỗ trợ ngoại nghiệp</t>
        </is>
      </c>
    </row>
    <row r="306">
      <c r="A306" s="1" t="inlineStr"/>
      <c r="B306" s="1" t="inlineStr">
        <is>
          <t>CCDC_01</t>
        </is>
      </c>
      <c r="C306" s="1" t="inlineStr">
        <is>
          <t>CCDC</t>
        </is>
      </c>
      <c r="D306" s="1" t="inlineStr">
        <is>
          <t xml:space="preserve"> - Ca dụng cụ, thiết bị nhỏ đo đạc/lấy mẫu</t>
        </is>
      </c>
      <c r="E306" s="1" t="inlineStr">
        <is>
          <t>ca</t>
        </is>
      </c>
      <c r="F306" s="1" t="inlineStr"/>
      <c r="G306" s="24" t="inlineStr"/>
      <c r="H306" s="24" t="inlineStr"/>
      <c r="I306" s="24" t="n">
        <v>0.1</v>
      </c>
      <c r="J306" s="24" t="inlineStr"/>
      <c r="K306" s="24" t="inlineStr"/>
      <c r="L306" s="24" t="inlineStr"/>
      <c r="M306" s="24">
        <f>ROUND(F303*I306, 4)</f>
        <v/>
      </c>
      <c r="N306" s="24" t="inlineStr"/>
      <c r="O306" s="1" t="inlineStr">
        <is>
          <t>Khoản 4.2 TT20</t>
        </is>
      </c>
    </row>
    <row r="307">
      <c r="A307" s="1" t="inlineStr"/>
      <c r="B307" s="1" t="inlineStr">
        <is>
          <t>CCDC_PHU</t>
        </is>
      </c>
      <c r="C307" s="1" t="inlineStr">
        <is>
          <t>CCDC_PHỤ</t>
        </is>
      </c>
      <c r="D307" s="1" t="inlineStr">
        <is>
          <t xml:space="preserve"> - Dụng cụ phụ khác (10% CCDC chính)</t>
        </is>
      </c>
      <c r="E307" s="1" t="inlineStr">
        <is>
          <t>%</t>
        </is>
      </c>
      <c r="F307" s="1" t="inlineStr"/>
      <c r="G307" s="24" t="inlineStr"/>
      <c r="H307" s="24" t="inlineStr"/>
      <c r="I307" s="24" t="n">
        <v>0.1</v>
      </c>
      <c r="J307" s="24" t="inlineStr"/>
      <c r="K307" s="24" t="inlineStr"/>
      <c r="L307" s="24" t="inlineStr"/>
      <c r="M307" s="24">
        <f>ROUND(M306*I307, 4)</f>
        <v/>
      </c>
      <c r="N307" s="24" t="inlineStr"/>
      <c r="O307" s="1" t="inlineStr">
        <is>
          <t>10% Khoản 4.2 TT20</t>
        </is>
      </c>
    </row>
    <row r="308">
      <c r="A308" s="1" t="inlineStr"/>
      <c r="B308" s="1" t="inlineStr">
        <is>
          <t>M_KHTSCD</t>
        </is>
      </c>
      <c r="C308" s="1" t="inlineStr">
        <is>
          <t>MÁY</t>
        </is>
      </c>
      <c r="D308" s="1" t="inlineStr">
        <is>
          <t xml:space="preserve"> - Khấu hao thiết bị quan trắc chuyên dụng</t>
        </is>
      </c>
      <c r="E308" s="1" t="inlineStr">
        <is>
          <t>ca</t>
        </is>
      </c>
      <c r="F308" s="1" t="inlineStr"/>
      <c r="G308" s="24" t="inlineStr"/>
      <c r="H308" s="24" t="inlineStr"/>
      <c r="I308" s="24" t="inlineStr"/>
      <c r="J308" s="24" t="n">
        <v>0.08</v>
      </c>
      <c r="K308" s="24" t="inlineStr"/>
      <c r="L308" s="24" t="inlineStr"/>
      <c r="M308" s="24" t="inlineStr"/>
      <c r="N308" s="24">
        <f>ROUND(F303*J308, 4)</f>
        <v/>
      </c>
      <c r="O308" s="1" t="inlineStr">
        <is>
          <t>TT 45/2013</t>
        </is>
      </c>
    </row>
    <row r="309">
      <c r="A309" s="1" t="inlineStr"/>
      <c r="B309" s="1" t="inlineStr">
        <is>
          <t>M_NANGLUONG</t>
        </is>
      </c>
      <c r="C309" s="1" t="inlineStr">
        <is>
          <t>ĐIỆN</t>
        </is>
      </c>
      <c r="D309" s="1" t="inlineStr">
        <is>
          <t xml:space="preserve"> - Năng lượng điện vận hành thiết bị PTN</t>
        </is>
      </c>
      <c r="E309" s="1" t="inlineStr">
        <is>
          <t>kWh</t>
        </is>
      </c>
      <c r="F309" s="1" t="inlineStr"/>
      <c r="G309" s="24" t="inlineStr"/>
      <c r="H309" s="24" t="inlineStr"/>
      <c r="I309" s="24" t="inlineStr"/>
      <c r="J309" s="24" t="n">
        <v>0.5</v>
      </c>
      <c r="K309" s="24" t="inlineStr"/>
      <c r="L309" s="24" t="inlineStr"/>
      <c r="M309" s="24" t="inlineStr"/>
      <c r="N309" s="24">
        <f>ROUND(F303*J309, 4)</f>
        <v/>
      </c>
      <c r="O309" s="1" t="inlineStr">
        <is>
          <t>Điện năng PTN</t>
        </is>
      </c>
    </row>
    <row r="310">
      <c r="A310" s="1" t="inlineStr"/>
      <c r="B310" s="1" t="inlineStr">
        <is>
          <t>VL_01</t>
        </is>
      </c>
      <c r="C310" s="1" t="inlineStr">
        <is>
          <t>VL</t>
        </is>
      </c>
      <c r="D310" s="1" t="inlineStr">
        <is>
          <t xml:space="preserve"> - Hóa chất phân tích tinh khiết, màng lọc, chuẩn</t>
        </is>
      </c>
      <c r="E310" s="1" t="inlineStr">
        <is>
          <t>bộ</t>
        </is>
      </c>
      <c r="F310" s="1" t="inlineStr"/>
      <c r="G310" s="24" t="n">
        <v>0.04</v>
      </c>
      <c r="H310" s="24" t="inlineStr"/>
      <c r="I310" s="24" t="inlineStr"/>
      <c r="J310" s="24" t="inlineStr"/>
      <c r="K310" s="24">
        <f>ROUND(F303*G310, 4)</f>
        <v/>
      </c>
      <c r="L310" s="24" t="inlineStr"/>
      <c r="M310" s="24" t="inlineStr"/>
      <c r="N310" s="24" t="inlineStr"/>
      <c r="O310" s="1" t="inlineStr">
        <is>
          <t>Khoản 4.4 TT20</t>
        </is>
      </c>
    </row>
    <row r="311">
      <c r="A311" s="1" t="inlineStr"/>
      <c r="B311" s="1" t="inlineStr">
        <is>
          <t>VL_KHAC</t>
        </is>
      </c>
      <c r="C311" s="1" t="inlineStr">
        <is>
          <t>VL_PHỤ</t>
        </is>
      </c>
      <c r="D311" s="1" t="inlineStr">
        <is>
          <t xml:space="preserve"> - Vật liệu phụ khác (8% vật liệu chính)</t>
        </is>
      </c>
      <c r="E311" s="1" t="inlineStr">
        <is>
          <t>%</t>
        </is>
      </c>
      <c r="F311" s="1" t="inlineStr"/>
      <c r="G311" s="24" t="n">
        <v>0.08</v>
      </c>
      <c r="H311" s="24" t="inlineStr"/>
      <c r="I311" s="24" t="inlineStr"/>
      <c r="J311" s="24" t="inlineStr"/>
      <c r="K311" s="24">
        <f>ROUND(K310*G311, 4)</f>
        <v/>
      </c>
      <c r="L311" s="24" t="inlineStr"/>
      <c r="M311" s="24" t="inlineStr"/>
      <c r="N311" s="24" t="inlineStr"/>
      <c r="O311" s="1" t="inlineStr">
        <is>
          <t>8% Khoản 4.4 TT20</t>
        </is>
      </c>
    </row>
    <row r="312">
      <c r="A312" s="21">
        <f>'Công trình'!A41</f>
        <v/>
      </c>
      <c r="B312" s="21">
        <f>'Công trình'!C41</f>
        <v/>
      </c>
      <c r="C312" s="21" t="inlineStr"/>
      <c r="D312" s="22">
        <f>'Công trình'!D41</f>
        <v/>
      </c>
      <c r="E312" s="21">
        <f>'Công trình'!E41</f>
        <v/>
      </c>
      <c r="F312" s="21">
        <f>'Công trình'!L41</f>
        <v/>
      </c>
      <c r="G312" s="23" t="inlineStr"/>
      <c r="H312" s="23" t="inlineStr"/>
      <c r="I312" s="23" t="inlineStr"/>
      <c r="J312" s="23" t="inlineStr"/>
      <c r="K312" s="23" t="inlineStr"/>
      <c r="L312" s="23" t="inlineStr"/>
      <c r="M312" s="23" t="inlineStr"/>
      <c r="N312" s="23" t="inlineStr"/>
      <c r="O312" s="21" t="inlineStr">
        <is>
          <t>PAKT &amp; Định mức TT20</t>
        </is>
      </c>
    </row>
    <row r="313">
      <c r="A313" s="1" t="inlineStr"/>
      <c r="B313" s="1" t="inlineStr">
        <is>
          <t>NC_LDKT</t>
        </is>
      </c>
      <c r="C313" s="1" t="inlineStr">
        <is>
          <t>LĐKT</t>
        </is>
      </c>
      <c r="D313" s="1" t="inlineStr">
        <is>
          <t xml:space="preserve"> - Kỹ sư / Kiểm định viên / Quan trắc viên</t>
        </is>
      </c>
      <c r="E313" s="1" t="inlineStr">
        <is>
          <t>công</t>
        </is>
      </c>
      <c r="F313" s="1" t="inlineStr"/>
      <c r="G313" s="24" t="inlineStr"/>
      <c r="H313" s="24" t="n">
        <v>0.176</v>
      </c>
      <c r="I313" s="24" t="inlineStr"/>
      <c r="J313" s="24" t="inlineStr"/>
      <c r="K313" s="24" t="inlineStr"/>
      <c r="L313" s="24">
        <f>ROUND(F312*H313, 4)</f>
        <v/>
      </c>
      <c r="M313" s="24" t="inlineStr"/>
      <c r="N313" s="24" t="inlineStr"/>
      <c r="O313" s="1" t="inlineStr">
        <is>
          <t>TTLT 56/2015</t>
        </is>
      </c>
    </row>
    <row r="314">
      <c r="A314" s="1" t="inlineStr"/>
      <c r="B314" s="1" t="inlineStr">
        <is>
          <t>NC_LDPT</t>
        </is>
      </c>
      <c r="C314" s="1" t="inlineStr">
        <is>
          <t>LĐPT</t>
        </is>
      </c>
      <c r="D314" s="1" t="inlineStr">
        <is>
          <t xml:space="preserve"> - Lao động phổ thông phụ việc hiện trường</t>
        </is>
      </c>
      <c r="E314" s="1" t="inlineStr">
        <is>
          <t>công</t>
        </is>
      </c>
      <c r="F314" s="1" t="inlineStr"/>
      <c r="G314" s="24" t="inlineStr"/>
      <c r="H314" s="24" t="n">
        <v>0.044</v>
      </c>
      <c r="I314" s="24" t="inlineStr"/>
      <c r="J314" s="24" t="inlineStr"/>
      <c r="K314" s="24" t="inlineStr"/>
      <c r="L314" s="24">
        <f>ROUND(F312*H314, 4)</f>
        <v/>
      </c>
      <c r="M314" s="24" t="inlineStr"/>
      <c r="N314" s="24" t="inlineStr"/>
      <c r="O314" s="1" t="inlineStr">
        <is>
          <t>Hỗ trợ ngoại nghiệp</t>
        </is>
      </c>
    </row>
    <row r="315">
      <c r="A315" s="1" t="inlineStr"/>
      <c r="B315" s="1" t="inlineStr">
        <is>
          <t>CCDC_01</t>
        </is>
      </c>
      <c r="C315" s="1" t="inlineStr">
        <is>
          <t>CCDC</t>
        </is>
      </c>
      <c r="D315" s="1" t="inlineStr">
        <is>
          <t xml:space="preserve"> - Ca dụng cụ, thiết bị nhỏ đo đạc/lấy mẫu</t>
        </is>
      </c>
      <c r="E315" s="1" t="inlineStr">
        <is>
          <t>ca</t>
        </is>
      </c>
      <c r="F315" s="1" t="inlineStr"/>
      <c r="G315" s="24" t="inlineStr"/>
      <c r="H315" s="24" t="inlineStr"/>
      <c r="I315" s="24" t="n">
        <v>0.1</v>
      </c>
      <c r="J315" s="24" t="inlineStr"/>
      <c r="K315" s="24" t="inlineStr"/>
      <c r="L315" s="24" t="inlineStr"/>
      <c r="M315" s="24">
        <f>ROUND(F312*I315, 4)</f>
        <v/>
      </c>
      <c r="N315" s="24" t="inlineStr"/>
      <c r="O315" s="1" t="inlineStr">
        <is>
          <t>Khoản 4.2 TT20</t>
        </is>
      </c>
    </row>
    <row r="316">
      <c r="A316" s="1" t="inlineStr"/>
      <c r="B316" s="1" t="inlineStr">
        <is>
          <t>CCDC_PHU</t>
        </is>
      </c>
      <c r="C316" s="1" t="inlineStr">
        <is>
          <t>CCDC_PHỤ</t>
        </is>
      </c>
      <c r="D316" s="1" t="inlineStr">
        <is>
          <t xml:space="preserve"> - Dụng cụ phụ khác (10% CCDC chính)</t>
        </is>
      </c>
      <c r="E316" s="1" t="inlineStr">
        <is>
          <t>%</t>
        </is>
      </c>
      <c r="F316" s="1" t="inlineStr"/>
      <c r="G316" s="24" t="inlineStr"/>
      <c r="H316" s="24" t="inlineStr"/>
      <c r="I316" s="24" t="n">
        <v>0.1</v>
      </c>
      <c r="J316" s="24" t="inlineStr"/>
      <c r="K316" s="24" t="inlineStr"/>
      <c r="L316" s="24" t="inlineStr"/>
      <c r="M316" s="24">
        <f>ROUND(M315*I316, 4)</f>
        <v/>
      </c>
      <c r="N316" s="24" t="inlineStr"/>
      <c r="O316" s="1" t="inlineStr">
        <is>
          <t>10% Khoản 4.2 TT20</t>
        </is>
      </c>
    </row>
    <row r="317">
      <c r="A317" s="1" t="inlineStr"/>
      <c r="B317" s="1" t="inlineStr">
        <is>
          <t>M_KHTSCD</t>
        </is>
      </c>
      <c r="C317" s="1" t="inlineStr">
        <is>
          <t>MÁY</t>
        </is>
      </c>
      <c r="D317" s="1" t="inlineStr">
        <is>
          <t xml:space="preserve"> - Khấu hao thiết bị quan trắc chuyên dụng</t>
        </is>
      </c>
      <c r="E317" s="1" t="inlineStr">
        <is>
          <t>ca</t>
        </is>
      </c>
      <c r="F317" s="1" t="inlineStr"/>
      <c r="G317" s="24" t="inlineStr"/>
      <c r="H317" s="24" t="inlineStr"/>
      <c r="I317" s="24" t="inlineStr"/>
      <c r="J317" s="24" t="n">
        <v>0.08</v>
      </c>
      <c r="K317" s="24" t="inlineStr"/>
      <c r="L317" s="24" t="inlineStr"/>
      <c r="M317" s="24" t="inlineStr"/>
      <c r="N317" s="24">
        <f>ROUND(F312*J317, 4)</f>
        <v/>
      </c>
      <c r="O317" s="1" t="inlineStr">
        <is>
          <t>TT 45/2013</t>
        </is>
      </c>
    </row>
    <row r="318">
      <c r="A318" s="1" t="inlineStr"/>
      <c r="B318" s="1" t="inlineStr">
        <is>
          <t>M_NANGLUONG</t>
        </is>
      </c>
      <c r="C318" s="1" t="inlineStr">
        <is>
          <t>ĐIỆN</t>
        </is>
      </c>
      <c r="D318" s="1" t="inlineStr">
        <is>
          <t xml:space="preserve"> - Năng lượng điện vận hành thiết bị PTN</t>
        </is>
      </c>
      <c r="E318" s="1" t="inlineStr">
        <is>
          <t>kWh</t>
        </is>
      </c>
      <c r="F318" s="1" t="inlineStr"/>
      <c r="G318" s="24" t="inlineStr"/>
      <c r="H318" s="24" t="inlineStr"/>
      <c r="I318" s="24" t="inlineStr"/>
      <c r="J318" s="24" t="n">
        <v>0.5</v>
      </c>
      <c r="K318" s="24" t="inlineStr"/>
      <c r="L318" s="24" t="inlineStr"/>
      <c r="M318" s="24" t="inlineStr"/>
      <c r="N318" s="24">
        <f>ROUND(F312*J318, 4)</f>
        <v/>
      </c>
      <c r="O318" s="1" t="inlineStr">
        <is>
          <t>Điện năng PTN</t>
        </is>
      </c>
    </row>
    <row r="319">
      <c r="A319" s="1" t="inlineStr"/>
      <c r="B319" s="1" t="inlineStr">
        <is>
          <t>VL_01</t>
        </is>
      </c>
      <c r="C319" s="1" t="inlineStr">
        <is>
          <t>VL</t>
        </is>
      </c>
      <c r="D319" s="1" t="inlineStr">
        <is>
          <t xml:space="preserve"> - Hóa chất phân tích tinh khiết, màng lọc, chuẩn</t>
        </is>
      </c>
      <c r="E319" s="1" t="inlineStr">
        <is>
          <t>bộ</t>
        </is>
      </c>
      <c r="F319" s="1" t="inlineStr"/>
      <c r="G319" s="24" t="n">
        <v>0.04</v>
      </c>
      <c r="H319" s="24" t="inlineStr"/>
      <c r="I319" s="24" t="inlineStr"/>
      <c r="J319" s="24" t="inlineStr"/>
      <c r="K319" s="24">
        <f>ROUND(F312*G319, 4)</f>
        <v/>
      </c>
      <c r="L319" s="24" t="inlineStr"/>
      <c r="M319" s="24" t="inlineStr"/>
      <c r="N319" s="24" t="inlineStr"/>
      <c r="O319" s="1" t="inlineStr">
        <is>
          <t>Khoản 4.4 TT20</t>
        </is>
      </c>
    </row>
    <row r="320">
      <c r="A320" s="1" t="inlineStr"/>
      <c r="B320" s="1" t="inlineStr">
        <is>
          <t>VL_KHAC</t>
        </is>
      </c>
      <c r="C320" s="1" t="inlineStr">
        <is>
          <t>VL_PHỤ</t>
        </is>
      </c>
      <c r="D320" s="1" t="inlineStr">
        <is>
          <t xml:space="preserve"> - Vật liệu phụ khác (8% vật liệu chính)</t>
        </is>
      </c>
      <c r="E320" s="1" t="inlineStr">
        <is>
          <t>%</t>
        </is>
      </c>
      <c r="F320" s="1" t="inlineStr"/>
      <c r="G320" s="24" t="n">
        <v>0.08</v>
      </c>
      <c r="H320" s="24" t="inlineStr"/>
      <c r="I320" s="24" t="inlineStr"/>
      <c r="J320" s="24" t="inlineStr"/>
      <c r="K320" s="24">
        <f>ROUND(K319*G320, 4)</f>
        <v/>
      </c>
      <c r="L320" s="24" t="inlineStr"/>
      <c r="M320" s="24" t="inlineStr"/>
      <c r="N320" s="24" t="inlineStr"/>
      <c r="O320" s="1" t="inlineStr">
        <is>
          <t>8% Khoản 4.4 TT20</t>
        </is>
      </c>
    </row>
    <row r="321">
      <c r="A321" s="21">
        <f>'Công trình'!A42</f>
        <v/>
      </c>
      <c r="B321" s="21">
        <f>'Công trình'!C42</f>
        <v/>
      </c>
      <c r="C321" s="21" t="inlineStr"/>
      <c r="D321" s="22">
        <f>'Công trình'!D42</f>
        <v/>
      </c>
      <c r="E321" s="21">
        <f>'Công trình'!E42</f>
        <v/>
      </c>
      <c r="F321" s="21">
        <f>'Công trình'!L42</f>
        <v/>
      </c>
      <c r="G321" s="23" t="inlineStr"/>
      <c r="H321" s="23" t="inlineStr"/>
      <c r="I321" s="23" t="inlineStr"/>
      <c r="J321" s="23" t="inlineStr"/>
      <c r="K321" s="23" t="inlineStr"/>
      <c r="L321" s="23" t="inlineStr"/>
      <c r="M321" s="23" t="inlineStr"/>
      <c r="N321" s="23" t="inlineStr"/>
      <c r="O321" s="21" t="inlineStr">
        <is>
          <t>PAKT &amp; Định mức TT20</t>
        </is>
      </c>
    </row>
    <row r="322">
      <c r="A322" s="1" t="inlineStr"/>
      <c r="B322" s="1" t="inlineStr">
        <is>
          <t>NC_LDKT</t>
        </is>
      </c>
      <c r="C322" s="1" t="inlineStr">
        <is>
          <t>LĐKT</t>
        </is>
      </c>
      <c r="D322" s="1" t="inlineStr">
        <is>
          <t xml:space="preserve"> - Kỹ sư / Kiểm định viên / Quan trắc viên</t>
        </is>
      </c>
      <c r="E322" s="1" t="inlineStr">
        <is>
          <t>công</t>
        </is>
      </c>
      <c r="F322" s="1" t="inlineStr"/>
      <c r="G322" s="24" t="inlineStr"/>
      <c r="H322" s="24" t="n">
        <v>0.176</v>
      </c>
      <c r="I322" s="24" t="inlineStr"/>
      <c r="J322" s="24" t="inlineStr"/>
      <c r="K322" s="24" t="inlineStr"/>
      <c r="L322" s="24">
        <f>ROUND(F321*H322, 4)</f>
        <v/>
      </c>
      <c r="M322" s="24" t="inlineStr"/>
      <c r="N322" s="24" t="inlineStr"/>
      <c r="O322" s="1" t="inlineStr">
        <is>
          <t>TTLT 56/2015</t>
        </is>
      </c>
    </row>
    <row r="323">
      <c r="A323" s="1" t="inlineStr"/>
      <c r="B323" s="1" t="inlineStr">
        <is>
          <t>NC_LDPT</t>
        </is>
      </c>
      <c r="C323" s="1" t="inlineStr">
        <is>
          <t>LĐPT</t>
        </is>
      </c>
      <c r="D323" s="1" t="inlineStr">
        <is>
          <t xml:space="preserve"> - Lao động phổ thông phụ việc hiện trường</t>
        </is>
      </c>
      <c r="E323" s="1" t="inlineStr">
        <is>
          <t>công</t>
        </is>
      </c>
      <c r="F323" s="1" t="inlineStr"/>
      <c r="G323" s="24" t="inlineStr"/>
      <c r="H323" s="24" t="n">
        <v>0.044</v>
      </c>
      <c r="I323" s="24" t="inlineStr"/>
      <c r="J323" s="24" t="inlineStr"/>
      <c r="K323" s="24" t="inlineStr"/>
      <c r="L323" s="24">
        <f>ROUND(F321*H323, 4)</f>
        <v/>
      </c>
      <c r="M323" s="24" t="inlineStr"/>
      <c r="N323" s="24" t="inlineStr"/>
      <c r="O323" s="1" t="inlineStr">
        <is>
          <t>Hỗ trợ ngoại nghiệp</t>
        </is>
      </c>
    </row>
    <row r="324">
      <c r="A324" s="1" t="inlineStr"/>
      <c r="B324" s="1" t="inlineStr">
        <is>
          <t>CCDC_01</t>
        </is>
      </c>
      <c r="C324" s="1" t="inlineStr">
        <is>
          <t>CCDC</t>
        </is>
      </c>
      <c r="D324" s="1" t="inlineStr">
        <is>
          <t xml:space="preserve"> - Ca dụng cụ, thiết bị nhỏ đo đạc/lấy mẫu</t>
        </is>
      </c>
      <c r="E324" s="1" t="inlineStr">
        <is>
          <t>ca</t>
        </is>
      </c>
      <c r="F324" s="1" t="inlineStr"/>
      <c r="G324" s="24" t="inlineStr"/>
      <c r="H324" s="24" t="inlineStr"/>
      <c r="I324" s="24" t="n">
        <v>0.1</v>
      </c>
      <c r="J324" s="24" t="inlineStr"/>
      <c r="K324" s="24" t="inlineStr"/>
      <c r="L324" s="24" t="inlineStr"/>
      <c r="M324" s="24">
        <f>ROUND(F321*I324, 4)</f>
        <v/>
      </c>
      <c r="N324" s="24" t="inlineStr"/>
      <c r="O324" s="1" t="inlineStr">
        <is>
          <t>Khoản 4.2 TT20</t>
        </is>
      </c>
    </row>
    <row r="325">
      <c r="A325" s="1" t="inlineStr"/>
      <c r="B325" s="1" t="inlineStr">
        <is>
          <t>CCDC_PHU</t>
        </is>
      </c>
      <c r="C325" s="1" t="inlineStr">
        <is>
          <t>CCDC_PHỤ</t>
        </is>
      </c>
      <c r="D325" s="1" t="inlineStr">
        <is>
          <t xml:space="preserve"> - Dụng cụ phụ khác (10% CCDC chính)</t>
        </is>
      </c>
      <c r="E325" s="1" t="inlineStr">
        <is>
          <t>%</t>
        </is>
      </c>
      <c r="F325" s="1" t="inlineStr"/>
      <c r="G325" s="24" t="inlineStr"/>
      <c r="H325" s="24" t="inlineStr"/>
      <c r="I325" s="24" t="n">
        <v>0.1</v>
      </c>
      <c r="J325" s="24" t="inlineStr"/>
      <c r="K325" s="24" t="inlineStr"/>
      <c r="L325" s="24" t="inlineStr"/>
      <c r="M325" s="24">
        <f>ROUND(M324*I325, 4)</f>
        <v/>
      </c>
      <c r="N325" s="24" t="inlineStr"/>
      <c r="O325" s="1" t="inlineStr">
        <is>
          <t>10% Khoản 4.2 TT20</t>
        </is>
      </c>
    </row>
    <row r="326">
      <c r="A326" s="1" t="inlineStr"/>
      <c r="B326" s="1" t="inlineStr">
        <is>
          <t>M_KHTSCD</t>
        </is>
      </c>
      <c r="C326" s="1" t="inlineStr">
        <is>
          <t>MÁY</t>
        </is>
      </c>
      <c r="D326" s="1" t="inlineStr">
        <is>
          <t xml:space="preserve"> - Khấu hao thiết bị quan trắc chuyên dụng</t>
        </is>
      </c>
      <c r="E326" s="1" t="inlineStr">
        <is>
          <t>ca</t>
        </is>
      </c>
      <c r="F326" s="1" t="inlineStr"/>
      <c r="G326" s="24" t="inlineStr"/>
      <c r="H326" s="24" t="inlineStr"/>
      <c r="I326" s="24" t="inlineStr"/>
      <c r="J326" s="24" t="n">
        <v>0.08</v>
      </c>
      <c r="K326" s="24" t="inlineStr"/>
      <c r="L326" s="24" t="inlineStr"/>
      <c r="M326" s="24" t="inlineStr"/>
      <c r="N326" s="24">
        <f>ROUND(F321*J326, 4)</f>
        <v/>
      </c>
      <c r="O326" s="1" t="inlineStr">
        <is>
          <t>TT 45/2013</t>
        </is>
      </c>
    </row>
    <row r="327">
      <c r="A327" s="1" t="inlineStr"/>
      <c r="B327" s="1" t="inlineStr">
        <is>
          <t>M_NANGLUONG</t>
        </is>
      </c>
      <c r="C327" s="1" t="inlineStr">
        <is>
          <t>ĐIỆN</t>
        </is>
      </c>
      <c r="D327" s="1" t="inlineStr">
        <is>
          <t xml:space="preserve"> - Năng lượng điện vận hành thiết bị PTN</t>
        </is>
      </c>
      <c r="E327" s="1" t="inlineStr">
        <is>
          <t>kWh</t>
        </is>
      </c>
      <c r="F327" s="1" t="inlineStr"/>
      <c r="G327" s="24" t="inlineStr"/>
      <c r="H327" s="24" t="inlineStr"/>
      <c r="I327" s="24" t="inlineStr"/>
      <c r="J327" s="24" t="n">
        <v>0.5</v>
      </c>
      <c r="K327" s="24" t="inlineStr"/>
      <c r="L327" s="24" t="inlineStr"/>
      <c r="M327" s="24" t="inlineStr"/>
      <c r="N327" s="24">
        <f>ROUND(F321*J327, 4)</f>
        <v/>
      </c>
      <c r="O327" s="1" t="inlineStr">
        <is>
          <t>Điện năng PTN</t>
        </is>
      </c>
    </row>
    <row r="328">
      <c r="A328" s="1" t="inlineStr"/>
      <c r="B328" s="1" t="inlineStr">
        <is>
          <t>VL_01</t>
        </is>
      </c>
      <c r="C328" s="1" t="inlineStr">
        <is>
          <t>VL</t>
        </is>
      </c>
      <c r="D328" s="1" t="inlineStr">
        <is>
          <t xml:space="preserve"> - Hóa chất phân tích tinh khiết, màng lọc, chuẩn</t>
        </is>
      </c>
      <c r="E328" s="1" t="inlineStr">
        <is>
          <t>bộ</t>
        </is>
      </c>
      <c r="F328" s="1" t="inlineStr"/>
      <c r="G328" s="24" t="n">
        <v>0.04</v>
      </c>
      <c r="H328" s="24" t="inlineStr"/>
      <c r="I328" s="24" t="inlineStr"/>
      <c r="J328" s="24" t="inlineStr"/>
      <c r="K328" s="24">
        <f>ROUND(F321*G328, 4)</f>
        <v/>
      </c>
      <c r="L328" s="24" t="inlineStr"/>
      <c r="M328" s="24" t="inlineStr"/>
      <c r="N328" s="24" t="inlineStr"/>
      <c r="O328" s="1" t="inlineStr">
        <is>
          <t>Khoản 4.4 TT20</t>
        </is>
      </c>
    </row>
    <row r="329">
      <c r="A329" s="1" t="inlineStr"/>
      <c r="B329" s="1" t="inlineStr">
        <is>
          <t>VL_KHAC</t>
        </is>
      </c>
      <c r="C329" s="1" t="inlineStr">
        <is>
          <t>VL_PHỤ</t>
        </is>
      </c>
      <c r="D329" s="1" t="inlineStr">
        <is>
          <t xml:space="preserve"> - Vật liệu phụ khác (8% vật liệu chính)</t>
        </is>
      </c>
      <c r="E329" s="1" t="inlineStr">
        <is>
          <t>%</t>
        </is>
      </c>
      <c r="F329" s="1" t="inlineStr"/>
      <c r="G329" s="24" t="n">
        <v>0.08</v>
      </c>
      <c r="H329" s="24" t="inlineStr"/>
      <c r="I329" s="24" t="inlineStr"/>
      <c r="J329" s="24" t="inlineStr"/>
      <c r="K329" s="24">
        <f>ROUND(K328*G329, 4)</f>
        <v/>
      </c>
      <c r="L329" s="24" t="inlineStr"/>
      <c r="M329" s="24" t="inlineStr"/>
      <c r="N329" s="24" t="inlineStr"/>
      <c r="O329" s="1" t="inlineStr">
        <is>
          <t>8% Khoản 4.4 TT20</t>
        </is>
      </c>
    </row>
    <row r="330">
      <c r="A330" s="21">
        <f>'Công trình'!A43</f>
        <v/>
      </c>
      <c r="B330" s="21">
        <f>'Công trình'!C43</f>
        <v/>
      </c>
      <c r="C330" s="21" t="inlineStr"/>
      <c r="D330" s="22">
        <f>'Công trình'!D43</f>
        <v/>
      </c>
      <c r="E330" s="21">
        <f>'Công trình'!E43</f>
        <v/>
      </c>
      <c r="F330" s="21">
        <f>'Công trình'!L43</f>
        <v/>
      </c>
      <c r="G330" s="23" t="inlineStr"/>
      <c r="H330" s="23" t="inlineStr"/>
      <c r="I330" s="23" t="inlineStr"/>
      <c r="J330" s="23" t="inlineStr"/>
      <c r="K330" s="23" t="inlineStr"/>
      <c r="L330" s="23" t="inlineStr"/>
      <c r="M330" s="23" t="inlineStr"/>
      <c r="N330" s="23" t="inlineStr"/>
      <c r="O330" s="21" t="inlineStr">
        <is>
          <t>PAKT &amp; Định mức TT20</t>
        </is>
      </c>
    </row>
    <row r="331">
      <c r="A331" s="1" t="inlineStr"/>
      <c r="B331" s="1" t="inlineStr">
        <is>
          <t>NC_LDKT</t>
        </is>
      </c>
      <c r="C331" s="1" t="inlineStr">
        <is>
          <t>LĐKT</t>
        </is>
      </c>
      <c r="D331" s="1" t="inlineStr">
        <is>
          <t xml:space="preserve"> - Kỹ sư / Kiểm định viên / Quan trắc viên</t>
        </is>
      </c>
      <c r="E331" s="1" t="inlineStr">
        <is>
          <t>công</t>
        </is>
      </c>
      <c r="F331" s="1" t="inlineStr"/>
      <c r="G331" s="24" t="inlineStr"/>
      <c r="H331" s="24" t="n">
        <v>0.176</v>
      </c>
      <c r="I331" s="24" t="inlineStr"/>
      <c r="J331" s="24" t="inlineStr"/>
      <c r="K331" s="24" t="inlineStr"/>
      <c r="L331" s="24">
        <f>ROUND(F330*H331, 4)</f>
        <v/>
      </c>
      <c r="M331" s="24" t="inlineStr"/>
      <c r="N331" s="24" t="inlineStr"/>
      <c r="O331" s="1" t="inlineStr">
        <is>
          <t>TTLT 56/2015</t>
        </is>
      </c>
    </row>
    <row r="332">
      <c r="A332" s="1" t="inlineStr"/>
      <c r="B332" s="1" t="inlineStr">
        <is>
          <t>NC_LDPT</t>
        </is>
      </c>
      <c r="C332" s="1" t="inlineStr">
        <is>
          <t>LĐPT</t>
        </is>
      </c>
      <c r="D332" s="1" t="inlineStr">
        <is>
          <t xml:space="preserve"> - Lao động phổ thông phụ việc hiện trường</t>
        </is>
      </c>
      <c r="E332" s="1" t="inlineStr">
        <is>
          <t>công</t>
        </is>
      </c>
      <c r="F332" s="1" t="inlineStr"/>
      <c r="G332" s="24" t="inlineStr"/>
      <c r="H332" s="24" t="n">
        <v>0.044</v>
      </c>
      <c r="I332" s="24" t="inlineStr"/>
      <c r="J332" s="24" t="inlineStr"/>
      <c r="K332" s="24" t="inlineStr"/>
      <c r="L332" s="24">
        <f>ROUND(F330*H332, 4)</f>
        <v/>
      </c>
      <c r="M332" s="24" t="inlineStr"/>
      <c r="N332" s="24" t="inlineStr"/>
      <c r="O332" s="1" t="inlineStr">
        <is>
          <t>Hỗ trợ ngoại nghiệp</t>
        </is>
      </c>
    </row>
    <row r="333">
      <c r="A333" s="1" t="inlineStr"/>
      <c r="B333" s="1" t="inlineStr">
        <is>
          <t>CCDC_01</t>
        </is>
      </c>
      <c r="C333" s="1" t="inlineStr">
        <is>
          <t>CCDC</t>
        </is>
      </c>
      <c r="D333" s="1" t="inlineStr">
        <is>
          <t xml:space="preserve"> - Ca dụng cụ, thiết bị nhỏ đo đạc/lấy mẫu</t>
        </is>
      </c>
      <c r="E333" s="1" t="inlineStr">
        <is>
          <t>ca</t>
        </is>
      </c>
      <c r="F333" s="1" t="inlineStr"/>
      <c r="G333" s="24" t="inlineStr"/>
      <c r="H333" s="24" t="inlineStr"/>
      <c r="I333" s="24" t="n">
        <v>0.1</v>
      </c>
      <c r="J333" s="24" t="inlineStr"/>
      <c r="K333" s="24" t="inlineStr"/>
      <c r="L333" s="24" t="inlineStr"/>
      <c r="M333" s="24">
        <f>ROUND(F330*I333, 4)</f>
        <v/>
      </c>
      <c r="N333" s="24" t="inlineStr"/>
      <c r="O333" s="1" t="inlineStr">
        <is>
          <t>Khoản 4.2 TT20</t>
        </is>
      </c>
    </row>
    <row r="334">
      <c r="A334" s="1" t="inlineStr"/>
      <c r="B334" s="1" t="inlineStr">
        <is>
          <t>CCDC_PHU</t>
        </is>
      </c>
      <c r="C334" s="1" t="inlineStr">
        <is>
          <t>CCDC_PHỤ</t>
        </is>
      </c>
      <c r="D334" s="1" t="inlineStr">
        <is>
          <t xml:space="preserve"> - Dụng cụ phụ khác (10% CCDC chính)</t>
        </is>
      </c>
      <c r="E334" s="1" t="inlineStr">
        <is>
          <t>%</t>
        </is>
      </c>
      <c r="F334" s="1" t="inlineStr"/>
      <c r="G334" s="24" t="inlineStr"/>
      <c r="H334" s="24" t="inlineStr"/>
      <c r="I334" s="24" t="n">
        <v>0.1</v>
      </c>
      <c r="J334" s="24" t="inlineStr"/>
      <c r="K334" s="24" t="inlineStr"/>
      <c r="L334" s="24" t="inlineStr"/>
      <c r="M334" s="24">
        <f>ROUND(M333*I334, 4)</f>
        <v/>
      </c>
      <c r="N334" s="24" t="inlineStr"/>
      <c r="O334" s="1" t="inlineStr">
        <is>
          <t>10% Khoản 4.2 TT20</t>
        </is>
      </c>
    </row>
    <row r="335">
      <c r="A335" s="1" t="inlineStr"/>
      <c r="B335" s="1" t="inlineStr">
        <is>
          <t>M_KHTSCD</t>
        </is>
      </c>
      <c r="C335" s="1" t="inlineStr">
        <is>
          <t>MÁY</t>
        </is>
      </c>
      <c r="D335" s="1" t="inlineStr">
        <is>
          <t xml:space="preserve"> - Khấu hao thiết bị quan trắc chuyên dụng</t>
        </is>
      </c>
      <c r="E335" s="1" t="inlineStr">
        <is>
          <t>ca</t>
        </is>
      </c>
      <c r="F335" s="1" t="inlineStr"/>
      <c r="G335" s="24" t="inlineStr"/>
      <c r="H335" s="24" t="inlineStr"/>
      <c r="I335" s="24" t="inlineStr"/>
      <c r="J335" s="24" t="n">
        <v>0.08</v>
      </c>
      <c r="K335" s="24" t="inlineStr"/>
      <c r="L335" s="24" t="inlineStr"/>
      <c r="M335" s="24" t="inlineStr"/>
      <c r="N335" s="24">
        <f>ROUND(F330*J335, 4)</f>
        <v/>
      </c>
      <c r="O335" s="1" t="inlineStr">
        <is>
          <t>TT 45/2013</t>
        </is>
      </c>
    </row>
    <row r="336">
      <c r="A336" s="1" t="inlineStr"/>
      <c r="B336" s="1" t="inlineStr">
        <is>
          <t>M_NANGLUONG</t>
        </is>
      </c>
      <c r="C336" s="1" t="inlineStr">
        <is>
          <t>ĐIỆN</t>
        </is>
      </c>
      <c r="D336" s="1" t="inlineStr">
        <is>
          <t xml:space="preserve"> - Năng lượng điện vận hành thiết bị PTN</t>
        </is>
      </c>
      <c r="E336" s="1" t="inlineStr">
        <is>
          <t>kWh</t>
        </is>
      </c>
      <c r="F336" s="1" t="inlineStr"/>
      <c r="G336" s="24" t="inlineStr"/>
      <c r="H336" s="24" t="inlineStr"/>
      <c r="I336" s="24" t="inlineStr"/>
      <c r="J336" s="24" t="n">
        <v>0.5</v>
      </c>
      <c r="K336" s="24" t="inlineStr"/>
      <c r="L336" s="24" t="inlineStr"/>
      <c r="M336" s="24" t="inlineStr"/>
      <c r="N336" s="24">
        <f>ROUND(F330*J336, 4)</f>
        <v/>
      </c>
      <c r="O336" s="1" t="inlineStr">
        <is>
          <t>Điện năng PTN</t>
        </is>
      </c>
    </row>
    <row r="337">
      <c r="A337" s="1" t="inlineStr"/>
      <c r="B337" s="1" t="inlineStr">
        <is>
          <t>VL_01</t>
        </is>
      </c>
      <c r="C337" s="1" t="inlineStr">
        <is>
          <t>VL</t>
        </is>
      </c>
      <c r="D337" s="1" t="inlineStr">
        <is>
          <t xml:space="preserve"> - Hóa chất phân tích tinh khiết, màng lọc, chuẩn</t>
        </is>
      </c>
      <c r="E337" s="1" t="inlineStr">
        <is>
          <t>bộ</t>
        </is>
      </c>
      <c r="F337" s="1" t="inlineStr"/>
      <c r="G337" s="24" t="n">
        <v>0.04</v>
      </c>
      <c r="H337" s="24" t="inlineStr"/>
      <c r="I337" s="24" t="inlineStr"/>
      <c r="J337" s="24" t="inlineStr"/>
      <c r="K337" s="24">
        <f>ROUND(F330*G337, 4)</f>
        <v/>
      </c>
      <c r="L337" s="24" t="inlineStr"/>
      <c r="M337" s="24" t="inlineStr"/>
      <c r="N337" s="24" t="inlineStr"/>
      <c r="O337" s="1" t="inlineStr">
        <is>
          <t>Khoản 4.4 TT20</t>
        </is>
      </c>
    </row>
    <row r="338">
      <c r="A338" s="1" t="inlineStr"/>
      <c r="B338" s="1" t="inlineStr">
        <is>
          <t>VL_KHAC</t>
        </is>
      </c>
      <c r="C338" s="1" t="inlineStr">
        <is>
          <t>VL_PHỤ</t>
        </is>
      </c>
      <c r="D338" s="1" t="inlineStr">
        <is>
          <t xml:space="preserve"> - Vật liệu phụ khác (8% vật liệu chính)</t>
        </is>
      </c>
      <c r="E338" s="1" t="inlineStr">
        <is>
          <t>%</t>
        </is>
      </c>
      <c r="F338" s="1" t="inlineStr"/>
      <c r="G338" s="24" t="n">
        <v>0.08</v>
      </c>
      <c r="H338" s="24" t="inlineStr"/>
      <c r="I338" s="24" t="inlineStr"/>
      <c r="J338" s="24" t="inlineStr"/>
      <c r="K338" s="24">
        <f>ROUND(K337*G338, 4)</f>
        <v/>
      </c>
      <c r="L338" s="24" t="inlineStr"/>
      <c r="M338" s="24" t="inlineStr"/>
      <c r="N338" s="24" t="inlineStr"/>
      <c r="O338" s="1" t="inlineStr">
        <is>
          <t>8% Khoản 4.4 TT20</t>
        </is>
      </c>
    </row>
    <row r="339">
      <c r="A339" s="21">
        <f>'Công trình'!A44</f>
        <v/>
      </c>
      <c r="B339" s="21">
        <f>'Công trình'!C44</f>
        <v/>
      </c>
      <c r="C339" s="21" t="inlineStr"/>
      <c r="D339" s="22">
        <f>'Công trình'!D44</f>
        <v/>
      </c>
      <c r="E339" s="21">
        <f>'Công trình'!E44</f>
        <v/>
      </c>
      <c r="F339" s="21">
        <f>'Công trình'!L44</f>
        <v/>
      </c>
      <c r="G339" s="23" t="inlineStr"/>
      <c r="H339" s="23" t="inlineStr"/>
      <c r="I339" s="23" t="inlineStr"/>
      <c r="J339" s="23" t="inlineStr"/>
      <c r="K339" s="23" t="inlineStr"/>
      <c r="L339" s="23" t="inlineStr"/>
      <c r="M339" s="23" t="inlineStr"/>
      <c r="N339" s="23" t="inlineStr"/>
      <c r="O339" s="21" t="inlineStr">
        <is>
          <t>PAKT &amp; Định mức TT20</t>
        </is>
      </c>
    </row>
    <row r="340">
      <c r="A340" s="1" t="inlineStr"/>
      <c r="B340" s="1" t="inlineStr">
        <is>
          <t>NC_LDKT</t>
        </is>
      </c>
      <c r="C340" s="1" t="inlineStr">
        <is>
          <t>LĐKT</t>
        </is>
      </c>
      <c r="D340" s="1" t="inlineStr">
        <is>
          <t xml:space="preserve"> - Kỹ sư / Kiểm định viên / Quan trắc viên</t>
        </is>
      </c>
      <c r="E340" s="1" t="inlineStr">
        <is>
          <t>công</t>
        </is>
      </c>
      <c r="F340" s="1" t="inlineStr"/>
      <c r="G340" s="24" t="inlineStr"/>
      <c r="H340" s="24" t="n">
        <v>0.176</v>
      </c>
      <c r="I340" s="24" t="inlineStr"/>
      <c r="J340" s="24" t="inlineStr"/>
      <c r="K340" s="24" t="inlineStr"/>
      <c r="L340" s="24">
        <f>ROUND(F339*H340, 4)</f>
        <v/>
      </c>
      <c r="M340" s="24" t="inlineStr"/>
      <c r="N340" s="24" t="inlineStr"/>
      <c r="O340" s="1" t="inlineStr">
        <is>
          <t>TTLT 56/2015</t>
        </is>
      </c>
    </row>
    <row r="341">
      <c r="A341" s="1" t="inlineStr"/>
      <c r="B341" s="1" t="inlineStr">
        <is>
          <t>NC_LDPT</t>
        </is>
      </c>
      <c r="C341" s="1" t="inlineStr">
        <is>
          <t>LĐPT</t>
        </is>
      </c>
      <c r="D341" s="1" t="inlineStr">
        <is>
          <t xml:space="preserve"> - Lao động phổ thông phụ việc hiện trường</t>
        </is>
      </c>
      <c r="E341" s="1" t="inlineStr">
        <is>
          <t>công</t>
        </is>
      </c>
      <c r="F341" s="1" t="inlineStr"/>
      <c r="G341" s="24" t="inlineStr"/>
      <c r="H341" s="24" t="n">
        <v>0.044</v>
      </c>
      <c r="I341" s="24" t="inlineStr"/>
      <c r="J341" s="24" t="inlineStr"/>
      <c r="K341" s="24" t="inlineStr"/>
      <c r="L341" s="24">
        <f>ROUND(F339*H341, 4)</f>
        <v/>
      </c>
      <c r="M341" s="24" t="inlineStr"/>
      <c r="N341" s="24" t="inlineStr"/>
      <c r="O341" s="1" t="inlineStr">
        <is>
          <t>Hỗ trợ ngoại nghiệp</t>
        </is>
      </c>
    </row>
    <row r="342">
      <c r="A342" s="1" t="inlineStr"/>
      <c r="B342" s="1" t="inlineStr">
        <is>
          <t>CCDC_01</t>
        </is>
      </c>
      <c r="C342" s="1" t="inlineStr">
        <is>
          <t>CCDC</t>
        </is>
      </c>
      <c r="D342" s="1" t="inlineStr">
        <is>
          <t xml:space="preserve"> - Ca dụng cụ, thiết bị nhỏ đo đạc/lấy mẫu</t>
        </is>
      </c>
      <c r="E342" s="1" t="inlineStr">
        <is>
          <t>ca</t>
        </is>
      </c>
      <c r="F342" s="1" t="inlineStr"/>
      <c r="G342" s="24" t="inlineStr"/>
      <c r="H342" s="24" t="inlineStr"/>
      <c r="I342" s="24" t="n">
        <v>0.1</v>
      </c>
      <c r="J342" s="24" t="inlineStr"/>
      <c r="K342" s="24" t="inlineStr"/>
      <c r="L342" s="24" t="inlineStr"/>
      <c r="M342" s="24">
        <f>ROUND(F339*I342, 4)</f>
        <v/>
      </c>
      <c r="N342" s="24" t="inlineStr"/>
      <c r="O342" s="1" t="inlineStr">
        <is>
          <t>Khoản 4.2 TT20</t>
        </is>
      </c>
    </row>
    <row r="343">
      <c r="A343" s="1" t="inlineStr"/>
      <c r="B343" s="1" t="inlineStr">
        <is>
          <t>CCDC_PHU</t>
        </is>
      </c>
      <c r="C343" s="1" t="inlineStr">
        <is>
          <t>CCDC_PHỤ</t>
        </is>
      </c>
      <c r="D343" s="1" t="inlineStr">
        <is>
          <t xml:space="preserve"> - Dụng cụ phụ khác (10% CCDC chính)</t>
        </is>
      </c>
      <c r="E343" s="1" t="inlineStr">
        <is>
          <t>%</t>
        </is>
      </c>
      <c r="F343" s="1" t="inlineStr"/>
      <c r="G343" s="24" t="inlineStr"/>
      <c r="H343" s="24" t="inlineStr"/>
      <c r="I343" s="24" t="n">
        <v>0.1</v>
      </c>
      <c r="J343" s="24" t="inlineStr"/>
      <c r="K343" s="24" t="inlineStr"/>
      <c r="L343" s="24" t="inlineStr"/>
      <c r="M343" s="24">
        <f>ROUND(M342*I343, 4)</f>
        <v/>
      </c>
      <c r="N343" s="24" t="inlineStr"/>
      <c r="O343" s="1" t="inlineStr">
        <is>
          <t>10% Khoản 4.2 TT20</t>
        </is>
      </c>
    </row>
    <row r="344">
      <c r="A344" s="1" t="inlineStr"/>
      <c r="B344" s="1" t="inlineStr">
        <is>
          <t>M_KHTSCD</t>
        </is>
      </c>
      <c r="C344" s="1" t="inlineStr">
        <is>
          <t>MÁY</t>
        </is>
      </c>
      <c r="D344" s="1" t="inlineStr">
        <is>
          <t xml:space="preserve"> - Khấu hao thiết bị quan trắc chuyên dụng</t>
        </is>
      </c>
      <c r="E344" s="1" t="inlineStr">
        <is>
          <t>ca</t>
        </is>
      </c>
      <c r="F344" s="1" t="inlineStr"/>
      <c r="G344" s="24" t="inlineStr"/>
      <c r="H344" s="24" t="inlineStr"/>
      <c r="I344" s="24" t="inlineStr"/>
      <c r="J344" s="24" t="n">
        <v>0.08</v>
      </c>
      <c r="K344" s="24" t="inlineStr"/>
      <c r="L344" s="24" t="inlineStr"/>
      <c r="M344" s="24" t="inlineStr"/>
      <c r="N344" s="24">
        <f>ROUND(F339*J344, 4)</f>
        <v/>
      </c>
      <c r="O344" s="1" t="inlineStr">
        <is>
          <t>TT 45/2013</t>
        </is>
      </c>
    </row>
    <row r="345">
      <c r="A345" s="1" t="inlineStr"/>
      <c r="B345" s="1" t="inlineStr">
        <is>
          <t>M_NANGLUONG</t>
        </is>
      </c>
      <c r="C345" s="1" t="inlineStr">
        <is>
          <t>ĐIỆN</t>
        </is>
      </c>
      <c r="D345" s="1" t="inlineStr">
        <is>
          <t xml:space="preserve"> - Năng lượng điện vận hành thiết bị PTN</t>
        </is>
      </c>
      <c r="E345" s="1" t="inlineStr">
        <is>
          <t>kWh</t>
        </is>
      </c>
      <c r="F345" s="1" t="inlineStr"/>
      <c r="G345" s="24" t="inlineStr"/>
      <c r="H345" s="24" t="inlineStr"/>
      <c r="I345" s="24" t="inlineStr"/>
      <c r="J345" s="24" t="n">
        <v>0.5</v>
      </c>
      <c r="K345" s="24" t="inlineStr"/>
      <c r="L345" s="24" t="inlineStr"/>
      <c r="M345" s="24" t="inlineStr"/>
      <c r="N345" s="24">
        <f>ROUND(F339*J345, 4)</f>
        <v/>
      </c>
      <c r="O345" s="1" t="inlineStr">
        <is>
          <t>Điện năng PTN</t>
        </is>
      </c>
    </row>
    <row r="346">
      <c r="A346" s="1" t="inlineStr"/>
      <c r="B346" s="1" t="inlineStr">
        <is>
          <t>VL_01</t>
        </is>
      </c>
      <c r="C346" s="1" t="inlineStr">
        <is>
          <t>VL</t>
        </is>
      </c>
      <c r="D346" s="1" t="inlineStr">
        <is>
          <t xml:space="preserve"> - Hóa chất phân tích tinh khiết, màng lọc, chuẩn</t>
        </is>
      </c>
      <c r="E346" s="1" t="inlineStr">
        <is>
          <t>bộ</t>
        </is>
      </c>
      <c r="F346" s="1" t="inlineStr"/>
      <c r="G346" s="24" t="n">
        <v>0.04</v>
      </c>
      <c r="H346" s="24" t="inlineStr"/>
      <c r="I346" s="24" t="inlineStr"/>
      <c r="J346" s="24" t="inlineStr"/>
      <c r="K346" s="24">
        <f>ROUND(F339*G346, 4)</f>
        <v/>
      </c>
      <c r="L346" s="24" t="inlineStr"/>
      <c r="M346" s="24" t="inlineStr"/>
      <c r="N346" s="24" t="inlineStr"/>
      <c r="O346" s="1" t="inlineStr">
        <is>
          <t>Khoản 4.4 TT20</t>
        </is>
      </c>
    </row>
    <row r="347">
      <c r="A347" s="1" t="inlineStr"/>
      <c r="B347" s="1" t="inlineStr">
        <is>
          <t>VL_KHAC</t>
        </is>
      </c>
      <c r="C347" s="1" t="inlineStr">
        <is>
          <t>VL_PHỤ</t>
        </is>
      </c>
      <c r="D347" s="1" t="inlineStr">
        <is>
          <t xml:space="preserve"> - Vật liệu phụ khác (8% vật liệu chính)</t>
        </is>
      </c>
      <c r="E347" s="1" t="inlineStr">
        <is>
          <t>%</t>
        </is>
      </c>
      <c r="F347" s="1" t="inlineStr"/>
      <c r="G347" s="24" t="n">
        <v>0.08</v>
      </c>
      <c r="H347" s="24" t="inlineStr"/>
      <c r="I347" s="24" t="inlineStr"/>
      <c r="J347" s="24" t="inlineStr"/>
      <c r="K347" s="24">
        <f>ROUND(K346*G347, 4)</f>
        <v/>
      </c>
      <c r="L347" s="24" t="inlineStr"/>
      <c r="M347" s="24" t="inlineStr"/>
      <c r="N347" s="24" t="inlineStr"/>
      <c r="O347" s="1" t="inlineStr">
        <is>
          <t>8% Khoản 4.4 TT20</t>
        </is>
      </c>
    </row>
    <row r="348">
      <c r="A348" s="21">
        <f>'Công trình'!A45</f>
        <v/>
      </c>
      <c r="B348" s="21">
        <f>'Công trình'!C45</f>
        <v/>
      </c>
      <c r="C348" s="21" t="inlineStr"/>
      <c r="D348" s="22">
        <f>'Công trình'!D45</f>
        <v/>
      </c>
      <c r="E348" s="21">
        <f>'Công trình'!E45</f>
        <v/>
      </c>
      <c r="F348" s="21">
        <f>'Công trình'!L45</f>
        <v/>
      </c>
      <c r="G348" s="23" t="inlineStr"/>
      <c r="H348" s="23" t="inlineStr"/>
      <c r="I348" s="23" t="inlineStr"/>
      <c r="J348" s="23" t="inlineStr"/>
      <c r="K348" s="23" t="inlineStr"/>
      <c r="L348" s="23" t="inlineStr"/>
      <c r="M348" s="23" t="inlineStr"/>
      <c r="N348" s="23" t="inlineStr"/>
      <c r="O348" s="21" t="inlineStr">
        <is>
          <t>PAKT &amp; Định mức TT20</t>
        </is>
      </c>
    </row>
    <row r="349">
      <c r="A349" s="1" t="inlineStr"/>
      <c r="B349" s="1" t="inlineStr">
        <is>
          <t>NC_LDKT</t>
        </is>
      </c>
      <c r="C349" s="1" t="inlineStr">
        <is>
          <t>LĐKT</t>
        </is>
      </c>
      <c r="D349" s="1" t="inlineStr">
        <is>
          <t xml:space="preserve"> - Kỹ sư / Kiểm định viên / Quan trắc viên</t>
        </is>
      </c>
      <c r="E349" s="1" t="inlineStr">
        <is>
          <t>công</t>
        </is>
      </c>
      <c r="F349" s="1" t="inlineStr"/>
      <c r="G349" s="24" t="inlineStr"/>
      <c r="H349" s="24" t="n">
        <v>0.176</v>
      </c>
      <c r="I349" s="24" t="inlineStr"/>
      <c r="J349" s="24" t="inlineStr"/>
      <c r="K349" s="24" t="inlineStr"/>
      <c r="L349" s="24">
        <f>ROUND(F348*H349, 4)</f>
        <v/>
      </c>
      <c r="M349" s="24" t="inlineStr"/>
      <c r="N349" s="24" t="inlineStr"/>
      <c r="O349" s="1" t="inlineStr">
        <is>
          <t>TTLT 56/2015</t>
        </is>
      </c>
    </row>
    <row r="350">
      <c r="A350" s="1" t="inlineStr"/>
      <c r="B350" s="1" t="inlineStr">
        <is>
          <t>NC_LDPT</t>
        </is>
      </c>
      <c r="C350" s="1" t="inlineStr">
        <is>
          <t>LĐPT</t>
        </is>
      </c>
      <c r="D350" s="1" t="inlineStr">
        <is>
          <t xml:space="preserve"> - Lao động phổ thông phụ việc hiện trường</t>
        </is>
      </c>
      <c r="E350" s="1" t="inlineStr">
        <is>
          <t>công</t>
        </is>
      </c>
      <c r="F350" s="1" t="inlineStr"/>
      <c r="G350" s="24" t="inlineStr"/>
      <c r="H350" s="24" t="n">
        <v>0.044</v>
      </c>
      <c r="I350" s="24" t="inlineStr"/>
      <c r="J350" s="24" t="inlineStr"/>
      <c r="K350" s="24" t="inlineStr"/>
      <c r="L350" s="24">
        <f>ROUND(F348*H350, 4)</f>
        <v/>
      </c>
      <c r="M350" s="24" t="inlineStr"/>
      <c r="N350" s="24" t="inlineStr"/>
      <c r="O350" s="1" t="inlineStr">
        <is>
          <t>Hỗ trợ ngoại nghiệp</t>
        </is>
      </c>
    </row>
    <row r="351">
      <c r="A351" s="1" t="inlineStr"/>
      <c r="B351" s="1" t="inlineStr">
        <is>
          <t>CCDC_01</t>
        </is>
      </c>
      <c r="C351" s="1" t="inlineStr">
        <is>
          <t>CCDC</t>
        </is>
      </c>
      <c r="D351" s="1" t="inlineStr">
        <is>
          <t xml:space="preserve"> - Ca dụng cụ, thiết bị nhỏ đo đạc/lấy mẫu</t>
        </is>
      </c>
      <c r="E351" s="1" t="inlineStr">
        <is>
          <t>ca</t>
        </is>
      </c>
      <c r="F351" s="1" t="inlineStr"/>
      <c r="G351" s="24" t="inlineStr"/>
      <c r="H351" s="24" t="inlineStr"/>
      <c r="I351" s="24" t="n">
        <v>0.1</v>
      </c>
      <c r="J351" s="24" t="inlineStr"/>
      <c r="K351" s="24" t="inlineStr"/>
      <c r="L351" s="24" t="inlineStr"/>
      <c r="M351" s="24">
        <f>ROUND(F348*I351, 4)</f>
        <v/>
      </c>
      <c r="N351" s="24" t="inlineStr"/>
      <c r="O351" s="1" t="inlineStr">
        <is>
          <t>Khoản 4.2 TT20</t>
        </is>
      </c>
    </row>
    <row r="352">
      <c r="A352" s="1" t="inlineStr"/>
      <c r="B352" s="1" t="inlineStr">
        <is>
          <t>CCDC_PHU</t>
        </is>
      </c>
      <c r="C352" s="1" t="inlineStr">
        <is>
          <t>CCDC_PHỤ</t>
        </is>
      </c>
      <c r="D352" s="1" t="inlineStr">
        <is>
          <t xml:space="preserve"> - Dụng cụ phụ khác (10% CCDC chính)</t>
        </is>
      </c>
      <c r="E352" s="1" t="inlineStr">
        <is>
          <t>%</t>
        </is>
      </c>
      <c r="F352" s="1" t="inlineStr"/>
      <c r="G352" s="24" t="inlineStr"/>
      <c r="H352" s="24" t="inlineStr"/>
      <c r="I352" s="24" t="n">
        <v>0.1</v>
      </c>
      <c r="J352" s="24" t="inlineStr"/>
      <c r="K352" s="24" t="inlineStr"/>
      <c r="L352" s="24" t="inlineStr"/>
      <c r="M352" s="24">
        <f>ROUND(M351*I352, 4)</f>
        <v/>
      </c>
      <c r="N352" s="24" t="inlineStr"/>
      <c r="O352" s="1" t="inlineStr">
        <is>
          <t>10% Khoản 4.2 TT20</t>
        </is>
      </c>
    </row>
    <row r="353">
      <c r="A353" s="1" t="inlineStr"/>
      <c r="B353" s="1" t="inlineStr">
        <is>
          <t>M_KHTSCD</t>
        </is>
      </c>
      <c r="C353" s="1" t="inlineStr">
        <is>
          <t>MÁY</t>
        </is>
      </c>
      <c r="D353" s="1" t="inlineStr">
        <is>
          <t xml:space="preserve"> - Khấu hao thiết bị quan trắc chuyên dụng</t>
        </is>
      </c>
      <c r="E353" s="1" t="inlineStr">
        <is>
          <t>ca</t>
        </is>
      </c>
      <c r="F353" s="1" t="inlineStr"/>
      <c r="G353" s="24" t="inlineStr"/>
      <c r="H353" s="24" t="inlineStr"/>
      <c r="I353" s="24" t="inlineStr"/>
      <c r="J353" s="24" t="n">
        <v>0.08</v>
      </c>
      <c r="K353" s="24" t="inlineStr"/>
      <c r="L353" s="24" t="inlineStr"/>
      <c r="M353" s="24" t="inlineStr"/>
      <c r="N353" s="24">
        <f>ROUND(F348*J353, 4)</f>
        <v/>
      </c>
      <c r="O353" s="1" t="inlineStr">
        <is>
          <t>TT 45/2013</t>
        </is>
      </c>
    </row>
    <row r="354">
      <c r="A354" s="1" t="inlineStr"/>
      <c r="B354" s="1" t="inlineStr">
        <is>
          <t>M_NANGLUONG</t>
        </is>
      </c>
      <c r="C354" s="1" t="inlineStr">
        <is>
          <t>ĐIỆN</t>
        </is>
      </c>
      <c r="D354" s="1" t="inlineStr">
        <is>
          <t xml:space="preserve"> - Năng lượng điện vận hành thiết bị PTN</t>
        </is>
      </c>
      <c r="E354" s="1" t="inlineStr">
        <is>
          <t>kWh</t>
        </is>
      </c>
      <c r="F354" s="1" t="inlineStr"/>
      <c r="G354" s="24" t="inlineStr"/>
      <c r="H354" s="24" t="inlineStr"/>
      <c r="I354" s="24" t="inlineStr"/>
      <c r="J354" s="24" t="n">
        <v>0.5</v>
      </c>
      <c r="K354" s="24" t="inlineStr"/>
      <c r="L354" s="24" t="inlineStr"/>
      <c r="M354" s="24" t="inlineStr"/>
      <c r="N354" s="24">
        <f>ROUND(F348*J354, 4)</f>
        <v/>
      </c>
      <c r="O354" s="1" t="inlineStr">
        <is>
          <t>Điện năng PTN</t>
        </is>
      </c>
    </row>
    <row r="355">
      <c r="A355" s="1" t="inlineStr"/>
      <c r="B355" s="1" t="inlineStr">
        <is>
          <t>VL_01</t>
        </is>
      </c>
      <c r="C355" s="1" t="inlineStr">
        <is>
          <t>VL</t>
        </is>
      </c>
      <c r="D355" s="1" t="inlineStr">
        <is>
          <t xml:space="preserve"> - Hóa chất phân tích tinh khiết, màng lọc, chuẩn</t>
        </is>
      </c>
      <c r="E355" s="1" t="inlineStr">
        <is>
          <t>bộ</t>
        </is>
      </c>
      <c r="F355" s="1" t="inlineStr"/>
      <c r="G355" s="24" t="n">
        <v>0.04</v>
      </c>
      <c r="H355" s="24" t="inlineStr"/>
      <c r="I355" s="24" t="inlineStr"/>
      <c r="J355" s="24" t="inlineStr"/>
      <c r="K355" s="24">
        <f>ROUND(F348*G355, 4)</f>
        <v/>
      </c>
      <c r="L355" s="24" t="inlineStr"/>
      <c r="M355" s="24" t="inlineStr"/>
      <c r="N355" s="24" t="inlineStr"/>
      <c r="O355" s="1" t="inlineStr">
        <is>
          <t>Khoản 4.4 TT20</t>
        </is>
      </c>
    </row>
    <row r="356">
      <c r="A356" s="1" t="inlineStr"/>
      <c r="B356" s="1" t="inlineStr">
        <is>
          <t>VL_KHAC</t>
        </is>
      </c>
      <c r="C356" s="1" t="inlineStr">
        <is>
          <t>VL_PHỤ</t>
        </is>
      </c>
      <c r="D356" s="1" t="inlineStr">
        <is>
          <t xml:space="preserve"> - Vật liệu phụ khác (8% vật liệu chính)</t>
        </is>
      </c>
      <c r="E356" s="1" t="inlineStr">
        <is>
          <t>%</t>
        </is>
      </c>
      <c r="F356" s="1" t="inlineStr"/>
      <c r="G356" s="24" t="n">
        <v>0.08</v>
      </c>
      <c r="H356" s="24" t="inlineStr"/>
      <c r="I356" s="24" t="inlineStr"/>
      <c r="J356" s="24" t="inlineStr"/>
      <c r="K356" s="24">
        <f>ROUND(K355*G356, 4)</f>
        <v/>
      </c>
      <c r="L356" s="24" t="inlineStr"/>
      <c r="M356" s="24" t="inlineStr"/>
      <c r="N356" s="24" t="inlineStr"/>
      <c r="O356" s="1" t="inlineStr">
        <is>
          <t>8% Khoản 4.4 TT20</t>
        </is>
      </c>
    </row>
    <row r="357">
      <c r="A357" s="21">
        <f>'Công trình'!A46</f>
        <v/>
      </c>
      <c r="B357" s="21">
        <f>'Công trình'!C46</f>
        <v/>
      </c>
      <c r="C357" s="21" t="inlineStr"/>
      <c r="D357" s="22">
        <f>'Công trình'!D46</f>
        <v/>
      </c>
      <c r="E357" s="21">
        <f>'Công trình'!E46</f>
        <v/>
      </c>
      <c r="F357" s="21">
        <f>'Công trình'!L46</f>
        <v/>
      </c>
      <c r="G357" s="23" t="inlineStr"/>
      <c r="H357" s="23" t="inlineStr"/>
      <c r="I357" s="23" t="inlineStr"/>
      <c r="J357" s="23" t="inlineStr"/>
      <c r="K357" s="23" t="inlineStr"/>
      <c r="L357" s="23" t="inlineStr"/>
      <c r="M357" s="23" t="inlineStr"/>
      <c r="N357" s="23" t="inlineStr"/>
      <c r="O357" s="21" t="inlineStr">
        <is>
          <t>PAKT &amp; Định mức TT20</t>
        </is>
      </c>
    </row>
    <row r="358">
      <c r="A358" s="1" t="inlineStr"/>
      <c r="B358" s="1" t="inlineStr">
        <is>
          <t>NC_LDKT</t>
        </is>
      </c>
      <c r="C358" s="1" t="inlineStr">
        <is>
          <t>LĐKT</t>
        </is>
      </c>
      <c r="D358" s="1" t="inlineStr">
        <is>
          <t xml:space="preserve"> - Kỹ sư / Kiểm định viên / Quan trắc viên</t>
        </is>
      </c>
      <c r="E358" s="1" t="inlineStr">
        <is>
          <t>công</t>
        </is>
      </c>
      <c r="F358" s="1" t="inlineStr"/>
      <c r="G358" s="24" t="inlineStr"/>
      <c r="H358" s="24" t="n">
        <v>0.176</v>
      </c>
      <c r="I358" s="24" t="inlineStr"/>
      <c r="J358" s="24" t="inlineStr"/>
      <c r="K358" s="24" t="inlineStr"/>
      <c r="L358" s="24">
        <f>ROUND(F357*H358, 4)</f>
        <v/>
      </c>
      <c r="M358" s="24" t="inlineStr"/>
      <c r="N358" s="24" t="inlineStr"/>
      <c r="O358" s="1" t="inlineStr">
        <is>
          <t>TTLT 56/2015</t>
        </is>
      </c>
    </row>
    <row r="359">
      <c r="A359" s="1" t="inlineStr"/>
      <c r="B359" s="1" t="inlineStr">
        <is>
          <t>NC_LDPT</t>
        </is>
      </c>
      <c r="C359" s="1" t="inlineStr">
        <is>
          <t>LĐPT</t>
        </is>
      </c>
      <c r="D359" s="1" t="inlineStr">
        <is>
          <t xml:space="preserve"> - Lao động phổ thông phụ việc hiện trường</t>
        </is>
      </c>
      <c r="E359" s="1" t="inlineStr">
        <is>
          <t>công</t>
        </is>
      </c>
      <c r="F359" s="1" t="inlineStr"/>
      <c r="G359" s="24" t="inlineStr"/>
      <c r="H359" s="24" t="n">
        <v>0.044</v>
      </c>
      <c r="I359" s="24" t="inlineStr"/>
      <c r="J359" s="24" t="inlineStr"/>
      <c r="K359" s="24" t="inlineStr"/>
      <c r="L359" s="24">
        <f>ROUND(F357*H359, 4)</f>
        <v/>
      </c>
      <c r="M359" s="24" t="inlineStr"/>
      <c r="N359" s="24" t="inlineStr"/>
      <c r="O359" s="1" t="inlineStr">
        <is>
          <t>Hỗ trợ ngoại nghiệp</t>
        </is>
      </c>
    </row>
    <row r="360">
      <c r="A360" s="1" t="inlineStr"/>
      <c r="B360" s="1" t="inlineStr">
        <is>
          <t>CCDC_01</t>
        </is>
      </c>
      <c r="C360" s="1" t="inlineStr">
        <is>
          <t>CCDC</t>
        </is>
      </c>
      <c r="D360" s="1" t="inlineStr">
        <is>
          <t xml:space="preserve"> - Ca dụng cụ, thiết bị nhỏ đo đạc/lấy mẫu</t>
        </is>
      </c>
      <c r="E360" s="1" t="inlineStr">
        <is>
          <t>ca</t>
        </is>
      </c>
      <c r="F360" s="1" t="inlineStr"/>
      <c r="G360" s="24" t="inlineStr"/>
      <c r="H360" s="24" t="inlineStr"/>
      <c r="I360" s="24" t="n">
        <v>0.1</v>
      </c>
      <c r="J360" s="24" t="inlineStr"/>
      <c r="K360" s="24" t="inlineStr"/>
      <c r="L360" s="24" t="inlineStr"/>
      <c r="M360" s="24">
        <f>ROUND(F357*I360, 4)</f>
        <v/>
      </c>
      <c r="N360" s="24" t="inlineStr"/>
      <c r="O360" s="1" t="inlineStr">
        <is>
          <t>Khoản 4.2 TT20</t>
        </is>
      </c>
    </row>
    <row r="361">
      <c r="A361" s="1" t="inlineStr"/>
      <c r="B361" s="1" t="inlineStr">
        <is>
          <t>CCDC_PHU</t>
        </is>
      </c>
      <c r="C361" s="1" t="inlineStr">
        <is>
          <t>CCDC_PHỤ</t>
        </is>
      </c>
      <c r="D361" s="1" t="inlineStr">
        <is>
          <t xml:space="preserve"> - Dụng cụ phụ khác (10% CCDC chính)</t>
        </is>
      </c>
      <c r="E361" s="1" t="inlineStr">
        <is>
          <t>%</t>
        </is>
      </c>
      <c r="F361" s="1" t="inlineStr"/>
      <c r="G361" s="24" t="inlineStr"/>
      <c r="H361" s="24" t="inlineStr"/>
      <c r="I361" s="24" t="n">
        <v>0.1</v>
      </c>
      <c r="J361" s="24" t="inlineStr"/>
      <c r="K361" s="24" t="inlineStr"/>
      <c r="L361" s="24" t="inlineStr"/>
      <c r="M361" s="24">
        <f>ROUND(M360*I361, 4)</f>
        <v/>
      </c>
      <c r="N361" s="24" t="inlineStr"/>
      <c r="O361" s="1" t="inlineStr">
        <is>
          <t>10% Khoản 4.2 TT20</t>
        </is>
      </c>
    </row>
    <row r="362">
      <c r="A362" s="1" t="inlineStr"/>
      <c r="B362" s="1" t="inlineStr">
        <is>
          <t>M_KHTSCD</t>
        </is>
      </c>
      <c r="C362" s="1" t="inlineStr">
        <is>
          <t>MÁY</t>
        </is>
      </c>
      <c r="D362" s="1" t="inlineStr">
        <is>
          <t xml:space="preserve"> - Khấu hao thiết bị quan trắc chuyên dụng</t>
        </is>
      </c>
      <c r="E362" s="1" t="inlineStr">
        <is>
          <t>ca</t>
        </is>
      </c>
      <c r="F362" s="1" t="inlineStr"/>
      <c r="G362" s="24" t="inlineStr"/>
      <c r="H362" s="24" t="inlineStr"/>
      <c r="I362" s="24" t="inlineStr"/>
      <c r="J362" s="24" t="n">
        <v>0.08</v>
      </c>
      <c r="K362" s="24" t="inlineStr"/>
      <c r="L362" s="24" t="inlineStr"/>
      <c r="M362" s="24" t="inlineStr"/>
      <c r="N362" s="24">
        <f>ROUND(F357*J362, 4)</f>
        <v/>
      </c>
      <c r="O362" s="1" t="inlineStr">
        <is>
          <t>TT 45/2013</t>
        </is>
      </c>
    </row>
    <row r="363">
      <c r="A363" s="1" t="inlineStr"/>
      <c r="B363" s="1" t="inlineStr">
        <is>
          <t>M_NANGLUONG</t>
        </is>
      </c>
      <c r="C363" s="1" t="inlineStr">
        <is>
          <t>ĐIỆN</t>
        </is>
      </c>
      <c r="D363" s="1" t="inlineStr">
        <is>
          <t xml:space="preserve"> - Năng lượng điện vận hành thiết bị PTN</t>
        </is>
      </c>
      <c r="E363" s="1" t="inlineStr">
        <is>
          <t>kWh</t>
        </is>
      </c>
      <c r="F363" s="1" t="inlineStr"/>
      <c r="G363" s="24" t="inlineStr"/>
      <c r="H363" s="24" t="inlineStr"/>
      <c r="I363" s="24" t="inlineStr"/>
      <c r="J363" s="24" t="n">
        <v>0.5</v>
      </c>
      <c r="K363" s="24" t="inlineStr"/>
      <c r="L363" s="24" t="inlineStr"/>
      <c r="M363" s="24" t="inlineStr"/>
      <c r="N363" s="24">
        <f>ROUND(F357*J363, 4)</f>
        <v/>
      </c>
      <c r="O363" s="1" t="inlineStr">
        <is>
          <t>Điện năng PTN</t>
        </is>
      </c>
    </row>
    <row r="364">
      <c r="A364" s="1" t="inlineStr"/>
      <c r="B364" s="1" t="inlineStr">
        <is>
          <t>VL_01</t>
        </is>
      </c>
      <c r="C364" s="1" t="inlineStr">
        <is>
          <t>VL</t>
        </is>
      </c>
      <c r="D364" s="1" t="inlineStr">
        <is>
          <t xml:space="preserve"> - Hóa chất phân tích tinh khiết, màng lọc, chuẩn</t>
        </is>
      </c>
      <c r="E364" s="1" t="inlineStr">
        <is>
          <t>bộ</t>
        </is>
      </c>
      <c r="F364" s="1" t="inlineStr"/>
      <c r="G364" s="24" t="n">
        <v>0.04</v>
      </c>
      <c r="H364" s="24" t="inlineStr"/>
      <c r="I364" s="24" t="inlineStr"/>
      <c r="J364" s="24" t="inlineStr"/>
      <c r="K364" s="24">
        <f>ROUND(F357*G364, 4)</f>
        <v/>
      </c>
      <c r="L364" s="24" t="inlineStr"/>
      <c r="M364" s="24" t="inlineStr"/>
      <c r="N364" s="24" t="inlineStr"/>
      <c r="O364" s="1" t="inlineStr">
        <is>
          <t>Khoản 4.4 TT20</t>
        </is>
      </c>
    </row>
    <row r="365">
      <c r="A365" s="1" t="inlineStr"/>
      <c r="B365" s="1" t="inlineStr">
        <is>
          <t>VL_KHAC</t>
        </is>
      </c>
      <c r="C365" s="1" t="inlineStr">
        <is>
          <t>VL_PHỤ</t>
        </is>
      </c>
      <c r="D365" s="1" t="inlineStr">
        <is>
          <t xml:space="preserve"> - Vật liệu phụ khác (8% vật liệu chính)</t>
        </is>
      </c>
      <c r="E365" s="1" t="inlineStr">
        <is>
          <t>%</t>
        </is>
      </c>
      <c r="F365" s="1" t="inlineStr"/>
      <c r="G365" s="24" t="n">
        <v>0.08</v>
      </c>
      <c r="H365" s="24" t="inlineStr"/>
      <c r="I365" s="24" t="inlineStr"/>
      <c r="J365" s="24" t="inlineStr"/>
      <c r="K365" s="24">
        <f>ROUND(K364*G365, 4)</f>
        <v/>
      </c>
      <c r="L365" s="24" t="inlineStr"/>
      <c r="M365" s="24" t="inlineStr"/>
      <c r="N365" s="24" t="inlineStr"/>
      <c r="O365" s="1" t="inlineStr">
        <is>
          <t>8% Khoản 4.4 TT20</t>
        </is>
      </c>
    </row>
    <row r="366">
      <c r="A366" s="21">
        <f>'Công trình'!A47</f>
        <v/>
      </c>
      <c r="B366" s="21">
        <f>'Công trình'!C47</f>
        <v/>
      </c>
      <c r="C366" s="21" t="inlineStr"/>
      <c r="D366" s="22">
        <f>'Công trình'!D47</f>
        <v/>
      </c>
      <c r="E366" s="21">
        <f>'Công trình'!E47</f>
        <v/>
      </c>
      <c r="F366" s="21">
        <f>'Công trình'!L47</f>
        <v/>
      </c>
      <c r="G366" s="23" t="inlineStr"/>
      <c r="H366" s="23" t="inlineStr"/>
      <c r="I366" s="23" t="inlineStr"/>
      <c r="J366" s="23" t="inlineStr"/>
      <c r="K366" s="23" t="inlineStr"/>
      <c r="L366" s="23" t="inlineStr"/>
      <c r="M366" s="23" t="inlineStr"/>
      <c r="N366" s="23" t="inlineStr"/>
      <c r="O366" s="21" t="inlineStr">
        <is>
          <t>PAKT &amp; Định mức TT20</t>
        </is>
      </c>
    </row>
    <row r="367">
      <c r="A367" s="1" t="inlineStr"/>
      <c r="B367" s="1" t="inlineStr">
        <is>
          <t>NC_LDKT</t>
        </is>
      </c>
      <c r="C367" s="1" t="inlineStr">
        <is>
          <t>LĐKT</t>
        </is>
      </c>
      <c r="D367" s="1" t="inlineStr">
        <is>
          <t xml:space="preserve"> - Kỹ sư / Kiểm định viên / Quan trắc viên</t>
        </is>
      </c>
      <c r="E367" s="1" t="inlineStr">
        <is>
          <t>công</t>
        </is>
      </c>
      <c r="F367" s="1" t="inlineStr"/>
      <c r="G367" s="24" t="inlineStr"/>
      <c r="H367" s="24" t="n">
        <v>0.176</v>
      </c>
      <c r="I367" s="24" t="inlineStr"/>
      <c r="J367" s="24" t="inlineStr"/>
      <c r="K367" s="24" t="inlineStr"/>
      <c r="L367" s="24">
        <f>ROUND(F366*H367, 4)</f>
        <v/>
      </c>
      <c r="M367" s="24" t="inlineStr"/>
      <c r="N367" s="24" t="inlineStr"/>
      <c r="O367" s="1" t="inlineStr">
        <is>
          <t>TTLT 56/2015</t>
        </is>
      </c>
    </row>
    <row r="368">
      <c r="A368" s="1" t="inlineStr"/>
      <c r="B368" s="1" t="inlineStr">
        <is>
          <t>NC_LDPT</t>
        </is>
      </c>
      <c r="C368" s="1" t="inlineStr">
        <is>
          <t>LĐPT</t>
        </is>
      </c>
      <c r="D368" s="1" t="inlineStr">
        <is>
          <t xml:space="preserve"> - Lao động phổ thông phụ việc hiện trường</t>
        </is>
      </c>
      <c r="E368" s="1" t="inlineStr">
        <is>
          <t>công</t>
        </is>
      </c>
      <c r="F368" s="1" t="inlineStr"/>
      <c r="G368" s="24" t="inlineStr"/>
      <c r="H368" s="24" t="n">
        <v>0.044</v>
      </c>
      <c r="I368" s="24" t="inlineStr"/>
      <c r="J368" s="24" t="inlineStr"/>
      <c r="K368" s="24" t="inlineStr"/>
      <c r="L368" s="24">
        <f>ROUND(F366*H368, 4)</f>
        <v/>
      </c>
      <c r="M368" s="24" t="inlineStr"/>
      <c r="N368" s="24" t="inlineStr"/>
      <c r="O368" s="1" t="inlineStr">
        <is>
          <t>Hỗ trợ ngoại nghiệp</t>
        </is>
      </c>
    </row>
    <row r="369">
      <c r="A369" s="1" t="inlineStr"/>
      <c r="B369" s="1" t="inlineStr">
        <is>
          <t>CCDC_01</t>
        </is>
      </c>
      <c r="C369" s="1" t="inlineStr">
        <is>
          <t>CCDC</t>
        </is>
      </c>
      <c r="D369" s="1" t="inlineStr">
        <is>
          <t xml:space="preserve"> - Ca dụng cụ, thiết bị nhỏ đo đạc/lấy mẫu</t>
        </is>
      </c>
      <c r="E369" s="1" t="inlineStr">
        <is>
          <t>ca</t>
        </is>
      </c>
      <c r="F369" s="1" t="inlineStr"/>
      <c r="G369" s="24" t="inlineStr"/>
      <c r="H369" s="24" t="inlineStr"/>
      <c r="I369" s="24" t="n">
        <v>0.1</v>
      </c>
      <c r="J369" s="24" t="inlineStr"/>
      <c r="K369" s="24" t="inlineStr"/>
      <c r="L369" s="24" t="inlineStr"/>
      <c r="M369" s="24">
        <f>ROUND(F366*I369, 4)</f>
        <v/>
      </c>
      <c r="N369" s="24" t="inlineStr"/>
      <c r="O369" s="1" t="inlineStr">
        <is>
          <t>Khoản 4.2 TT20</t>
        </is>
      </c>
    </row>
    <row r="370">
      <c r="A370" s="1" t="inlineStr"/>
      <c r="B370" s="1" t="inlineStr">
        <is>
          <t>CCDC_PHU</t>
        </is>
      </c>
      <c r="C370" s="1" t="inlineStr">
        <is>
          <t>CCDC_PHỤ</t>
        </is>
      </c>
      <c r="D370" s="1" t="inlineStr">
        <is>
          <t xml:space="preserve"> - Dụng cụ phụ khác (10% CCDC chính)</t>
        </is>
      </c>
      <c r="E370" s="1" t="inlineStr">
        <is>
          <t>%</t>
        </is>
      </c>
      <c r="F370" s="1" t="inlineStr"/>
      <c r="G370" s="24" t="inlineStr"/>
      <c r="H370" s="24" t="inlineStr"/>
      <c r="I370" s="24" t="n">
        <v>0.1</v>
      </c>
      <c r="J370" s="24" t="inlineStr"/>
      <c r="K370" s="24" t="inlineStr"/>
      <c r="L370" s="24" t="inlineStr"/>
      <c r="M370" s="24">
        <f>ROUND(M369*I370, 4)</f>
        <v/>
      </c>
      <c r="N370" s="24" t="inlineStr"/>
      <c r="O370" s="1" t="inlineStr">
        <is>
          <t>10% Khoản 4.2 TT20</t>
        </is>
      </c>
    </row>
    <row r="371">
      <c r="A371" s="1" t="inlineStr"/>
      <c r="B371" s="1" t="inlineStr">
        <is>
          <t>M_KHTSCD</t>
        </is>
      </c>
      <c r="C371" s="1" t="inlineStr">
        <is>
          <t>MÁY</t>
        </is>
      </c>
      <c r="D371" s="1" t="inlineStr">
        <is>
          <t xml:space="preserve"> - Khấu hao thiết bị quan trắc chuyên dụng</t>
        </is>
      </c>
      <c r="E371" s="1" t="inlineStr">
        <is>
          <t>ca</t>
        </is>
      </c>
      <c r="F371" s="1" t="inlineStr"/>
      <c r="G371" s="24" t="inlineStr"/>
      <c r="H371" s="24" t="inlineStr"/>
      <c r="I371" s="24" t="inlineStr"/>
      <c r="J371" s="24" t="n">
        <v>0.08</v>
      </c>
      <c r="K371" s="24" t="inlineStr"/>
      <c r="L371" s="24" t="inlineStr"/>
      <c r="M371" s="24" t="inlineStr"/>
      <c r="N371" s="24">
        <f>ROUND(F366*J371, 4)</f>
        <v/>
      </c>
      <c r="O371" s="1" t="inlineStr">
        <is>
          <t>TT 45/2013</t>
        </is>
      </c>
    </row>
    <row r="372">
      <c r="A372" s="1" t="inlineStr"/>
      <c r="B372" s="1" t="inlineStr">
        <is>
          <t>M_NANGLUONG</t>
        </is>
      </c>
      <c r="C372" s="1" t="inlineStr">
        <is>
          <t>ĐIỆN</t>
        </is>
      </c>
      <c r="D372" s="1" t="inlineStr">
        <is>
          <t xml:space="preserve"> - Năng lượng điện vận hành thiết bị PTN</t>
        </is>
      </c>
      <c r="E372" s="1" t="inlineStr">
        <is>
          <t>kWh</t>
        </is>
      </c>
      <c r="F372" s="1" t="inlineStr"/>
      <c r="G372" s="24" t="inlineStr"/>
      <c r="H372" s="24" t="inlineStr"/>
      <c r="I372" s="24" t="inlineStr"/>
      <c r="J372" s="24" t="n">
        <v>0.5</v>
      </c>
      <c r="K372" s="24" t="inlineStr"/>
      <c r="L372" s="24" t="inlineStr"/>
      <c r="M372" s="24" t="inlineStr"/>
      <c r="N372" s="24">
        <f>ROUND(F366*J372, 4)</f>
        <v/>
      </c>
      <c r="O372" s="1" t="inlineStr">
        <is>
          <t>Điện năng PTN</t>
        </is>
      </c>
    </row>
    <row r="373">
      <c r="A373" s="1" t="inlineStr"/>
      <c r="B373" s="1" t="inlineStr">
        <is>
          <t>VL_01</t>
        </is>
      </c>
      <c r="C373" s="1" t="inlineStr">
        <is>
          <t>VL</t>
        </is>
      </c>
      <c r="D373" s="1" t="inlineStr">
        <is>
          <t xml:space="preserve"> - Hóa chất phân tích tinh khiết, màng lọc, chuẩn</t>
        </is>
      </c>
      <c r="E373" s="1" t="inlineStr">
        <is>
          <t>bộ</t>
        </is>
      </c>
      <c r="F373" s="1" t="inlineStr"/>
      <c r="G373" s="24" t="n">
        <v>0.04</v>
      </c>
      <c r="H373" s="24" t="inlineStr"/>
      <c r="I373" s="24" t="inlineStr"/>
      <c r="J373" s="24" t="inlineStr"/>
      <c r="K373" s="24">
        <f>ROUND(F366*G373, 4)</f>
        <v/>
      </c>
      <c r="L373" s="24" t="inlineStr"/>
      <c r="M373" s="24" t="inlineStr"/>
      <c r="N373" s="24" t="inlineStr"/>
      <c r="O373" s="1" t="inlineStr">
        <is>
          <t>Khoản 4.4 TT20</t>
        </is>
      </c>
    </row>
    <row r="374">
      <c r="A374" s="1" t="inlineStr"/>
      <c r="B374" s="1" t="inlineStr">
        <is>
          <t>VL_KHAC</t>
        </is>
      </c>
      <c r="C374" s="1" t="inlineStr">
        <is>
          <t>VL_PHỤ</t>
        </is>
      </c>
      <c r="D374" s="1" t="inlineStr">
        <is>
          <t xml:space="preserve"> - Vật liệu phụ khác (8% vật liệu chính)</t>
        </is>
      </c>
      <c r="E374" s="1" t="inlineStr">
        <is>
          <t>%</t>
        </is>
      </c>
      <c r="F374" s="1" t="inlineStr"/>
      <c r="G374" s="24" t="n">
        <v>0.08</v>
      </c>
      <c r="H374" s="24" t="inlineStr"/>
      <c r="I374" s="24" t="inlineStr"/>
      <c r="J374" s="24" t="inlineStr"/>
      <c r="K374" s="24">
        <f>ROUND(K373*G374, 4)</f>
        <v/>
      </c>
      <c r="L374" s="24" t="inlineStr"/>
      <c r="M374" s="24" t="inlineStr"/>
      <c r="N374" s="24" t="inlineStr"/>
      <c r="O374" s="1" t="inlineStr">
        <is>
          <t>8% Khoản 4.4 TT20</t>
        </is>
      </c>
    </row>
    <row r="375">
      <c r="A375" s="21">
        <f>'Công trình'!A48</f>
        <v/>
      </c>
      <c r="B375" s="21">
        <f>'Công trình'!C48</f>
        <v/>
      </c>
      <c r="C375" s="21" t="inlineStr"/>
      <c r="D375" s="22">
        <f>'Công trình'!D48</f>
        <v/>
      </c>
      <c r="E375" s="21">
        <f>'Công trình'!E48</f>
        <v/>
      </c>
      <c r="F375" s="21">
        <f>'Công trình'!L48</f>
        <v/>
      </c>
      <c r="G375" s="23" t="inlineStr"/>
      <c r="H375" s="23" t="inlineStr"/>
      <c r="I375" s="23" t="inlineStr"/>
      <c r="J375" s="23" t="inlineStr"/>
      <c r="K375" s="23" t="inlineStr"/>
      <c r="L375" s="23" t="inlineStr"/>
      <c r="M375" s="23" t="inlineStr"/>
      <c r="N375" s="23" t="inlineStr"/>
      <c r="O375" s="21" t="inlineStr">
        <is>
          <t>PAKT &amp; Định mức TT20</t>
        </is>
      </c>
    </row>
    <row r="376">
      <c r="A376" s="1" t="inlineStr"/>
      <c r="B376" s="1" t="inlineStr">
        <is>
          <t>NC_LDKT</t>
        </is>
      </c>
      <c r="C376" s="1" t="inlineStr">
        <is>
          <t>LĐKT</t>
        </is>
      </c>
      <c r="D376" s="1" t="inlineStr">
        <is>
          <t xml:space="preserve"> - Kỹ sư / Kiểm định viên / Quan trắc viên</t>
        </is>
      </c>
      <c r="E376" s="1" t="inlineStr">
        <is>
          <t>công</t>
        </is>
      </c>
      <c r="F376" s="1" t="inlineStr"/>
      <c r="G376" s="24" t="inlineStr"/>
      <c r="H376" s="24" t="n">
        <v>0.176</v>
      </c>
      <c r="I376" s="24" t="inlineStr"/>
      <c r="J376" s="24" t="inlineStr"/>
      <c r="K376" s="24" t="inlineStr"/>
      <c r="L376" s="24">
        <f>ROUND(F375*H376, 4)</f>
        <v/>
      </c>
      <c r="M376" s="24" t="inlineStr"/>
      <c r="N376" s="24" t="inlineStr"/>
      <c r="O376" s="1" t="inlineStr">
        <is>
          <t>TTLT 56/2015</t>
        </is>
      </c>
    </row>
    <row r="377">
      <c r="A377" s="1" t="inlineStr"/>
      <c r="B377" s="1" t="inlineStr">
        <is>
          <t>NC_LDPT</t>
        </is>
      </c>
      <c r="C377" s="1" t="inlineStr">
        <is>
          <t>LĐPT</t>
        </is>
      </c>
      <c r="D377" s="1" t="inlineStr">
        <is>
          <t xml:space="preserve"> - Lao động phổ thông phụ việc hiện trường</t>
        </is>
      </c>
      <c r="E377" s="1" t="inlineStr">
        <is>
          <t>công</t>
        </is>
      </c>
      <c r="F377" s="1" t="inlineStr"/>
      <c r="G377" s="24" t="inlineStr"/>
      <c r="H377" s="24" t="n">
        <v>0.044</v>
      </c>
      <c r="I377" s="24" t="inlineStr"/>
      <c r="J377" s="24" t="inlineStr"/>
      <c r="K377" s="24" t="inlineStr"/>
      <c r="L377" s="24">
        <f>ROUND(F375*H377, 4)</f>
        <v/>
      </c>
      <c r="M377" s="24" t="inlineStr"/>
      <c r="N377" s="24" t="inlineStr"/>
      <c r="O377" s="1" t="inlineStr">
        <is>
          <t>Hỗ trợ ngoại nghiệp</t>
        </is>
      </c>
    </row>
    <row r="378">
      <c r="A378" s="1" t="inlineStr"/>
      <c r="B378" s="1" t="inlineStr">
        <is>
          <t>CCDC_01</t>
        </is>
      </c>
      <c r="C378" s="1" t="inlineStr">
        <is>
          <t>CCDC</t>
        </is>
      </c>
      <c r="D378" s="1" t="inlineStr">
        <is>
          <t xml:space="preserve"> - Ca dụng cụ, thiết bị nhỏ đo đạc/lấy mẫu</t>
        </is>
      </c>
      <c r="E378" s="1" t="inlineStr">
        <is>
          <t>ca</t>
        </is>
      </c>
      <c r="F378" s="1" t="inlineStr"/>
      <c r="G378" s="24" t="inlineStr"/>
      <c r="H378" s="24" t="inlineStr"/>
      <c r="I378" s="24" t="n">
        <v>0.1</v>
      </c>
      <c r="J378" s="24" t="inlineStr"/>
      <c r="K378" s="24" t="inlineStr"/>
      <c r="L378" s="24" t="inlineStr"/>
      <c r="M378" s="24">
        <f>ROUND(F375*I378, 4)</f>
        <v/>
      </c>
      <c r="N378" s="24" t="inlineStr"/>
      <c r="O378" s="1" t="inlineStr">
        <is>
          <t>Khoản 4.2 TT20</t>
        </is>
      </c>
    </row>
    <row r="379">
      <c r="A379" s="1" t="inlineStr"/>
      <c r="B379" s="1" t="inlineStr">
        <is>
          <t>CCDC_PHU</t>
        </is>
      </c>
      <c r="C379" s="1" t="inlineStr">
        <is>
          <t>CCDC_PHỤ</t>
        </is>
      </c>
      <c r="D379" s="1" t="inlineStr">
        <is>
          <t xml:space="preserve"> - Dụng cụ phụ khác (10% CCDC chính)</t>
        </is>
      </c>
      <c r="E379" s="1" t="inlineStr">
        <is>
          <t>%</t>
        </is>
      </c>
      <c r="F379" s="1" t="inlineStr"/>
      <c r="G379" s="24" t="inlineStr"/>
      <c r="H379" s="24" t="inlineStr"/>
      <c r="I379" s="24" t="n">
        <v>0.1</v>
      </c>
      <c r="J379" s="24" t="inlineStr"/>
      <c r="K379" s="24" t="inlineStr"/>
      <c r="L379" s="24" t="inlineStr"/>
      <c r="M379" s="24">
        <f>ROUND(M378*I379, 4)</f>
        <v/>
      </c>
      <c r="N379" s="24" t="inlineStr"/>
      <c r="O379" s="1" t="inlineStr">
        <is>
          <t>10% Khoản 4.2 TT20</t>
        </is>
      </c>
    </row>
    <row r="380">
      <c r="A380" s="1" t="inlineStr"/>
      <c r="B380" s="1" t="inlineStr">
        <is>
          <t>M_KHTSCD</t>
        </is>
      </c>
      <c r="C380" s="1" t="inlineStr">
        <is>
          <t>MÁY</t>
        </is>
      </c>
      <c r="D380" s="1" t="inlineStr">
        <is>
          <t xml:space="preserve"> - Khấu hao thiết bị quan trắc chuyên dụng</t>
        </is>
      </c>
      <c r="E380" s="1" t="inlineStr">
        <is>
          <t>ca</t>
        </is>
      </c>
      <c r="F380" s="1" t="inlineStr"/>
      <c r="G380" s="24" t="inlineStr"/>
      <c r="H380" s="24" t="inlineStr"/>
      <c r="I380" s="24" t="inlineStr"/>
      <c r="J380" s="24" t="n">
        <v>0.08</v>
      </c>
      <c r="K380" s="24" t="inlineStr"/>
      <c r="L380" s="24" t="inlineStr"/>
      <c r="M380" s="24" t="inlineStr"/>
      <c r="N380" s="24">
        <f>ROUND(F375*J380, 4)</f>
        <v/>
      </c>
      <c r="O380" s="1" t="inlineStr">
        <is>
          <t>TT 45/2013</t>
        </is>
      </c>
    </row>
    <row r="381">
      <c r="A381" s="1" t="inlineStr"/>
      <c r="B381" s="1" t="inlineStr">
        <is>
          <t>M_NANGLUONG</t>
        </is>
      </c>
      <c r="C381" s="1" t="inlineStr">
        <is>
          <t>ĐIỆN</t>
        </is>
      </c>
      <c r="D381" s="1" t="inlineStr">
        <is>
          <t xml:space="preserve"> - Năng lượng điện vận hành thiết bị PTN</t>
        </is>
      </c>
      <c r="E381" s="1" t="inlineStr">
        <is>
          <t>kWh</t>
        </is>
      </c>
      <c r="F381" s="1" t="inlineStr"/>
      <c r="G381" s="24" t="inlineStr"/>
      <c r="H381" s="24" t="inlineStr"/>
      <c r="I381" s="24" t="inlineStr"/>
      <c r="J381" s="24" t="n">
        <v>0.5</v>
      </c>
      <c r="K381" s="24" t="inlineStr"/>
      <c r="L381" s="24" t="inlineStr"/>
      <c r="M381" s="24" t="inlineStr"/>
      <c r="N381" s="24">
        <f>ROUND(F375*J381, 4)</f>
        <v/>
      </c>
      <c r="O381" s="1" t="inlineStr">
        <is>
          <t>Điện năng PTN</t>
        </is>
      </c>
    </row>
    <row r="382">
      <c r="A382" s="1" t="inlineStr"/>
      <c r="B382" s="1" t="inlineStr">
        <is>
          <t>VL_01</t>
        </is>
      </c>
      <c r="C382" s="1" t="inlineStr">
        <is>
          <t>VL</t>
        </is>
      </c>
      <c r="D382" s="1" t="inlineStr">
        <is>
          <t xml:space="preserve"> - Hóa chất phân tích tinh khiết, màng lọc, chuẩn</t>
        </is>
      </c>
      <c r="E382" s="1" t="inlineStr">
        <is>
          <t>bộ</t>
        </is>
      </c>
      <c r="F382" s="1" t="inlineStr"/>
      <c r="G382" s="24" t="n">
        <v>0.04</v>
      </c>
      <c r="H382" s="24" t="inlineStr"/>
      <c r="I382" s="24" t="inlineStr"/>
      <c r="J382" s="24" t="inlineStr"/>
      <c r="K382" s="24">
        <f>ROUND(F375*G382, 4)</f>
        <v/>
      </c>
      <c r="L382" s="24" t="inlineStr"/>
      <c r="M382" s="24" t="inlineStr"/>
      <c r="N382" s="24" t="inlineStr"/>
      <c r="O382" s="1" t="inlineStr">
        <is>
          <t>Khoản 4.4 TT20</t>
        </is>
      </c>
    </row>
    <row r="383">
      <c r="A383" s="1" t="inlineStr"/>
      <c r="B383" s="1" t="inlineStr">
        <is>
          <t>VL_KHAC</t>
        </is>
      </c>
      <c r="C383" s="1" t="inlineStr">
        <is>
          <t>VL_PHỤ</t>
        </is>
      </c>
      <c r="D383" s="1" t="inlineStr">
        <is>
          <t xml:space="preserve"> - Vật liệu phụ khác (8% vật liệu chính)</t>
        </is>
      </c>
      <c r="E383" s="1" t="inlineStr">
        <is>
          <t>%</t>
        </is>
      </c>
      <c r="F383" s="1" t="inlineStr"/>
      <c r="G383" s="24" t="n">
        <v>0.08</v>
      </c>
      <c r="H383" s="24" t="inlineStr"/>
      <c r="I383" s="24" t="inlineStr"/>
      <c r="J383" s="24" t="inlineStr"/>
      <c r="K383" s="24">
        <f>ROUND(K382*G383, 4)</f>
        <v/>
      </c>
      <c r="L383" s="24" t="inlineStr"/>
      <c r="M383" s="24" t="inlineStr"/>
      <c r="N383" s="24" t="inlineStr"/>
      <c r="O383" s="1" t="inlineStr">
        <is>
          <t>8% Khoản 4.4 TT20</t>
        </is>
      </c>
    </row>
    <row r="384">
      <c r="A384" s="21">
        <f>'Công trình'!A49</f>
        <v/>
      </c>
      <c r="B384" s="21">
        <f>'Công trình'!C49</f>
        <v/>
      </c>
      <c r="C384" s="21" t="inlineStr"/>
      <c r="D384" s="22">
        <f>'Công trình'!D49</f>
        <v/>
      </c>
      <c r="E384" s="21">
        <f>'Công trình'!E49</f>
        <v/>
      </c>
      <c r="F384" s="21">
        <f>'Công trình'!L49</f>
        <v/>
      </c>
      <c r="G384" s="23" t="inlineStr"/>
      <c r="H384" s="23" t="inlineStr"/>
      <c r="I384" s="23" t="inlineStr"/>
      <c r="J384" s="23" t="inlineStr"/>
      <c r="K384" s="23" t="inlineStr"/>
      <c r="L384" s="23" t="inlineStr"/>
      <c r="M384" s="23" t="inlineStr"/>
      <c r="N384" s="23" t="inlineStr"/>
      <c r="O384" s="21" t="inlineStr">
        <is>
          <t>PAKT &amp; Định mức TT20</t>
        </is>
      </c>
    </row>
    <row r="385">
      <c r="A385" s="1" t="inlineStr"/>
      <c r="B385" s="1" t="inlineStr">
        <is>
          <t>NC_LDKT</t>
        </is>
      </c>
      <c r="C385" s="1" t="inlineStr">
        <is>
          <t>LĐKT</t>
        </is>
      </c>
      <c r="D385" s="1" t="inlineStr">
        <is>
          <t xml:space="preserve"> - Kỹ sư / Kiểm định viên / Quan trắc viên</t>
        </is>
      </c>
      <c r="E385" s="1" t="inlineStr">
        <is>
          <t>công</t>
        </is>
      </c>
      <c r="F385" s="1" t="inlineStr"/>
      <c r="G385" s="24" t="inlineStr"/>
      <c r="H385" s="24" t="n">
        <v>0.176</v>
      </c>
      <c r="I385" s="24" t="inlineStr"/>
      <c r="J385" s="24" t="inlineStr"/>
      <c r="K385" s="24" t="inlineStr"/>
      <c r="L385" s="24">
        <f>ROUND(F384*H385, 4)</f>
        <v/>
      </c>
      <c r="M385" s="24" t="inlineStr"/>
      <c r="N385" s="24" t="inlineStr"/>
      <c r="O385" s="1" t="inlineStr">
        <is>
          <t>TTLT 56/2015</t>
        </is>
      </c>
    </row>
    <row r="386">
      <c r="A386" s="1" t="inlineStr"/>
      <c r="B386" s="1" t="inlineStr">
        <is>
          <t>NC_LDPT</t>
        </is>
      </c>
      <c r="C386" s="1" t="inlineStr">
        <is>
          <t>LĐPT</t>
        </is>
      </c>
      <c r="D386" s="1" t="inlineStr">
        <is>
          <t xml:space="preserve"> - Lao động phổ thông phụ việc hiện trường</t>
        </is>
      </c>
      <c r="E386" s="1" t="inlineStr">
        <is>
          <t>công</t>
        </is>
      </c>
      <c r="F386" s="1" t="inlineStr"/>
      <c r="G386" s="24" t="inlineStr"/>
      <c r="H386" s="24" t="n">
        <v>0.044</v>
      </c>
      <c r="I386" s="24" t="inlineStr"/>
      <c r="J386" s="24" t="inlineStr"/>
      <c r="K386" s="24" t="inlineStr"/>
      <c r="L386" s="24">
        <f>ROUND(F384*H386, 4)</f>
        <v/>
      </c>
      <c r="M386" s="24" t="inlineStr"/>
      <c r="N386" s="24" t="inlineStr"/>
      <c r="O386" s="1" t="inlineStr">
        <is>
          <t>Hỗ trợ ngoại nghiệp</t>
        </is>
      </c>
    </row>
    <row r="387">
      <c r="A387" s="1" t="inlineStr"/>
      <c r="B387" s="1" t="inlineStr">
        <is>
          <t>CCDC_01</t>
        </is>
      </c>
      <c r="C387" s="1" t="inlineStr">
        <is>
          <t>CCDC</t>
        </is>
      </c>
      <c r="D387" s="1" t="inlineStr">
        <is>
          <t xml:space="preserve"> - Ca dụng cụ, thiết bị nhỏ đo đạc/lấy mẫu</t>
        </is>
      </c>
      <c r="E387" s="1" t="inlineStr">
        <is>
          <t>ca</t>
        </is>
      </c>
      <c r="F387" s="1" t="inlineStr"/>
      <c r="G387" s="24" t="inlineStr"/>
      <c r="H387" s="24" t="inlineStr"/>
      <c r="I387" s="24" t="n">
        <v>0.1</v>
      </c>
      <c r="J387" s="24" t="inlineStr"/>
      <c r="K387" s="24" t="inlineStr"/>
      <c r="L387" s="24" t="inlineStr"/>
      <c r="M387" s="24">
        <f>ROUND(F384*I387, 4)</f>
        <v/>
      </c>
      <c r="N387" s="24" t="inlineStr"/>
      <c r="O387" s="1" t="inlineStr">
        <is>
          <t>Khoản 4.2 TT20</t>
        </is>
      </c>
    </row>
    <row r="388">
      <c r="A388" s="1" t="inlineStr"/>
      <c r="B388" s="1" t="inlineStr">
        <is>
          <t>CCDC_PHU</t>
        </is>
      </c>
      <c r="C388" s="1" t="inlineStr">
        <is>
          <t>CCDC_PHỤ</t>
        </is>
      </c>
      <c r="D388" s="1" t="inlineStr">
        <is>
          <t xml:space="preserve"> - Dụng cụ phụ khác (10% CCDC chính)</t>
        </is>
      </c>
      <c r="E388" s="1" t="inlineStr">
        <is>
          <t>%</t>
        </is>
      </c>
      <c r="F388" s="1" t="inlineStr"/>
      <c r="G388" s="24" t="inlineStr"/>
      <c r="H388" s="24" t="inlineStr"/>
      <c r="I388" s="24" t="n">
        <v>0.1</v>
      </c>
      <c r="J388" s="24" t="inlineStr"/>
      <c r="K388" s="24" t="inlineStr"/>
      <c r="L388" s="24" t="inlineStr"/>
      <c r="M388" s="24">
        <f>ROUND(M387*I388, 4)</f>
        <v/>
      </c>
      <c r="N388" s="24" t="inlineStr"/>
      <c r="O388" s="1" t="inlineStr">
        <is>
          <t>10% Khoản 4.2 TT20</t>
        </is>
      </c>
    </row>
    <row r="389">
      <c r="A389" s="1" t="inlineStr"/>
      <c r="B389" s="1" t="inlineStr">
        <is>
          <t>M_KHTSCD</t>
        </is>
      </c>
      <c r="C389" s="1" t="inlineStr">
        <is>
          <t>MÁY</t>
        </is>
      </c>
      <c r="D389" s="1" t="inlineStr">
        <is>
          <t xml:space="preserve"> - Khấu hao thiết bị quan trắc chuyên dụng</t>
        </is>
      </c>
      <c r="E389" s="1" t="inlineStr">
        <is>
          <t>ca</t>
        </is>
      </c>
      <c r="F389" s="1" t="inlineStr"/>
      <c r="G389" s="24" t="inlineStr"/>
      <c r="H389" s="24" t="inlineStr"/>
      <c r="I389" s="24" t="inlineStr"/>
      <c r="J389" s="24" t="n">
        <v>0.08</v>
      </c>
      <c r="K389" s="24" t="inlineStr"/>
      <c r="L389" s="24" t="inlineStr"/>
      <c r="M389" s="24" t="inlineStr"/>
      <c r="N389" s="24">
        <f>ROUND(F384*J389, 4)</f>
        <v/>
      </c>
      <c r="O389" s="1" t="inlineStr">
        <is>
          <t>TT 45/2013</t>
        </is>
      </c>
    </row>
    <row r="390">
      <c r="A390" s="1" t="inlineStr"/>
      <c r="B390" s="1" t="inlineStr">
        <is>
          <t>M_NANGLUONG</t>
        </is>
      </c>
      <c r="C390" s="1" t="inlineStr">
        <is>
          <t>ĐIỆN</t>
        </is>
      </c>
      <c r="D390" s="1" t="inlineStr">
        <is>
          <t xml:space="preserve"> - Năng lượng điện vận hành thiết bị PTN</t>
        </is>
      </c>
      <c r="E390" s="1" t="inlineStr">
        <is>
          <t>kWh</t>
        </is>
      </c>
      <c r="F390" s="1" t="inlineStr"/>
      <c r="G390" s="24" t="inlineStr"/>
      <c r="H390" s="24" t="inlineStr"/>
      <c r="I390" s="24" t="inlineStr"/>
      <c r="J390" s="24" t="n">
        <v>0.5</v>
      </c>
      <c r="K390" s="24" t="inlineStr"/>
      <c r="L390" s="24" t="inlineStr"/>
      <c r="M390" s="24" t="inlineStr"/>
      <c r="N390" s="24">
        <f>ROUND(F384*J390, 4)</f>
        <v/>
      </c>
      <c r="O390" s="1" t="inlineStr">
        <is>
          <t>Điện năng PTN</t>
        </is>
      </c>
    </row>
    <row r="391">
      <c r="A391" s="1" t="inlineStr"/>
      <c r="B391" s="1" t="inlineStr">
        <is>
          <t>VL_01</t>
        </is>
      </c>
      <c r="C391" s="1" t="inlineStr">
        <is>
          <t>VL</t>
        </is>
      </c>
      <c r="D391" s="1" t="inlineStr">
        <is>
          <t xml:space="preserve"> - Hóa chất phân tích tinh khiết, màng lọc, chuẩn</t>
        </is>
      </c>
      <c r="E391" s="1" t="inlineStr">
        <is>
          <t>bộ</t>
        </is>
      </c>
      <c r="F391" s="1" t="inlineStr"/>
      <c r="G391" s="24" t="n">
        <v>0.04</v>
      </c>
      <c r="H391" s="24" t="inlineStr"/>
      <c r="I391" s="24" t="inlineStr"/>
      <c r="J391" s="24" t="inlineStr"/>
      <c r="K391" s="24">
        <f>ROUND(F384*G391, 4)</f>
        <v/>
      </c>
      <c r="L391" s="24" t="inlineStr"/>
      <c r="M391" s="24" t="inlineStr"/>
      <c r="N391" s="24" t="inlineStr"/>
      <c r="O391" s="1" t="inlineStr">
        <is>
          <t>Khoản 4.4 TT20</t>
        </is>
      </c>
    </row>
    <row r="392">
      <c r="A392" s="1" t="inlineStr"/>
      <c r="B392" s="1" t="inlineStr">
        <is>
          <t>VL_KHAC</t>
        </is>
      </c>
      <c r="C392" s="1" t="inlineStr">
        <is>
          <t>VL_PHỤ</t>
        </is>
      </c>
      <c r="D392" s="1" t="inlineStr">
        <is>
          <t xml:space="preserve"> - Vật liệu phụ khác (8% vật liệu chính)</t>
        </is>
      </c>
      <c r="E392" s="1" t="inlineStr">
        <is>
          <t>%</t>
        </is>
      </c>
      <c r="F392" s="1" t="inlineStr"/>
      <c r="G392" s="24" t="n">
        <v>0.08</v>
      </c>
      <c r="H392" s="24" t="inlineStr"/>
      <c r="I392" s="24" t="inlineStr"/>
      <c r="J392" s="24" t="inlineStr"/>
      <c r="K392" s="24">
        <f>ROUND(K391*G392, 4)</f>
        <v/>
      </c>
      <c r="L392" s="24" t="inlineStr"/>
      <c r="M392" s="24" t="inlineStr"/>
      <c r="N392" s="24" t="inlineStr"/>
      <c r="O392" s="1" t="inlineStr">
        <is>
          <t>8% Khoản 4.4 TT20</t>
        </is>
      </c>
    </row>
    <row r="393">
      <c r="A393" s="21">
        <f>'Công trình'!A50</f>
        <v/>
      </c>
      <c r="B393" s="21">
        <f>'Công trình'!C50</f>
        <v/>
      </c>
      <c r="C393" s="21" t="inlineStr"/>
      <c r="D393" s="22">
        <f>'Công trình'!D50</f>
        <v/>
      </c>
      <c r="E393" s="21">
        <f>'Công trình'!E50</f>
        <v/>
      </c>
      <c r="F393" s="21">
        <f>'Công trình'!L50</f>
        <v/>
      </c>
      <c r="G393" s="23" t="inlineStr"/>
      <c r="H393" s="23" t="inlineStr"/>
      <c r="I393" s="23" t="inlineStr"/>
      <c r="J393" s="23" t="inlineStr"/>
      <c r="K393" s="23" t="inlineStr"/>
      <c r="L393" s="23" t="inlineStr"/>
      <c r="M393" s="23" t="inlineStr"/>
      <c r="N393" s="23" t="inlineStr"/>
      <c r="O393" s="21" t="inlineStr">
        <is>
          <t>PAKT &amp; Định mức TT20</t>
        </is>
      </c>
    </row>
    <row r="394">
      <c r="A394" s="1" t="inlineStr"/>
      <c r="B394" s="1" t="inlineStr">
        <is>
          <t>NC_LDKT</t>
        </is>
      </c>
      <c r="C394" s="1" t="inlineStr">
        <is>
          <t>LĐKT</t>
        </is>
      </c>
      <c r="D394" s="1" t="inlineStr">
        <is>
          <t xml:space="preserve"> - Kỹ sư / Kiểm định viên / Quan trắc viên</t>
        </is>
      </c>
      <c r="E394" s="1" t="inlineStr">
        <is>
          <t>công</t>
        </is>
      </c>
      <c r="F394" s="1" t="inlineStr"/>
      <c r="G394" s="24" t="inlineStr"/>
      <c r="H394" s="24" t="n">
        <v>0.176</v>
      </c>
      <c r="I394" s="24" t="inlineStr"/>
      <c r="J394" s="24" t="inlineStr"/>
      <c r="K394" s="24" t="inlineStr"/>
      <c r="L394" s="24">
        <f>ROUND(F393*H394, 4)</f>
        <v/>
      </c>
      <c r="M394" s="24" t="inlineStr"/>
      <c r="N394" s="24" t="inlineStr"/>
      <c r="O394" s="1" t="inlineStr">
        <is>
          <t>TTLT 56/2015</t>
        </is>
      </c>
    </row>
    <row r="395">
      <c r="A395" s="1" t="inlineStr"/>
      <c r="B395" s="1" t="inlineStr">
        <is>
          <t>NC_LDPT</t>
        </is>
      </c>
      <c r="C395" s="1" t="inlineStr">
        <is>
          <t>LĐPT</t>
        </is>
      </c>
      <c r="D395" s="1" t="inlineStr">
        <is>
          <t xml:space="preserve"> - Lao động phổ thông phụ việc hiện trường</t>
        </is>
      </c>
      <c r="E395" s="1" t="inlineStr">
        <is>
          <t>công</t>
        </is>
      </c>
      <c r="F395" s="1" t="inlineStr"/>
      <c r="G395" s="24" t="inlineStr"/>
      <c r="H395" s="24" t="n">
        <v>0.044</v>
      </c>
      <c r="I395" s="24" t="inlineStr"/>
      <c r="J395" s="24" t="inlineStr"/>
      <c r="K395" s="24" t="inlineStr"/>
      <c r="L395" s="24">
        <f>ROUND(F393*H395, 4)</f>
        <v/>
      </c>
      <c r="M395" s="24" t="inlineStr"/>
      <c r="N395" s="24" t="inlineStr"/>
      <c r="O395" s="1" t="inlineStr">
        <is>
          <t>Hỗ trợ ngoại nghiệp</t>
        </is>
      </c>
    </row>
    <row r="396">
      <c r="A396" s="1" t="inlineStr"/>
      <c r="B396" s="1" t="inlineStr">
        <is>
          <t>CCDC_01</t>
        </is>
      </c>
      <c r="C396" s="1" t="inlineStr">
        <is>
          <t>CCDC</t>
        </is>
      </c>
      <c r="D396" s="1" t="inlineStr">
        <is>
          <t xml:space="preserve"> - Ca dụng cụ, thiết bị nhỏ đo đạc/lấy mẫu</t>
        </is>
      </c>
      <c r="E396" s="1" t="inlineStr">
        <is>
          <t>ca</t>
        </is>
      </c>
      <c r="F396" s="1" t="inlineStr"/>
      <c r="G396" s="24" t="inlineStr"/>
      <c r="H396" s="24" t="inlineStr"/>
      <c r="I396" s="24" t="n">
        <v>0.1</v>
      </c>
      <c r="J396" s="24" t="inlineStr"/>
      <c r="K396" s="24" t="inlineStr"/>
      <c r="L396" s="24" t="inlineStr"/>
      <c r="M396" s="24">
        <f>ROUND(F393*I396, 4)</f>
        <v/>
      </c>
      <c r="N396" s="24" t="inlineStr"/>
      <c r="O396" s="1" t="inlineStr">
        <is>
          <t>Khoản 4.2 TT20</t>
        </is>
      </c>
    </row>
    <row r="397">
      <c r="A397" s="1" t="inlineStr"/>
      <c r="B397" s="1" t="inlineStr">
        <is>
          <t>CCDC_PHU</t>
        </is>
      </c>
      <c r="C397" s="1" t="inlineStr">
        <is>
          <t>CCDC_PHỤ</t>
        </is>
      </c>
      <c r="D397" s="1" t="inlineStr">
        <is>
          <t xml:space="preserve"> - Dụng cụ phụ khác (10% CCDC chính)</t>
        </is>
      </c>
      <c r="E397" s="1" t="inlineStr">
        <is>
          <t>%</t>
        </is>
      </c>
      <c r="F397" s="1" t="inlineStr"/>
      <c r="G397" s="24" t="inlineStr"/>
      <c r="H397" s="24" t="inlineStr"/>
      <c r="I397" s="24" t="n">
        <v>0.1</v>
      </c>
      <c r="J397" s="24" t="inlineStr"/>
      <c r="K397" s="24" t="inlineStr"/>
      <c r="L397" s="24" t="inlineStr"/>
      <c r="M397" s="24">
        <f>ROUND(M396*I397, 4)</f>
        <v/>
      </c>
      <c r="N397" s="24" t="inlineStr"/>
      <c r="O397" s="1" t="inlineStr">
        <is>
          <t>10% Khoản 4.2 TT20</t>
        </is>
      </c>
    </row>
    <row r="398">
      <c r="A398" s="1" t="inlineStr"/>
      <c r="B398" s="1" t="inlineStr">
        <is>
          <t>M_KHTSCD</t>
        </is>
      </c>
      <c r="C398" s="1" t="inlineStr">
        <is>
          <t>MÁY</t>
        </is>
      </c>
      <c r="D398" s="1" t="inlineStr">
        <is>
          <t xml:space="preserve"> - Khấu hao thiết bị quan trắc chuyên dụng</t>
        </is>
      </c>
      <c r="E398" s="1" t="inlineStr">
        <is>
          <t>ca</t>
        </is>
      </c>
      <c r="F398" s="1" t="inlineStr"/>
      <c r="G398" s="24" t="inlineStr"/>
      <c r="H398" s="24" t="inlineStr"/>
      <c r="I398" s="24" t="inlineStr"/>
      <c r="J398" s="24" t="n">
        <v>0.08</v>
      </c>
      <c r="K398" s="24" t="inlineStr"/>
      <c r="L398" s="24" t="inlineStr"/>
      <c r="M398" s="24" t="inlineStr"/>
      <c r="N398" s="24">
        <f>ROUND(F393*J398, 4)</f>
        <v/>
      </c>
      <c r="O398" s="1" t="inlineStr">
        <is>
          <t>TT 45/2013</t>
        </is>
      </c>
    </row>
    <row r="399">
      <c r="A399" s="1" t="inlineStr"/>
      <c r="B399" s="1" t="inlineStr">
        <is>
          <t>M_NANGLUONG</t>
        </is>
      </c>
      <c r="C399" s="1" t="inlineStr">
        <is>
          <t>ĐIỆN</t>
        </is>
      </c>
      <c r="D399" s="1" t="inlineStr">
        <is>
          <t xml:space="preserve"> - Năng lượng điện vận hành thiết bị PTN</t>
        </is>
      </c>
      <c r="E399" s="1" t="inlineStr">
        <is>
          <t>kWh</t>
        </is>
      </c>
      <c r="F399" s="1" t="inlineStr"/>
      <c r="G399" s="24" t="inlineStr"/>
      <c r="H399" s="24" t="inlineStr"/>
      <c r="I399" s="24" t="inlineStr"/>
      <c r="J399" s="24" t="n">
        <v>0.5</v>
      </c>
      <c r="K399" s="24" t="inlineStr"/>
      <c r="L399" s="24" t="inlineStr"/>
      <c r="M399" s="24" t="inlineStr"/>
      <c r="N399" s="24">
        <f>ROUND(F393*J399, 4)</f>
        <v/>
      </c>
      <c r="O399" s="1" t="inlineStr">
        <is>
          <t>Điện năng PTN</t>
        </is>
      </c>
    </row>
    <row r="400">
      <c r="A400" s="1" t="inlineStr"/>
      <c r="B400" s="1" t="inlineStr">
        <is>
          <t>VL_01</t>
        </is>
      </c>
      <c r="C400" s="1" t="inlineStr">
        <is>
          <t>VL</t>
        </is>
      </c>
      <c r="D400" s="1" t="inlineStr">
        <is>
          <t xml:space="preserve"> - Hóa chất phân tích tinh khiết, màng lọc, chuẩn</t>
        </is>
      </c>
      <c r="E400" s="1" t="inlineStr">
        <is>
          <t>bộ</t>
        </is>
      </c>
      <c r="F400" s="1" t="inlineStr"/>
      <c r="G400" s="24" t="n">
        <v>0.04</v>
      </c>
      <c r="H400" s="24" t="inlineStr"/>
      <c r="I400" s="24" t="inlineStr"/>
      <c r="J400" s="24" t="inlineStr"/>
      <c r="K400" s="24">
        <f>ROUND(F393*G400, 4)</f>
        <v/>
      </c>
      <c r="L400" s="24" t="inlineStr"/>
      <c r="M400" s="24" t="inlineStr"/>
      <c r="N400" s="24" t="inlineStr"/>
      <c r="O400" s="1" t="inlineStr">
        <is>
          <t>Khoản 4.4 TT20</t>
        </is>
      </c>
    </row>
    <row r="401">
      <c r="A401" s="1" t="inlineStr"/>
      <c r="B401" s="1" t="inlineStr">
        <is>
          <t>VL_KHAC</t>
        </is>
      </c>
      <c r="C401" s="1" t="inlineStr">
        <is>
          <t>VL_PHỤ</t>
        </is>
      </c>
      <c r="D401" s="1" t="inlineStr">
        <is>
          <t xml:space="preserve"> - Vật liệu phụ khác (8% vật liệu chính)</t>
        </is>
      </c>
      <c r="E401" s="1" t="inlineStr">
        <is>
          <t>%</t>
        </is>
      </c>
      <c r="F401" s="1" t="inlineStr"/>
      <c r="G401" s="24" t="n">
        <v>0.08</v>
      </c>
      <c r="H401" s="24" t="inlineStr"/>
      <c r="I401" s="24" t="inlineStr"/>
      <c r="J401" s="24" t="inlineStr"/>
      <c r="K401" s="24">
        <f>ROUND(K400*G401, 4)</f>
        <v/>
      </c>
      <c r="L401" s="24" t="inlineStr"/>
      <c r="M401" s="24" t="inlineStr"/>
      <c r="N401" s="24" t="inlineStr"/>
      <c r="O401" s="1" t="inlineStr">
        <is>
          <t>8% Khoản 4.4 TT20</t>
        </is>
      </c>
    </row>
    <row r="402">
      <c r="A402" s="21">
        <f>'Công trình'!A51</f>
        <v/>
      </c>
      <c r="B402" s="21">
        <f>'Công trình'!C51</f>
        <v/>
      </c>
      <c r="C402" s="21" t="inlineStr"/>
      <c r="D402" s="22">
        <f>'Công trình'!D51</f>
        <v/>
      </c>
      <c r="E402" s="21">
        <f>'Công trình'!E51</f>
        <v/>
      </c>
      <c r="F402" s="21">
        <f>'Công trình'!L51</f>
        <v/>
      </c>
      <c r="G402" s="23" t="inlineStr"/>
      <c r="H402" s="23" t="inlineStr"/>
      <c r="I402" s="23" t="inlineStr"/>
      <c r="J402" s="23" t="inlineStr"/>
      <c r="K402" s="23" t="inlineStr"/>
      <c r="L402" s="23" t="inlineStr"/>
      <c r="M402" s="23" t="inlineStr"/>
      <c r="N402" s="23" t="inlineStr"/>
      <c r="O402" s="21" t="inlineStr">
        <is>
          <t>PAKT &amp; Định mức TT20</t>
        </is>
      </c>
    </row>
    <row r="403">
      <c r="A403" s="1" t="inlineStr"/>
      <c r="B403" s="1" t="inlineStr">
        <is>
          <t>NC_LDKT</t>
        </is>
      </c>
      <c r="C403" s="1" t="inlineStr">
        <is>
          <t>LĐKT</t>
        </is>
      </c>
      <c r="D403" s="1" t="inlineStr">
        <is>
          <t xml:space="preserve"> - Kỹ sư / Kiểm định viên / Quan trắc viên</t>
        </is>
      </c>
      <c r="E403" s="1" t="inlineStr">
        <is>
          <t>công</t>
        </is>
      </c>
      <c r="F403" s="1" t="inlineStr"/>
      <c r="G403" s="24" t="inlineStr"/>
      <c r="H403" s="24" t="n">
        <v>0.176</v>
      </c>
      <c r="I403" s="24" t="inlineStr"/>
      <c r="J403" s="24" t="inlineStr"/>
      <c r="K403" s="24" t="inlineStr"/>
      <c r="L403" s="24">
        <f>ROUND(F402*H403, 4)</f>
        <v/>
      </c>
      <c r="M403" s="24" t="inlineStr"/>
      <c r="N403" s="24" t="inlineStr"/>
      <c r="O403" s="1" t="inlineStr">
        <is>
          <t>TTLT 56/2015</t>
        </is>
      </c>
    </row>
    <row r="404">
      <c r="A404" s="1" t="inlineStr"/>
      <c r="B404" s="1" t="inlineStr">
        <is>
          <t>NC_LDPT</t>
        </is>
      </c>
      <c r="C404" s="1" t="inlineStr">
        <is>
          <t>LĐPT</t>
        </is>
      </c>
      <c r="D404" s="1" t="inlineStr">
        <is>
          <t xml:space="preserve"> - Lao động phổ thông phụ việc hiện trường</t>
        </is>
      </c>
      <c r="E404" s="1" t="inlineStr">
        <is>
          <t>công</t>
        </is>
      </c>
      <c r="F404" s="1" t="inlineStr"/>
      <c r="G404" s="24" t="inlineStr"/>
      <c r="H404" s="24" t="n">
        <v>0.044</v>
      </c>
      <c r="I404" s="24" t="inlineStr"/>
      <c r="J404" s="24" t="inlineStr"/>
      <c r="K404" s="24" t="inlineStr"/>
      <c r="L404" s="24">
        <f>ROUND(F402*H404, 4)</f>
        <v/>
      </c>
      <c r="M404" s="24" t="inlineStr"/>
      <c r="N404" s="24" t="inlineStr"/>
      <c r="O404" s="1" t="inlineStr">
        <is>
          <t>Hỗ trợ ngoại nghiệp</t>
        </is>
      </c>
    </row>
    <row r="405">
      <c r="A405" s="1" t="inlineStr"/>
      <c r="B405" s="1" t="inlineStr">
        <is>
          <t>CCDC_01</t>
        </is>
      </c>
      <c r="C405" s="1" t="inlineStr">
        <is>
          <t>CCDC</t>
        </is>
      </c>
      <c r="D405" s="1" t="inlineStr">
        <is>
          <t xml:space="preserve"> - Ca dụng cụ, thiết bị nhỏ đo đạc/lấy mẫu</t>
        </is>
      </c>
      <c r="E405" s="1" t="inlineStr">
        <is>
          <t>ca</t>
        </is>
      </c>
      <c r="F405" s="1" t="inlineStr"/>
      <c r="G405" s="24" t="inlineStr"/>
      <c r="H405" s="24" t="inlineStr"/>
      <c r="I405" s="24" t="n">
        <v>0.1</v>
      </c>
      <c r="J405" s="24" t="inlineStr"/>
      <c r="K405" s="24" t="inlineStr"/>
      <c r="L405" s="24" t="inlineStr"/>
      <c r="M405" s="24">
        <f>ROUND(F402*I405, 4)</f>
        <v/>
      </c>
      <c r="N405" s="24" t="inlineStr"/>
      <c r="O405" s="1" t="inlineStr">
        <is>
          <t>Khoản 4.2 TT20</t>
        </is>
      </c>
    </row>
    <row r="406">
      <c r="A406" s="1" t="inlineStr"/>
      <c r="B406" s="1" t="inlineStr">
        <is>
          <t>CCDC_PHU</t>
        </is>
      </c>
      <c r="C406" s="1" t="inlineStr">
        <is>
          <t>CCDC_PHỤ</t>
        </is>
      </c>
      <c r="D406" s="1" t="inlineStr">
        <is>
          <t xml:space="preserve"> - Dụng cụ phụ khác (10% CCDC chính)</t>
        </is>
      </c>
      <c r="E406" s="1" t="inlineStr">
        <is>
          <t>%</t>
        </is>
      </c>
      <c r="F406" s="1" t="inlineStr"/>
      <c r="G406" s="24" t="inlineStr"/>
      <c r="H406" s="24" t="inlineStr"/>
      <c r="I406" s="24" t="n">
        <v>0.1</v>
      </c>
      <c r="J406" s="24" t="inlineStr"/>
      <c r="K406" s="24" t="inlineStr"/>
      <c r="L406" s="24" t="inlineStr"/>
      <c r="M406" s="24">
        <f>ROUND(M405*I406, 4)</f>
        <v/>
      </c>
      <c r="N406" s="24" t="inlineStr"/>
      <c r="O406" s="1" t="inlineStr">
        <is>
          <t>10% Khoản 4.2 TT20</t>
        </is>
      </c>
    </row>
    <row r="407">
      <c r="A407" s="1" t="inlineStr"/>
      <c r="B407" s="1" t="inlineStr">
        <is>
          <t>M_KHTSCD</t>
        </is>
      </c>
      <c r="C407" s="1" t="inlineStr">
        <is>
          <t>MÁY</t>
        </is>
      </c>
      <c r="D407" s="1" t="inlineStr">
        <is>
          <t xml:space="preserve"> - Khấu hao thiết bị quan trắc chuyên dụng</t>
        </is>
      </c>
      <c r="E407" s="1" t="inlineStr">
        <is>
          <t>ca</t>
        </is>
      </c>
      <c r="F407" s="1" t="inlineStr"/>
      <c r="G407" s="24" t="inlineStr"/>
      <c r="H407" s="24" t="inlineStr"/>
      <c r="I407" s="24" t="inlineStr"/>
      <c r="J407" s="24" t="n">
        <v>0.08</v>
      </c>
      <c r="K407" s="24" t="inlineStr"/>
      <c r="L407" s="24" t="inlineStr"/>
      <c r="M407" s="24" t="inlineStr"/>
      <c r="N407" s="24">
        <f>ROUND(F402*J407, 4)</f>
        <v/>
      </c>
      <c r="O407" s="1" t="inlineStr">
        <is>
          <t>TT 45/2013</t>
        </is>
      </c>
    </row>
    <row r="408">
      <c r="A408" s="1" t="inlineStr"/>
      <c r="B408" s="1" t="inlineStr">
        <is>
          <t>M_NANGLUONG</t>
        </is>
      </c>
      <c r="C408" s="1" t="inlineStr">
        <is>
          <t>ĐIỆN</t>
        </is>
      </c>
      <c r="D408" s="1" t="inlineStr">
        <is>
          <t xml:space="preserve"> - Năng lượng điện vận hành thiết bị PTN</t>
        </is>
      </c>
      <c r="E408" s="1" t="inlineStr">
        <is>
          <t>kWh</t>
        </is>
      </c>
      <c r="F408" s="1" t="inlineStr"/>
      <c r="G408" s="24" t="inlineStr"/>
      <c r="H408" s="24" t="inlineStr"/>
      <c r="I408" s="24" t="inlineStr"/>
      <c r="J408" s="24" t="n">
        <v>0.5</v>
      </c>
      <c r="K408" s="24" t="inlineStr"/>
      <c r="L408" s="24" t="inlineStr"/>
      <c r="M408" s="24" t="inlineStr"/>
      <c r="N408" s="24">
        <f>ROUND(F402*J408, 4)</f>
        <v/>
      </c>
      <c r="O408" s="1" t="inlineStr">
        <is>
          <t>Điện năng PTN</t>
        </is>
      </c>
    </row>
    <row r="409">
      <c r="A409" s="1" t="inlineStr"/>
      <c r="B409" s="1" t="inlineStr">
        <is>
          <t>VL_01</t>
        </is>
      </c>
      <c r="C409" s="1" t="inlineStr">
        <is>
          <t>VL</t>
        </is>
      </c>
      <c r="D409" s="1" t="inlineStr">
        <is>
          <t xml:space="preserve"> - Hóa chất phân tích tinh khiết, màng lọc, chuẩn</t>
        </is>
      </c>
      <c r="E409" s="1" t="inlineStr">
        <is>
          <t>bộ</t>
        </is>
      </c>
      <c r="F409" s="1" t="inlineStr"/>
      <c r="G409" s="24" t="n">
        <v>0.04</v>
      </c>
      <c r="H409" s="24" t="inlineStr"/>
      <c r="I409" s="24" t="inlineStr"/>
      <c r="J409" s="24" t="inlineStr"/>
      <c r="K409" s="24">
        <f>ROUND(F402*G409, 4)</f>
        <v/>
      </c>
      <c r="L409" s="24" t="inlineStr"/>
      <c r="M409" s="24" t="inlineStr"/>
      <c r="N409" s="24" t="inlineStr"/>
      <c r="O409" s="1" t="inlineStr">
        <is>
          <t>Khoản 4.4 TT20</t>
        </is>
      </c>
    </row>
    <row r="410">
      <c r="A410" s="1" t="inlineStr"/>
      <c r="B410" s="1" t="inlineStr">
        <is>
          <t>VL_KHAC</t>
        </is>
      </c>
      <c r="C410" s="1" t="inlineStr">
        <is>
          <t>VL_PHỤ</t>
        </is>
      </c>
      <c r="D410" s="1" t="inlineStr">
        <is>
          <t xml:space="preserve"> - Vật liệu phụ khác (8% vật liệu chính)</t>
        </is>
      </c>
      <c r="E410" s="1" t="inlineStr">
        <is>
          <t>%</t>
        </is>
      </c>
      <c r="F410" s="1" t="inlineStr"/>
      <c r="G410" s="24" t="n">
        <v>0.08</v>
      </c>
      <c r="H410" s="24" t="inlineStr"/>
      <c r="I410" s="24" t="inlineStr"/>
      <c r="J410" s="24" t="inlineStr"/>
      <c r="K410" s="24">
        <f>ROUND(K409*G410, 4)</f>
        <v/>
      </c>
      <c r="L410" s="24" t="inlineStr"/>
      <c r="M410" s="24" t="inlineStr"/>
      <c r="N410" s="24" t="inlineStr"/>
      <c r="O410" s="1" t="inlineStr">
        <is>
          <t>8% Khoản 4.4 TT20</t>
        </is>
      </c>
    </row>
    <row r="411">
      <c r="A411" s="21">
        <f>'Công trình'!A52</f>
        <v/>
      </c>
      <c r="B411" s="21">
        <f>'Công trình'!C52</f>
        <v/>
      </c>
      <c r="C411" s="21" t="inlineStr"/>
      <c r="D411" s="22">
        <f>'Công trình'!D52</f>
        <v/>
      </c>
      <c r="E411" s="21">
        <f>'Công trình'!E52</f>
        <v/>
      </c>
      <c r="F411" s="21">
        <f>'Công trình'!L52</f>
        <v/>
      </c>
      <c r="G411" s="23" t="inlineStr"/>
      <c r="H411" s="23" t="inlineStr"/>
      <c r="I411" s="23" t="inlineStr"/>
      <c r="J411" s="23" t="inlineStr"/>
      <c r="K411" s="23" t="inlineStr"/>
      <c r="L411" s="23" t="inlineStr"/>
      <c r="M411" s="23" t="inlineStr"/>
      <c r="N411" s="23" t="inlineStr"/>
      <c r="O411" s="21" t="inlineStr">
        <is>
          <t>PAKT &amp; Định mức TT20</t>
        </is>
      </c>
    </row>
    <row r="412">
      <c r="A412" s="1" t="inlineStr"/>
      <c r="B412" s="1" t="inlineStr">
        <is>
          <t>NC_LDKT</t>
        </is>
      </c>
      <c r="C412" s="1" t="inlineStr">
        <is>
          <t>LĐKT</t>
        </is>
      </c>
      <c r="D412" s="1" t="inlineStr">
        <is>
          <t xml:space="preserve"> - Kỹ sư / Kiểm định viên / Quan trắc viên</t>
        </is>
      </c>
      <c r="E412" s="1" t="inlineStr">
        <is>
          <t>công</t>
        </is>
      </c>
      <c r="F412" s="1" t="inlineStr"/>
      <c r="G412" s="24" t="inlineStr"/>
      <c r="H412" s="24" t="n">
        <v>0.176</v>
      </c>
      <c r="I412" s="24" t="inlineStr"/>
      <c r="J412" s="24" t="inlineStr"/>
      <c r="K412" s="24" t="inlineStr"/>
      <c r="L412" s="24">
        <f>ROUND(F411*H412, 4)</f>
        <v/>
      </c>
      <c r="M412" s="24" t="inlineStr"/>
      <c r="N412" s="24" t="inlineStr"/>
      <c r="O412" s="1" t="inlineStr">
        <is>
          <t>TTLT 56/2015</t>
        </is>
      </c>
    </row>
    <row r="413">
      <c r="A413" s="1" t="inlineStr"/>
      <c r="B413" s="1" t="inlineStr">
        <is>
          <t>NC_LDPT</t>
        </is>
      </c>
      <c r="C413" s="1" t="inlineStr">
        <is>
          <t>LĐPT</t>
        </is>
      </c>
      <c r="D413" s="1" t="inlineStr">
        <is>
          <t xml:space="preserve"> - Lao động phổ thông phụ việc hiện trường</t>
        </is>
      </c>
      <c r="E413" s="1" t="inlineStr">
        <is>
          <t>công</t>
        </is>
      </c>
      <c r="F413" s="1" t="inlineStr"/>
      <c r="G413" s="24" t="inlineStr"/>
      <c r="H413" s="24" t="n">
        <v>0.044</v>
      </c>
      <c r="I413" s="24" t="inlineStr"/>
      <c r="J413" s="24" t="inlineStr"/>
      <c r="K413" s="24" t="inlineStr"/>
      <c r="L413" s="24">
        <f>ROUND(F411*H413, 4)</f>
        <v/>
      </c>
      <c r="M413" s="24" t="inlineStr"/>
      <c r="N413" s="24" t="inlineStr"/>
      <c r="O413" s="1" t="inlineStr">
        <is>
          <t>Hỗ trợ ngoại nghiệp</t>
        </is>
      </c>
    </row>
    <row r="414">
      <c r="A414" s="1" t="inlineStr"/>
      <c r="B414" s="1" t="inlineStr">
        <is>
          <t>CCDC_01</t>
        </is>
      </c>
      <c r="C414" s="1" t="inlineStr">
        <is>
          <t>CCDC</t>
        </is>
      </c>
      <c r="D414" s="1" t="inlineStr">
        <is>
          <t xml:space="preserve"> - Ca dụng cụ, thiết bị nhỏ đo đạc/lấy mẫu</t>
        </is>
      </c>
      <c r="E414" s="1" t="inlineStr">
        <is>
          <t>ca</t>
        </is>
      </c>
      <c r="F414" s="1" t="inlineStr"/>
      <c r="G414" s="24" t="inlineStr"/>
      <c r="H414" s="24" t="inlineStr"/>
      <c r="I414" s="24" t="n">
        <v>0.1</v>
      </c>
      <c r="J414" s="24" t="inlineStr"/>
      <c r="K414" s="24" t="inlineStr"/>
      <c r="L414" s="24" t="inlineStr"/>
      <c r="M414" s="24">
        <f>ROUND(F411*I414, 4)</f>
        <v/>
      </c>
      <c r="N414" s="24" t="inlineStr"/>
      <c r="O414" s="1" t="inlineStr">
        <is>
          <t>Khoản 4.2 TT20</t>
        </is>
      </c>
    </row>
    <row r="415">
      <c r="A415" s="1" t="inlineStr"/>
      <c r="B415" s="1" t="inlineStr">
        <is>
          <t>CCDC_PHU</t>
        </is>
      </c>
      <c r="C415" s="1" t="inlineStr">
        <is>
          <t>CCDC_PHỤ</t>
        </is>
      </c>
      <c r="D415" s="1" t="inlineStr">
        <is>
          <t xml:space="preserve"> - Dụng cụ phụ khác (10% CCDC chính)</t>
        </is>
      </c>
      <c r="E415" s="1" t="inlineStr">
        <is>
          <t>%</t>
        </is>
      </c>
      <c r="F415" s="1" t="inlineStr"/>
      <c r="G415" s="24" t="inlineStr"/>
      <c r="H415" s="24" t="inlineStr"/>
      <c r="I415" s="24" t="n">
        <v>0.1</v>
      </c>
      <c r="J415" s="24" t="inlineStr"/>
      <c r="K415" s="24" t="inlineStr"/>
      <c r="L415" s="24" t="inlineStr"/>
      <c r="M415" s="24">
        <f>ROUND(M414*I415, 4)</f>
        <v/>
      </c>
      <c r="N415" s="24" t="inlineStr"/>
      <c r="O415" s="1" t="inlineStr">
        <is>
          <t>10% Khoản 4.2 TT20</t>
        </is>
      </c>
    </row>
    <row r="416">
      <c r="A416" s="1" t="inlineStr"/>
      <c r="B416" s="1" t="inlineStr">
        <is>
          <t>M_KHTSCD</t>
        </is>
      </c>
      <c r="C416" s="1" t="inlineStr">
        <is>
          <t>MÁY</t>
        </is>
      </c>
      <c r="D416" s="1" t="inlineStr">
        <is>
          <t xml:space="preserve"> - Khấu hao thiết bị quan trắc chuyên dụng</t>
        </is>
      </c>
      <c r="E416" s="1" t="inlineStr">
        <is>
          <t>ca</t>
        </is>
      </c>
      <c r="F416" s="1" t="inlineStr"/>
      <c r="G416" s="24" t="inlineStr"/>
      <c r="H416" s="24" t="inlineStr"/>
      <c r="I416" s="24" t="inlineStr"/>
      <c r="J416" s="24" t="n">
        <v>0.08</v>
      </c>
      <c r="K416" s="24" t="inlineStr"/>
      <c r="L416" s="24" t="inlineStr"/>
      <c r="M416" s="24" t="inlineStr"/>
      <c r="N416" s="24">
        <f>ROUND(F411*J416, 4)</f>
        <v/>
      </c>
      <c r="O416" s="1" t="inlineStr">
        <is>
          <t>TT 45/2013</t>
        </is>
      </c>
    </row>
    <row r="417">
      <c r="A417" s="1" t="inlineStr"/>
      <c r="B417" s="1" t="inlineStr">
        <is>
          <t>M_NANGLUONG</t>
        </is>
      </c>
      <c r="C417" s="1" t="inlineStr">
        <is>
          <t>ĐIỆN</t>
        </is>
      </c>
      <c r="D417" s="1" t="inlineStr">
        <is>
          <t xml:space="preserve"> - Năng lượng điện vận hành thiết bị PTN</t>
        </is>
      </c>
      <c r="E417" s="1" t="inlineStr">
        <is>
          <t>kWh</t>
        </is>
      </c>
      <c r="F417" s="1" t="inlineStr"/>
      <c r="G417" s="24" t="inlineStr"/>
      <c r="H417" s="24" t="inlineStr"/>
      <c r="I417" s="24" t="inlineStr"/>
      <c r="J417" s="24" t="n">
        <v>0.5</v>
      </c>
      <c r="K417" s="24" t="inlineStr"/>
      <c r="L417" s="24" t="inlineStr"/>
      <c r="M417" s="24" t="inlineStr"/>
      <c r="N417" s="24">
        <f>ROUND(F411*J417, 4)</f>
        <v/>
      </c>
      <c r="O417" s="1" t="inlineStr">
        <is>
          <t>Điện năng PTN</t>
        </is>
      </c>
    </row>
    <row r="418">
      <c r="A418" s="1" t="inlineStr"/>
      <c r="B418" s="1" t="inlineStr">
        <is>
          <t>VL_01</t>
        </is>
      </c>
      <c r="C418" s="1" t="inlineStr">
        <is>
          <t>VL</t>
        </is>
      </c>
      <c r="D418" s="1" t="inlineStr">
        <is>
          <t xml:space="preserve"> - Hóa chất phân tích tinh khiết, màng lọc, chuẩn</t>
        </is>
      </c>
      <c r="E418" s="1" t="inlineStr">
        <is>
          <t>bộ</t>
        </is>
      </c>
      <c r="F418" s="1" t="inlineStr"/>
      <c r="G418" s="24" t="n">
        <v>0.04</v>
      </c>
      <c r="H418" s="24" t="inlineStr"/>
      <c r="I418" s="24" t="inlineStr"/>
      <c r="J418" s="24" t="inlineStr"/>
      <c r="K418" s="24">
        <f>ROUND(F411*G418, 4)</f>
        <v/>
      </c>
      <c r="L418" s="24" t="inlineStr"/>
      <c r="M418" s="24" t="inlineStr"/>
      <c r="N418" s="24" t="inlineStr"/>
      <c r="O418" s="1" t="inlineStr">
        <is>
          <t>Khoản 4.4 TT20</t>
        </is>
      </c>
    </row>
    <row r="419">
      <c r="A419" s="1" t="inlineStr"/>
      <c r="B419" s="1" t="inlineStr">
        <is>
          <t>VL_KHAC</t>
        </is>
      </c>
      <c r="C419" s="1" t="inlineStr">
        <is>
          <t>VL_PHỤ</t>
        </is>
      </c>
      <c r="D419" s="1" t="inlineStr">
        <is>
          <t xml:space="preserve"> - Vật liệu phụ khác (8% vật liệu chính)</t>
        </is>
      </c>
      <c r="E419" s="1" t="inlineStr">
        <is>
          <t>%</t>
        </is>
      </c>
      <c r="F419" s="1" t="inlineStr"/>
      <c r="G419" s="24" t="n">
        <v>0.08</v>
      </c>
      <c r="H419" s="24" t="inlineStr"/>
      <c r="I419" s="24" t="inlineStr"/>
      <c r="J419" s="24" t="inlineStr"/>
      <c r="K419" s="24">
        <f>ROUND(K418*G419, 4)</f>
        <v/>
      </c>
      <c r="L419" s="24" t="inlineStr"/>
      <c r="M419" s="24" t="inlineStr"/>
      <c r="N419" s="24" t="inlineStr"/>
      <c r="O419" s="1" t="inlineStr">
        <is>
          <t>8% Khoản 4.4 TT20</t>
        </is>
      </c>
    </row>
    <row r="420">
      <c r="A420" s="21">
        <f>'Công trình'!A53</f>
        <v/>
      </c>
      <c r="B420" s="21">
        <f>'Công trình'!C53</f>
        <v/>
      </c>
      <c r="C420" s="21" t="inlineStr"/>
      <c r="D420" s="22">
        <f>'Công trình'!D53</f>
        <v/>
      </c>
      <c r="E420" s="21">
        <f>'Công trình'!E53</f>
        <v/>
      </c>
      <c r="F420" s="21">
        <f>'Công trình'!L53</f>
        <v/>
      </c>
      <c r="G420" s="23" t="inlineStr"/>
      <c r="H420" s="23" t="inlineStr"/>
      <c r="I420" s="23" t="inlineStr"/>
      <c r="J420" s="23" t="inlineStr"/>
      <c r="K420" s="23" t="inlineStr"/>
      <c r="L420" s="23" t="inlineStr"/>
      <c r="M420" s="23" t="inlineStr"/>
      <c r="N420" s="23" t="inlineStr"/>
      <c r="O420" s="21" t="inlineStr">
        <is>
          <t>PAKT &amp; Định mức TT20</t>
        </is>
      </c>
    </row>
    <row r="421">
      <c r="A421" s="1" t="inlineStr"/>
      <c r="B421" s="1" t="inlineStr">
        <is>
          <t>NC_LDKT</t>
        </is>
      </c>
      <c r="C421" s="1" t="inlineStr">
        <is>
          <t>LĐKT</t>
        </is>
      </c>
      <c r="D421" s="1" t="inlineStr">
        <is>
          <t xml:space="preserve"> - Kỹ sư / Kiểm định viên / Quan trắc viên</t>
        </is>
      </c>
      <c r="E421" s="1" t="inlineStr">
        <is>
          <t>công</t>
        </is>
      </c>
      <c r="F421" s="1" t="inlineStr"/>
      <c r="G421" s="24" t="inlineStr"/>
      <c r="H421" s="24" t="n">
        <v>0.176</v>
      </c>
      <c r="I421" s="24" t="inlineStr"/>
      <c r="J421" s="24" t="inlineStr"/>
      <c r="K421" s="24" t="inlineStr"/>
      <c r="L421" s="24">
        <f>ROUND(F420*H421, 4)</f>
        <v/>
      </c>
      <c r="M421" s="24" t="inlineStr"/>
      <c r="N421" s="24" t="inlineStr"/>
      <c r="O421" s="1" t="inlineStr">
        <is>
          <t>TTLT 56/2015</t>
        </is>
      </c>
    </row>
    <row r="422">
      <c r="A422" s="1" t="inlineStr"/>
      <c r="B422" s="1" t="inlineStr">
        <is>
          <t>NC_LDPT</t>
        </is>
      </c>
      <c r="C422" s="1" t="inlineStr">
        <is>
          <t>LĐPT</t>
        </is>
      </c>
      <c r="D422" s="1" t="inlineStr">
        <is>
          <t xml:space="preserve"> - Lao động phổ thông phụ việc hiện trường</t>
        </is>
      </c>
      <c r="E422" s="1" t="inlineStr">
        <is>
          <t>công</t>
        </is>
      </c>
      <c r="F422" s="1" t="inlineStr"/>
      <c r="G422" s="24" t="inlineStr"/>
      <c r="H422" s="24" t="n">
        <v>0.044</v>
      </c>
      <c r="I422" s="24" t="inlineStr"/>
      <c r="J422" s="24" t="inlineStr"/>
      <c r="K422" s="24" t="inlineStr"/>
      <c r="L422" s="24">
        <f>ROUND(F420*H422, 4)</f>
        <v/>
      </c>
      <c r="M422" s="24" t="inlineStr"/>
      <c r="N422" s="24" t="inlineStr"/>
      <c r="O422" s="1" t="inlineStr">
        <is>
          <t>Hỗ trợ ngoại nghiệp</t>
        </is>
      </c>
    </row>
    <row r="423">
      <c r="A423" s="1" t="inlineStr"/>
      <c r="B423" s="1" t="inlineStr">
        <is>
          <t>CCDC_01</t>
        </is>
      </c>
      <c r="C423" s="1" t="inlineStr">
        <is>
          <t>CCDC</t>
        </is>
      </c>
      <c r="D423" s="1" t="inlineStr">
        <is>
          <t xml:space="preserve"> - Ca dụng cụ, thiết bị nhỏ đo đạc/lấy mẫu</t>
        </is>
      </c>
      <c r="E423" s="1" t="inlineStr">
        <is>
          <t>ca</t>
        </is>
      </c>
      <c r="F423" s="1" t="inlineStr"/>
      <c r="G423" s="24" t="inlineStr"/>
      <c r="H423" s="24" t="inlineStr"/>
      <c r="I423" s="24" t="n">
        <v>0.1</v>
      </c>
      <c r="J423" s="24" t="inlineStr"/>
      <c r="K423" s="24" t="inlineStr"/>
      <c r="L423" s="24" t="inlineStr"/>
      <c r="M423" s="24">
        <f>ROUND(F420*I423, 4)</f>
        <v/>
      </c>
      <c r="N423" s="24" t="inlineStr"/>
      <c r="O423" s="1" t="inlineStr">
        <is>
          <t>Khoản 4.2 TT20</t>
        </is>
      </c>
    </row>
    <row r="424">
      <c r="A424" s="1" t="inlineStr"/>
      <c r="B424" s="1" t="inlineStr">
        <is>
          <t>CCDC_PHU</t>
        </is>
      </c>
      <c r="C424" s="1" t="inlineStr">
        <is>
          <t>CCDC_PHỤ</t>
        </is>
      </c>
      <c r="D424" s="1" t="inlineStr">
        <is>
          <t xml:space="preserve"> - Dụng cụ phụ khác (10% CCDC chính)</t>
        </is>
      </c>
      <c r="E424" s="1" t="inlineStr">
        <is>
          <t>%</t>
        </is>
      </c>
      <c r="F424" s="1" t="inlineStr"/>
      <c r="G424" s="24" t="inlineStr"/>
      <c r="H424" s="24" t="inlineStr"/>
      <c r="I424" s="24" t="n">
        <v>0.1</v>
      </c>
      <c r="J424" s="24" t="inlineStr"/>
      <c r="K424" s="24" t="inlineStr"/>
      <c r="L424" s="24" t="inlineStr"/>
      <c r="M424" s="24">
        <f>ROUND(M423*I424, 4)</f>
        <v/>
      </c>
      <c r="N424" s="24" t="inlineStr"/>
      <c r="O424" s="1" t="inlineStr">
        <is>
          <t>10% Khoản 4.2 TT20</t>
        </is>
      </c>
    </row>
    <row r="425">
      <c r="A425" s="1" t="inlineStr"/>
      <c r="B425" s="1" t="inlineStr">
        <is>
          <t>M_KHTSCD</t>
        </is>
      </c>
      <c r="C425" s="1" t="inlineStr">
        <is>
          <t>MÁY</t>
        </is>
      </c>
      <c r="D425" s="1" t="inlineStr">
        <is>
          <t xml:space="preserve"> - Khấu hao thiết bị quan trắc chuyên dụng</t>
        </is>
      </c>
      <c r="E425" s="1" t="inlineStr">
        <is>
          <t>ca</t>
        </is>
      </c>
      <c r="F425" s="1" t="inlineStr"/>
      <c r="G425" s="24" t="inlineStr"/>
      <c r="H425" s="24" t="inlineStr"/>
      <c r="I425" s="24" t="inlineStr"/>
      <c r="J425" s="24" t="n">
        <v>0.08</v>
      </c>
      <c r="K425" s="24" t="inlineStr"/>
      <c r="L425" s="24" t="inlineStr"/>
      <c r="M425" s="24" t="inlineStr"/>
      <c r="N425" s="24">
        <f>ROUND(F420*J425, 4)</f>
        <v/>
      </c>
      <c r="O425" s="1" t="inlineStr">
        <is>
          <t>TT 45/2013</t>
        </is>
      </c>
    </row>
    <row r="426">
      <c r="A426" s="1" t="inlineStr"/>
      <c r="B426" s="1" t="inlineStr">
        <is>
          <t>M_NANGLUONG</t>
        </is>
      </c>
      <c r="C426" s="1" t="inlineStr">
        <is>
          <t>ĐIỆN</t>
        </is>
      </c>
      <c r="D426" s="1" t="inlineStr">
        <is>
          <t xml:space="preserve"> - Năng lượng điện vận hành thiết bị PTN</t>
        </is>
      </c>
      <c r="E426" s="1" t="inlineStr">
        <is>
          <t>kWh</t>
        </is>
      </c>
      <c r="F426" s="1" t="inlineStr"/>
      <c r="G426" s="24" t="inlineStr"/>
      <c r="H426" s="24" t="inlineStr"/>
      <c r="I426" s="24" t="inlineStr"/>
      <c r="J426" s="24" t="n">
        <v>0.5</v>
      </c>
      <c r="K426" s="24" t="inlineStr"/>
      <c r="L426" s="24" t="inlineStr"/>
      <c r="M426" s="24" t="inlineStr"/>
      <c r="N426" s="24">
        <f>ROUND(F420*J426, 4)</f>
        <v/>
      </c>
      <c r="O426" s="1" t="inlineStr">
        <is>
          <t>Điện năng PTN</t>
        </is>
      </c>
    </row>
    <row r="427">
      <c r="A427" s="1" t="inlineStr"/>
      <c r="B427" s="1" t="inlineStr">
        <is>
          <t>VL_01</t>
        </is>
      </c>
      <c r="C427" s="1" t="inlineStr">
        <is>
          <t>VL</t>
        </is>
      </c>
      <c r="D427" s="1" t="inlineStr">
        <is>
          <t xml:space="preserve"> - Hóa chất phân tích tinh khiết, màng lọc, chuẩn</t>
        </is>
      </c>
      <c r="E427" s="1" t="inlineStr">
        <is>
          <t>bộ</t>
        </is>
      </c>
      <c r="F427" s="1" t="inlineStr"/>
      <c r="G427" s="24" t="n">
        <v>0.04</v>
      </c>
      <c r="H427" s="24" t="inlineStr"/>
      <c r="I427" s="24" t="inlineStr"/>
      <c r="J427" s="24" t="inlineStr"/>
      <c r="K427" s="24">
        <f>ROUND(F420*G427, 4)</f>
        <v/>
      </c>
      <c r="L427" s="24" t="inlineStr"/>
      <c r="M427" s="24" t="inlineStr"/>
      <c r="N427" s="24" t="inlineStr"/>
      <c r="O427" s="1" t="inlineStr">
        <is>
          <t>Khoản 4.4 TT20</t>
        </is>
      </c>
    </row>
    <row r="428">
      <c r="A428" s="1" t="inlineStr"/>
      <c r="B428" s="1" t="inlineStr">
        <is>
          <t>VL_KHAC</t>
        </is>
      </c>
      <c r="C428" s="1" t="inlineStr">
        <is>
          <t>VL_PHỤ</t>
        </is>
      </c>
      <c r="D428" s="1" t="inlineStr">
        <is>
          <t xml:space="preserve"> - Vật liệu phụ khác (8% vật liệu chính)</t>
        </is>
      </c>
      <c r="E428" s="1" t="inlineStr">
        <is>
          <t>%</t>
        </is>
      </c>
      <c r="F428" s="1" t="inlineStr"/>
      <c r="G428" s="24" t="n">
        <v>0.08</v>
      </c>
      <c r="H428" s="24" t="inlineStr"/>
      <c r="I428" s="24" t="inlineStr"/>
      <c r="J428" s="24" t="inlineStr"/>
      <c r="K428" s="24">
        <f>ROUND(K427*G428, 4)</f>
        <v/>
      </c>
      <c r="L428" s="24" t="inlineStr"/>
      <c r="M428" s="24" t="inlineStr"/>
      <c r="N428" s="24" t="inlineStr"/>
      <c r="O428" s="1" t="inlineStr">
        <is>
          <t>8% Khoản 4.4 TT20</t>
        </is>
      </c>
    </row>
    <row r="429">
      <c r="A429" s="21">
        <f>'Công trình'!A54</f>
        <v/>
      </c>
      <c r="B429" s="21">
        <f>'Công trình'!C54</f>
        <v/>
      </c>
      <c r="C429" s="21" t="inlineStr"/>
      <c r="D429" s="22">
        <f>'Công trình'!D54</f>
        <v/>
      </c>
      <c r="E429" s="21">
        <f>'Công trình'!E54</f>
        <v/>
      </c>
      <c r="F429" s="21">
        <f>'Công trình'!L54</f>
        <v/>
      </c>
      <c r="G429" s="23" t="inlineStr"/>
      <c r="H429" s="23" t="inlineStr"/>
      <c r="I429" s="23" t="inlineStr"/>
      <c r="J429" s="23" t="inlineStr"/>
      <c r="K429" s="23" t="inlineStr"/>
      <c r="L429" s="23" t="inlineStr"/>
      <c r="M429" s="23" t="inlineStr"/>
      <c r="N429" s="23" t="inlineStr"/>
      <c r="O429" s="21" t="inlineStr">
        <is>
          <t>PAKT &amp; Định mức TT20</t>
        </is>
      </c>
    </row>
    <row r="430">
      <c r="A430" s="1" t="inlineStr"/>
      <c r="B430" s="1" t="inlineStr">
        <is>
          <t>NC_LDKT</t>
        </is>
      </c>
      <c r="C430" s="1" t="inlineStr">
        <is>
          <t>LĐKT</t>
        </is>
      </c>
      <c r="D430" s="1" t="inlineStr">
        <is>
          <t xml:space="preserve"> - Kỹ sư / Kiểm định viên / Quan trắc viên</t>
        </is>
      </c>
      <c r="E430" s="1" t="inlineStr">
        <is>
          <t>công</t>
        </is>
      </c>
      <c r="F430" s="1" t="inlineStr"/>
      <c r="G430" s="24" t="inlineStr"/>
      <c r="H430" s="24" t="n">
        <v>0.176</v>
      </c>
      <c r="I430" s="24" t="inlineStr"/>
      <c r="J430" s="24" t="inlineStr"/>
      <c r="K430" s="24" t="inlineStr"/>
      <c r="L430" s="24">
        <f>ROUND(F429*H430, 4)</f>
        <v/>
      </c>
      <c r="M430" s="24" t="inlineStr"/>
      <c r="N430" s="24" t="inlineStr"/>
      <c r="O430" s="1" t="inlineStr">
        <is>
          <t>TTLT 56/2015</t>
        </is>
      </c>
    </row>
    <row r="431">
      <c r="A431" s="1" t="inlineStr"/>
      <c r="B431" s="1" t="inlineStr">
        <is>
          <t>NC_LDPT</t>
        </is>
      </c>
      <c r="C431" s="1" t="inlineStr">
        <is>
          <t>LĐPT</t>
        </is>
      </c>
      <c r="D431" s="1" t="inlineStr">
        <is>
          <t xml:space="preserve"> - Lao động phổ thông phụ việc hiện trường</t>
        </is>
      </c>
      <c r="E431" s="1" t="inlineStr">
        <is>
          <t>công</t>
        </is>
      </c>
      <c r="F431" s="1" t="inlineStr"/>
      <c r="G431" s="24" t="inlineStr"/>
      <c r="H431" s="24" t="n">
        <v>0.044</v>
      </c>
      <c r="I431" s="24" t="inlineStr"/>
      <c r="J431" s="24" t="inlineStr"/>
      <c r="K431" s="24" t="inlineStr"/>
      <c r="L431" s="24">
        <f>ROUND(F429*H431, 4)</f>
        <v/>
      </c>
      <c r="M431" s="24" t="inlineStr"/>
      <c r="N431" s="24" t="inlineStr"/>
      <c r="O431" s="1" t="inlineStr">
        <is>
          <t>Hỗ trợ ngoại nghiệp</t>
        </is>
      </c>
    </row>
    <row r="432">
      <c r="A432" s="1" t="inlineStr"/>
      <c r="B432" s="1" t="inlineStr">
        <is>
          <t>CCDC_01</t>
        </is>
      </c>
      <c r="C432" s="1" t="inlineStr">
        <is>
          <t>CCDC</t>
        </is>
      </c>
      <c r="D432" s="1" t="inlineStr">
        <is>
          <t xml:space="preserve"> - Ca dụng cụ, thiết bị nhỏ đo đạc/lấy mẫu</t>
        </is>
      </c>
      <c r="E432" s="1" t="inlineStr">
        <is>
          <t>ca</t>
        </is>
      </c>
      <c r="F432" s="1" t="inlineStr"/>
      <c r="G432" s="24" t="inlineStr"/>
      <c r="H432" s="24" t="inlineStr"/>
      <c r="I432" s="24" t="n">
        <v>0.1</v>
      </c>
      <c r="J432" s="24" t="inlineStr"/>
      <c r="K432" s="24" t="inlineStr"/>
      <c r="L432" s="24" t="inlineStr"/>
      <c r="M432" s="24">
        <f>ROUND(F429*I432, 4)</f>
        <v/>
      </c>
      <c r="N432" s="24" t="inlineStr"/>
      <c r="O432" s="1" t="inlineStr">
        <is>
          <t>Khoản 4.2 TT20</t>
        </is>
      </c>
    </row>
    <row r="433">
      <c r="A433" s="1" t="inlineStr"/>
      <c r="B433" s="1" t="inlineStr">
        <is>
          <t>CCDC_PHU</t>
        </is>
      </c>
      <c r="C433" s="1" t="inlineStr">
        <is>
          <t>CCDC_PHỤ</t>
        </is>
      </c>
      <c r="D433" s="1" t="inlineStr">
        <is>
          <t xml:space="preserve"> - Dụng cụ phụ khác (10% CCDC chính)</t>
        </is>
      </c>
      <c r="E433" s="1" t="inlineStr">
        <is>
          <t>%</t>
        </is>
      </c>
      <c r="F433" s="1" t="inlineStr"/>
      <c r="G433" s="24" t="inlineStr"/>
      <c r="H433" s="24" t="inlineStr"/>
      <c r="I433" s="24" t="n">
        <v>0.1</v>
      </c>
      <c r="J433" s="24" t="inlineStr"/>
      <c r="K433" s="24" t="inlineStr"/>
      <c r="L433" s="24" t="inlineStr"/>
      <c r="M433" s="24">
        <f>ROUND(M432*I433, 4)</f>
        <v/>
      </c>
      <c r="N433" s="24" t="inlineStr"/>
      <c r="O433" s="1" t="inlineStr">
        <is>
          <t>10% Khoản 4.2 TT20</t>
        </is>
      </c>
    </row>
    <row r="434">
      <c r="A434" s="1" t="inlineStr"/>
      <c r="B434" s="1" t="inlineStr">
        <is>
          <t>M_KHTSCD</t>
        </is>
      </c>
      <c r="C434" s="1" t="inlineStr">
        <is>
          <t>MÁY</t>
        </is>
      </c>
      <c r="D434" s="1" t="inlineStr">
        <is>
          <t xml:space="preserve"> - Khấu hao thiết bị quan trắc chuyên dụng</t>
        </is>
      </c>
      <c r="E434" s="1" t="inlineStr">
        <is>
          <t>ca</t>
        </is>
      </c>
      <c r="F434" s="1" t="inlineStr"/>
      <c r="G434" s="24" t="inlineStr"/>
      <c r="H434" s="24" t="inlineStr"/>
      <c r="I434" s="24" t="inlineStr"/>
      <c r="J434" s="24" t="n">
        <v>0.08</v>
      </c>
      <c r="K434" s="24" t="inlineStr"/>
      <c r="L434" s="24" t="inlineStr"/>
      <c r="M434" s="24" t="inlineStr"/>
      <c r="N434" s="24">
        <f>ROUND(F429*J434, 4)</f>
        <v/>
      </c>
      <c r="O434" s="1" t="inlineStr">
        <is>
          <t>TT 45/2013</t>
        </is>
      </c>
    </row>
    <row r="435">
      <c r="A435" s="1" t="inlineStr"/>
      <c r="B435" s="1" t="inlineStr">
        <is>
          <t>M_NANGLUONG</t>
        </is>
      </c>
      <c r="C435" s="1" t="inlineStr">
        <is>
          <t>ĐIỆN</t>
        </is>
      </c>
      <c r="D435" s="1" t="inlineStr">
        <is>
          <t xml:space="preserve"> - Năng lượng điện vận hành thiết bị PTN</t>
        </is>
      </c>
      <c r="E435" s="1" t="inlineStr">
        <is>
          <t>kWh</t>
        </is>
      </c>
      <c r="F435" s="1" t="inlineStr"/>
      <c r="G435" s="24" t="inlineStr"/>
      <c r="H435" s="24" t="inlineStr"/>
      <c r="I435" s="24" t="inlineStr"/>
      <c r="J435" s="24" t="n">
        <v>0.5</v>
      </c>
      <c r="K435" s="24" t="inlineStr"/>
      <c r="L435" s="24" t="inlineStr"/>
      <c r="M435" s="24" t="inlineStr"/>
      <c r="N435" s="24">
        <f>ROUND(F429*J435, 4)</f>
        <v/>
      </c>
      <c r="O435" s="1" t="inlineStr">
        <is>
          <t>Điện năng PTN</t>
        </is>
      </c>
    </row>
    <row r="436">
      <c r="A436" s="1" t="inlineStr"/>
      <c r="B436" s="1" t="inlineStr">
        <is>
          <t>VL_01</t>
        </is>
      </c>
      <c r="C436" s="1" t="inlineStr">
        <is>
          <t>VL</t>
        </is>
      </c>
      <c r="D436" s="1" t="inlineStr">
        <is>
          <t xml:space="preserve"> - Hóa chất phân tích tinh khiết, màng lọc, chuẩn</t>
        </is>
      </c>
      <c r="E436" s="1" t="inlineStr">
        <is>
          <t>bộ</t>
        </is>
      </c>
      <c r="F436" s="1" t="inlineStr"/>
      <c r="G436" s="24" t="n">
        <v>0.04</v>
      </c>
      <c r="H436" s="24" t="inlineStr"/>
      <c r="I436" s="24" t="inlineStr"/>
      <c r="J436" s="24" t="inlineStr"/>
      <c r="K436" s="24">
        <f>ROUND(F429*G436, 4)</f>
        <v/>
      </c>
      <c r="L436" s="24" t="inlineStr"/>
      <c r="M436" s="24" t="inlineStr"/>
      <c r="N436" s="24" t="inlineStr"/>
      <c r="O436" s="1" t="inlineStr">
        <is>
          <t>Khoản 4.4 TT20</t>
        </is>
      </c>
    </row>
    <row r="437">
      <c r="A437" s="1" t="inlineStr"/>
      <c r="B437" s="1" t="inlineStr">
        <is>
          <t>VL_KHAC</t>
        </is>
      </c>
      <c r="C437" s="1" t="inlineStr">
        <is>
          <t>VL_PHỤ</t>
        </is>
      </c>
      <c r="D437" s="1" t="inlineStr">
        <is>
          <t xml:space="preserve"> - Vật liệu phụ khác (8% vật liệu chính)</t>
        </is>
      </c>
      <c r="E437" s="1" t="inlineStr">
        <is>
          <t>%</t>
        </is>
      </c>
      <c r="F437" s="1" t="inlineStr"/>
      <c r="G437" s="24" t="n">
        <v>0.08</v>
      </c>
      <c r="H437" s="24" t="inlineStr"/>
      <c r="I437" s="24" t="inlineStr"/>
      <c r="J437" s="24" t="inlineStr"/>
      <c r="K437" s="24">
        <f>ROUND(K436*G437, 4)</f>
        <v/>
      </c>
      <c r="L437" s="24" t="inlineStr"/>
      <c r="M437" s="24" t="inlineStr"/>
      <c r="N437" s="24" t="inlineStr"/>
      <c r="O437" s="1" t="inlineStr">
        <is>
          <t>8% Khoản 4.4 TT20</t>
        </is>
      </c>
    </row>
    <row r="438">
      <c r="A438" s="21">
        <f>'Công trình'!A55</f>
        <v/>
      </c>
      <c r="B438" s="21">
        <f>'Công trình'!C55</f>
        <v/>
      </c>
      <c r="C438" s="21" t="inlineStr"/>
      <c r="D438" s="22">
        <f>'Công trình'!D55</f>
        <v/>
      </c>
      <c r="E438" s="21">
        <f>'Công trình'!E55</f>
        <v/>
      </c>
      <c r="F438" s="21">
        <f>'Công trình'!L55</f>
        <v/>
      </c>
      <c r="G438" s="23" t="inlineStr"/>
      <c r="H438" s="23" t="inlineStr"/>
      <c r="I438" s="23" t="inlineStr"/>
      <c r="J438" s="23" t="inlineStr"/>
      <c r="K438" s="23" t="inlineStr"/>
      <c r="L438" s="23" t="inlineStr"/>
      <c r="M438" s="23" t="inlineStr"/>
      <c r="N438" s="23" t="inlineStr"/>
      <c r="O438" s="21" t="inlineStr">
        <is>
          <t>PAKT &amp; Định mức TT20</t>
        </is>
      </c>
    </row>
    <row r="439">
      <c r="A439" s="1" t="inlineStr"/>
      <c r="B439" s="1" t="inlineStr">
        <is>
          <t>NC_LDKT</t>
        </is>
      </c>
      <c r="C439" s="1" t="inlineStr">
        <is>
          <t>LĐKT</t>
        </is>
      </c>
      <c r="D439" s="1" t="inlineStr">
        <is>
          <t xml:space="preserve"> - Kỹ sư / Kiểm định viên / Quan trắc viên</t>
        </is>
      </c>
      <c r="E439" s="1" t="inlineStr">
        <is>
          <t>công</t>
        </is>
      </c>
      <c r="F439" s="1" t="inlineStr"/>
      <c r="G439" s="24" t="inlineStr"/>
      <c r="H439" s="24" t="n">
        <v>0.176</v>
      </c>
      <c r="I439" s="24" t="inlineStr"/>
      <c r="J439" s="24" t="inlineStr"/>
      <c r="K439" s="24" t="inlineStr"/>
      <c r="L439" s="24">
        <f>ROUND(F438*H439, 4)</f>
        <v/>
      </c>
      <c r="M439" s="24" t="inlineStr"/>
      <c r="N439" s="24" t="inlineStr"/>
      <c r="O439" s="1" t="inlineStr">
        <is>
          <t>TTLT 56/2015</t>
        </is>
      </c>
    </row>
    <row r="440">
      <c r="A440" s="1" t="inlineStr"/>
      <c r="B440" s="1" t="inlineStr">
        <is>
          <t>NC_LDPT</t>
        </is>
      </c>
      <c r="C440" s="1" t="inlineStr">
        <is>
          <t>LĐPT</t>
        </is>
      </c>
      <c r="D440" s="1" t="inlineStr">
        <is>
          <t xml:space="preserve"> - Lao động phổ thông phụ việc hiện trường</t>
        </is>
      </c>
      <c r="E440" s="1" t="inlineStr">
        <is>
          <t>công</t>
        </is>
      </c>
      <c r="F440" s="1" t="inlineStr"/>
      <c r="G440" s="24" t="inlineStr"/>
      <c r="H440" s="24" t="n">
        <v>0.044</v>
      </c>
      <c r="I440" s="24" t="inlineStr"/>
      <c r="J440" s="24" t="inlineStr"/>
      <c r="K440" s="24" t="inlineStr"/>
      <c r="L440" s="24">
        <f>ROUND(F438*H440, 4)</f>
        <v/>
      </c>
      <c r="M440" s="24" t="inlineStr"/>
      <c r="N440" s="24" t="inlineStr"/>
      <c r="O440" s="1" t="inlineStr">
        <is>
          <t>Hỗ trợ ngoại nghiệp</t>
        </is>
      </c>
    </row>
    <row r="441">
      <c r="A441" s="1" t="inlineStr"/>
      <c r="B441" s="1" t="inlineStr">
        <is>
          <t>CCDC_01</t>
        </is>
      </c>
      <c r="C441" s="1" t="inlineStr">
        <is>
          <t>CCDC</t>
        </is>
      </c>
      <c r="D441" s="1" t="inlineStr">
        <is>
          <t xml:space="preserve"> - Ca dụng cụ, thiết bị nhỏ đo đạc/lấy mẫu</t>
        </is>
      </c>
      <c r="E441" s="1" t="inlineStr">
        <is>
          <t>ca</t>
        </is>
      </c>
      <c r="F441" s="1" t="inlineStr"/>
      <c r="G441" s="24" t="inlineStr"/>
      <c r="H441" s="24" t="inlineStr"/>
      <c r="I441" s="24" t="n">
        <v>0.1</v>
      </c>
      <c r="J441" s="24" t="inlineStr"/>
      <c r="K441" s="24" t="inlineStr"/>
      <c r="L441" s="24" t="inlineStr"/>
      <c r="M441" s="24">
        <f>ROUND(F438*I441, 4)</f>
        <v/>
      </c>
      <c r="N441" s="24" t="inlineStr"/>
      <c r="O441" s="1" t="inlineStr">
        <is>
          <t>Khoản 4.2 TT20</t>
        </is>
      </c>
    </row>
    <row r="442">
      <c r="A442" s="1" t="inlineStr"/>
      <c r="B442" s="1" t="inlineStr">
        <is>
          <t>CCDC_PHU</t>
        </is>
      </c>
      <c r="C442" s="1" t="inlineStr">
        <is>
          <t>CCDC_PHỤ</t>
        </is>
      </c>
      <c r="D442" s="1" t="inlineStr">
        <is>
          <t xml:space="preserve"> - Dụng cụ phụ khác (10% CCDC chính)</t>
        </is>
      </c>
      <c r="E442" s="1" t="inlineStr">
        <is>
          <t>%</t>
        </is>
      </c>
      <c r="F442" s="1" t="inlineStr"/>
      <c r="G442" s="24" t="inlineStr"/>
      <c r="H442" s="24" t="inlineStr"/>
      <c r="I442" s="24" t="n">
        <v>0.1</v>
      </c>
      <c r="J442" s="24" t="inlineStr"/>
      <c r="K442" s="24" t="inlineStr"/>
      <c r="L442" s="24" t="inlineStr"/>
      <c r="M442" s="24">
        <f>ROUND(M441*I442, 4)</f>
        <v/>
      </c>
      <c r="N442" s="24" t="inlineStr"/>
      <c r="O442" s="1" t="inlineStr">
        <is>
          <t>10% Khoản 4.2 TT20</t>
        </is>
      </c>
    </row>
    <row r="443">
      <c r="A443" s="1" t="inlineStr"/>
      <c r="B443" s="1" t="inlineStr">
        <is>
          <t>M_KHTSCD</t>
        </is>
      </c>
      <c r="C443" s="1" t="inlineStr">
        <is>
          <t>MÁY</t>
        </is>
      </c>
      <c r="D443" s="1" t="inlineStr">
        <is>
          <t xml:space="preserve"> - Khấu hao thiết bị quan trắc chuyên dụng</t>
        </is>
      </c>
      <c r="E443" s="1" t="inlineStr">
        <is>
          <t>ca</t>
        </is>
      </c>
      <c r="F443" s="1" t="inlineStr"/>
      <c r="G443" s="24" t="inlineStr"/>
      <c r="H443" s="24" t="inlineStr"/>
      <c r="I443" s="24" t="inlineStr"/>
      <c r="J443" s="24" t="n">
        <v>0.08</v>
      </c>
      <c r="K443" s="24" t="inlineStr"/>
      <c r="L443" s="24" t="inlineStr"/>
      <c r="M443" s="24" t="inlineStr"/>
      <c r="N443" s="24">
        <f>ROUND(F438*J443, 4)</f>
        <v/>
      </c>
      <c r="O443" s="1" t="inlineStr">
        <is>
          <t>TT 45/2013</t>
        </is>
      </c>
    </row>
    <row r="444">
      <c r="A444" s="1" t="inlineStr"/>
      <c r="B444" s="1" t="inlineStr">
        <is>
          <t>M_NANGLUONG</t>
        </is>
      </c>
      <c r="C444" s="1" t="inlineStr">
        <is>
          <t>ĐIỆN</t>
        </is>
      </c>
      <c r="D444" s="1" t="inlineStr">
        <is>
          <t xml:space="preserve"> - Năng lượng điện vận hành thiết bị PTN</t>
        </is>
      </c>
      <c r="E444" s="1" t="inlineStr">
        <is>
          <t>kWh</t>
        </is>
      </c>
      <c r="F444" s="1" t="inlineStr"/>
      <c r="G444" s="24" t="inlineStr"/>
      <c r="H444" s="24" t="inlineStr"/>
      <c r="I444" s="24" t="inlineStr"/>
      <c r="J444" s="24" t="n">
        <v>0.5</v>
      </c>
      <c r="K444" s="24" t="inlineStr"/>
      <c r="L444" s="24" t="inlineStr"/>
      <c r="M444" s="24" t="inlineStr"/>
      <c r="N444" s="24">
        <f>ROUND(F438*J444, 4)</f>
        <v/>
      </c>
      <c r="O444" s="1" t="inlineStr">
        <is>
          <t>Điện năng PTN</t>
        </is>
      </c>
    </row>
    <row r="445">
      <c r="A445" s="1" t="inlineStr"/>
      <c r="B445" s="1" t="inlineStr">
        <is>
          <t>VL_01</t>
        </is>
      </c>
      <c r="C445" s="1" t="inlineStr">
        <is>
          <t>VL</t>
        </is>
      </c>
      <c r="D445" s="1" t="inlineStr">
        <is>
          <t xml:space="preserve"> - Hóa chất phân tích tinh khiết, màng lọc, chuẩn</t>
        </is>
      </c>
      <c r="E445" s="1" t="inlineStr">
        <is>
          <t>bộ</t>
        </is>
      </c>
      <c r="F445" s="1" t="inlineStr"/>
      <c r="G445" s="24" t="n">
        <v>0.04</v>
      </c>
      <c r="H445" s="24" t="inlineStr"/>
      <c r="I445" s="24" t="inlineStr"/>
      <c r="J445" s="24" t="inlineStr"/>
      <c r="K445" s="24">
        <f>ROUND(F438*G445, 4)</f>
        <v/>
      </c>
      <c r="L445" s="24" t="inlineStr"/>
      <c r="M445" s="24" t="inlineStr"/>
      <c r="N445" s="24" t="inlineStr"/>
      <c r="O445" s="1" t="inlineStr">
        <is>
          <t>Khoản 4.4 TT20</t>
        </is>
      </c>
    </row>
    <row r="446">
      <c r="A446" s="1" t="inlineStr"/>
      <c r="B446" s="1" t="inlineStr">
        <is>
          <t>VL_KHAC</t>
        </is>
      </c>
      <c r="C446" s="1" t="inlineStr">
        <is>
          <t>VL_PHỤ</t>
        </is>
      </c>
      <c r="D446" s="1" t="inlineStr">
        <is>
          <t xml:space="preserve"> - Vật liệu phụ khác (8% vật liệu chính)</t>
        </is>
      </c>
      <c r="E446" s="1" t="inlineStr">
        <is>
          <t>%</t>
        </is>
      </c>
      <c r="F446" s="1" t="inlineStr"/>
      <c r="G446" s="24" t="n">
        <v>0.08</v>
      </c>
      <c r="H446" s="24" t="inlineStr"/>
      <c r="I446" s="24" t="inlineStr"/>
      <c r="J446" s="24" t="inlineStr"/>
      <c r="K446" s="24">
        <f>ROUND(K445*G446, 4)</f>
        <v/>
      </c>
      <c r="L446" s="24" t="inlineStr"/>
      <c r="M446" s="24" t="inlineStr"/>
      <c r="N446" s="24" t="inlineStr"/>
      <c r="O446" s="1" t="inlineStr">
        <is>
          <t>8% Khoản 4.4 TT20</t>
        </is>
      </c>
    </row>
    <row r="447">
      <c r="A447" s="21">
        <f>'Công trình'!A56</f>
        <v/>
      </c>
      <c r="B447" s="21">
        <f>'Công trình'!C56</f>
        <v/>
      </c>
      <c r="C447" s="21" t="inlineStr"/>
      <c r="D447" s="22">
        <f>'Công trình'!D56</f>
        <v/>
      </c>
      <c r="E447" s="21">
        <f>'Công trình'!E56</f>
        <v/>
      </c>
      <c r="F447" s="21">
        <f>'Công trình'!L56</f>
        <v/>
      </c>
      <c r="G447" s="23" t="inlineStr"/>
      <c r="H447" s="23" t="inlineStr"/>
      <c r="I447" s="23" t="inlineStr"/>
      <c r="J447" s="23" t="inlineStr"/>
      <c r="K447" s="23" t="inlineStr"/>
      <c r="L447" s="23" t="inlineStr"/>
      <c r="M447" s="23" t="inlineStr"/>
      <c r="N447" s="23" t="inlineStr"/>
      <c r="O447" s="21" t="inlineStr">
        <is>
          <t>PAKT &amp; Định mức TT20</t>
        </is>
      </c>
    </row>
    <row r="448">
      <c r="A448" s="1" t="inlineStr"/>
      <c r="B448" s="1" t="inlineStr">
        <is>
          <t>NC_LDKT</t>
        </is>
      </c>
      <c r="C448" s="1" t="inlineStr">
        <is>
          <t>LĐKT</t>
        </is>
      </c>
      <c r="D448" s="1" t="inlineStr">
        <is>
          <t xml:space="preserve"> - Kỹ sư / Kiểm định viên / Quan trắc viên</t>
        </is>
      </c>
      <c r="E448" s="1" t="inlineStr">
        <is>
          <t>công</t>
        </is>
      </c>
      <c r="F448" s="1" t="inlineStr"/>
      <c r="G448" s="24" t="inlineStr"/>
      <c r="H448" s="24" t="n">
        <v>0.176</v>
      </c>
      <c r="I448" s="24" t="inlineStr"/>
      <c r="J448" s="24" t="inlineStr"/>
      <c r="K448" s="24" t="inlineStr"/>
      <c r="L448" s="24">
        <f>ROUND(F447*H448, 4)</f>
        <v/>
      </c>
      <c r="M448" s="24" t="inlineStr"/>
      <c r="N448" s="24" t="inlineStr"/>
      <c r="O448" s="1" t="inlineStr">
        <is>
          <t>TTLT 56/2015</t>
        </is>
      </c>
    </row>
    <row r="449">
      <c r="A449" s="1" t="inlineStr"/>
      <c r="B449" s="1" t="inlineStr">
        <is>
          <t>NC_LDPT</t>
        </is>
      </c>
      <c r="C449" s="1" t="inlineStr">
        <is>
          <t>LĐPT</t>
        </is>
      </c>
      <c r="D449" s="1" t="inlineStr">
        <is>
          <t xml:space="preserve"> - Lao động phổ thông phụ việc hiện trường</t>
        </is>
      </c>
      <c r="E449" s="1" t="inlineStr">
        <is>
          <t>công</t>
        </is>
      </c>
      <c r="F449" s="1" t="inlineStr"/>
      <c r="G449" s="24" t="inlineStr"/>
      <c r="H449" s="24" t="n">
        <v>0.044</v>
      </c>
      <c r="I449" s="24" t="inlineStr"/>
      <c r="J449" s="24" t="inlineStr"/>
      <c r="K449" s="24" t="inlineStr"/>
      <c r="L449" s="24">
        <f>ROUND(F447*H449, 4)</f>
        <v/>
      </c>
      <c r="M449" s="24" t="inlineStr"/>
      <c r="N449" s="24" t="inlineStr"/>
      <c r="O449" s="1" t="inlineStr">
        <is>
          <t>Hỗ trợ ngoại nghiệp</t>
        </is>
      </c>
    </row>
    <row r="450">
      <c r="A450" s="1" t="inlineStr"/>
      <c r="B450" s="1" t="inlineStr">
        <is>
          <t>CCDC_01</t>
        </is>
      </c>
      <c r="C450" s="1" t="inlineStr">
        <is>
          <t>CCDC</t>
        </is>
      </c>
      <c r="D450" s="1" t="inlineStr">
        <is>
          <t xml:space="preserve"> - Ca dụng cụ, thiết bị nhỏ đo đạc/lấy mẫu</t>
        </is>
      </c>
      <c r="E450" s="1" t="inlineStr">
        <is>
          <t>ca</t>
        </is>
      </c>
      <c r="F450" s="1" t="inlineStr"/>
      <c r="G450" s="24" t="inlineStr"/>
      <c r="H450" s="24" t="inlineStr"/>
      <c r="I450" s="24" t="n">
        <v>0.1</v>
      </c>
      <c r="J450" s="24" t="inlineStr"/>
      <c r="K450" s="24" t="inlineStr"/>
      <c r="L450" s="24" t="inlineStr"/>
      <c r="M450" s="24">
        <f>ROUND(F447*I450, 4)</f>
        <v/>
      </c>
      <c r="N450" s="24" t="inlineStr"/>
      <c r="O450" s="1" t="inlineStr">
        <is>
          <t>Khoản 4.2 TT20</t>
        </is>
      </c>
    </row>
    <row r="451">
      <c r="A451" s="1" t="inlineStr"/>
      <c r="B451" s="1" t="inlineStr">
        <is>
          <t>CCDC_PHU</t>
        </is>
      </c>
      <c r="C451" s="1" t="inlineStr">
        <is>
          <t>CCDC_PHỤ</t>
        </is>
      </c>
      <c r="D451" s="1" t="inlineStr">
        <is>
          <t xml:space="preserve"> - Dụng cụ phụ khác (10% CCDC chính)</t>
        </is>
      </c>
      <c r="E451" s="1" t="inlineStr">
        <is>
          <t>%</t>
        </is>
      </c>
      <c r="F451" s="1" t="inlineStr"/>
      <c r="G451" s="24" t="inlineStr"/>
      <c r="H451" s="24" t="inlineStr"/>
      <c r="I451" s="24" t="n">
        <v>0.1</v>
      </c>
      <c r="J451" s="24" t="inlineStr"/>
      <c r="K451" s="24" t="inlineStr"/>
      <c r="L451" s="24" t="inlineStr"/>
      <c r="M451" s="24">
        <f>ROUND(M450*I451, 4)</f>
        <v/>
      </c>
      <c r="N451" s="24" t="inlineStr"/>
      <c r="O451" s="1" t="inlineStr">
        <is>
          <t>10% Khoản 4.2 TT20</t>
        </is>
      </c>
    </row>
    <row r="452">
      <c r="A452" s="1" t="inlineStr"/>
      <c r="B452" s="1" t="inlineStr">
        <is>
          <t>M_KHTSCD</t>
        </is>
      </c>
      <c r="C452" s="1" t="inlineStr">
        <is>
          <t>MÁY</t>
        </is>
      </c>
      <c r="D452" s="1" t="inlineStr">
        <is>
          <t xml:space="preserve"> - Khấu hao thiết bị quan trắc chuyên dụng</t>
        </is>
      </c>
      <c r="E452" s="1" t="inlineStr">
        <is>
          <t>ca</t>
        </is>
      </c>
      <c r="F452" s="1" t="inlineStr"/>
      <c r="G452" s="24" t="inlineStr"/>
      <c r="H452" s="24" t="inlineStr"/>
      <c r="I452" s="24" t="inlineStr"/>
      <c r="J452" s="24" t="n">
        <v>0.08</v>
      </c>
      <c r="K452" s="24" t="inlineStr"/>
      <c r="L452" s="24" t="inlineStr"/>
      <c r="M452" s="24" t="inlineStr"/>
      <c r="N452" s="24">
        <f>ROUND(F447*J452, 4)</f>
        <v/>
      </c>
      <c r="O452" s="1" t="inlineStr">
        <is>
          <t>TT 45/2013</t>
        </is>
      </c>
    </row>
    <row r="453">
      <c r="A453" s="1" t="inlineStr"/>
      <c r="B453" s="1" t="inlineStr">
        <is>
          <t>M_NANGLUONG</t>
        </is>
      </c>
      <c r="C453" s="1" t="inlineStr">
        <is>
          <t>ĐIỆN</t>
        </is>
      </c>
      <c r="D453" s="1" t="inlineStr">
        <is>
          <t xml:space="preserve"> - Năng lượng điện vận hành thiết bị PTN</t>
        </is>
      </c>
      <c r="E453" s="1" t="inlineStr">
        <is>
          <t>kWh</t>
        </is>
      </c>
      <c r="F453" s="1" t="inlineStr"/>
      <c r="G453" s="24" t="inlineStr"/>
      <c r="H453" s="24" t="inlineStr"/>
      <c r="I453" s="24" t="inlineStr"/>
      <c r="J453" s="24" t="n">
        <v>0.5</v>
      </c>
      <c r="K453" s="24" t="inlineStr"/>
      <c r="L453" s="24" t="inlineStr"/>
      <c r="M453" s="24" t="inlineStr"/>
      <c r="N453" s="24">
        <f>ROUND(F447*J453, 4)</f>
        <v/>
      </c>
      <c r="O453" s="1" t="inlineStr">
        <is>
          <t>Điện năng PTN</t>
        </is>
      </c>
    </row>
    <row r="454">
      <c r="A454" s="1" t="inlineStr"/>
      <c r="B454" s="1" t="inlineStr">
        <is>
          <t>VL_01</t>
        </is>
      </c>
      <c r="C454" s="1" t="inlineStr">
        <is>
          <t>VL</t>
        </is>
      </c>
      <c r="D454" s="1" t="inlineStr">
        <is>
          <t xml:space="preserve"> - Hóa chất phân tích tinh khiết, màng lọc, chuẩn</t>
        </is>
      </c>
      <c r="E454" s="1" t="inlineStr">
        <is>
          <t>bộ</t>
        </is>
      </c>
      <c r="F454" s="1" t="inlineStr"/>
      <c r="G454" s="24" t="n">
        <v>0.04</v>
      </c>
      <c r="H454" s="24" t="inlineStr"/>
      <c r="I454" s="24" t="inlineStr"/>
      <c r="J454" s="24" t="inlineStr"/>
      <c r="K454" s="24">
        <f>ROUND(F447*G454, 4)</f>
        <v/>
      </c>
      <c r="L454" s="24" t="inlineStr"/>
      <c r="M454" s="24" t="inlineStr"/>
      <c r="N454" s="24" t="inlineStr"/>
      <c r="O454" s="1" t="inlineStr">
        <is>
          <t>Khoản 4.4 TT20</t>
        </is>
      </c>
    </row>
    <row r="455">
      <c r="A455" s="1" t="inlineStr"/>
      <c r="B455" s="1" t="inlineStr">
        <is>
          <t>VL_KHAC</t>
        </is>
      </c>
      <c r="C455" s="1" t="inlineStr">
        <is>
          <t>VL_PHỤ</t>
        </is>
      </c>
      <c r="D455" s="1" t="inlineStr">
        <is>
          <t xml:space="preserve"> - Vật liệu phụ khác (8% vật liệu chính)</t>
        </is>
      </c>
      <c r="E455" s="1" t="inlineStr">
        <is>
          <t>%</t>
        </is>
      </c>
      <c r="F455" s="1" t="inlineStr"/>
      <c r="G455" s="24" t="n">
        <v>0.08</v>
      </c>
      <c r="H455" s="24" t="inlineStr"/>
      <c r="I455" s="24" t="inlineStr"/>
      <c r="J455" s="24" t="inlineStr"/>
      <c r="K455" s="24">
        <f>ROUND(K454*G455, 4)</f>
        <v/>
      </c>
      <c r="L455" s="24" t="inlineStr"/>
      <c r="M455" s="24" t="inlineStr"/>
      <c r="N455" s="24" t="inlineStr"/>
      <c r="O455" s="1" t="inlineStr">
        <is>
          <t>8% Khoản 4.4 TT20</t>
        </is>
      </c>
    </row>
    <row r="456">
      <c r="A456" s="21">
        <f>'Công trình'!A57</f>
        <v/>
      </c>
      <c r="B456" s="21">
        <f>'Công trình'!C57</f>
        <v/>
      </c>
      <c r="C456" s="21" t="inlineStr"/>
      <c r="D456" s="22">
        <f>'Công trình'!D57</f>
        <v/>
      </c>
      <c r="E456" s="21">
        <f>'Công trình'!E57</f>
        <v/>
      </c>
      <c r="F456" s="21">
        <f>'Công trình'!L57</f>
        <v/>
      </c>
      <c r="G456" s="23" t="inlineStr"/>
      <c r="H456" s="23" t="inlineStr"/>
      <c r="I456" s="23" t="inlineStr"/>
      <c r="J456" s="23" t="inlineStr"/>
      <c r="K456" s="23" t="inlineStr"/>
      <c r="L456" s="23" t="inlineStr"/>
      <c r="M456" s="23" t="inlineStr"/>
      <c r="N456" s="23" t="inlineStr"/>
      <c r="O456" s="21" t="inlineStr">
        <is>
          <t>PAKT &amp; Định mức TT20</t>
        </is>
      </c>
    </row>
    <row r="457">
      <c r="A457" s="1" t="inlineStr"/>
      <c r="B457" s="1" t="inlineStr">
        <is>
          <t>NC_LDKT</t>
        </is>
      </c>
      <c r="C457" s="1" t="inlineStr">
        <is>
          <t>LĐKT</t>
        </is>
      </c>
      <c r="D457" s="1" t="inlineStr">
        <is>
          <t xml:space="preserve"> - Kỹ sư / Kiểm định viên / Quan trắc viên</t>
        </is>
      </c>
      <c r="E457" s="1" t="inlineStr">
        <is>
          <t>công</t>
        </is>
      </c>
      <c r="F457" s="1" t="inlineStr"/>
      <c r="G457" s="24" t="inlineStr"/>
      <c r="H457" s="24" t="n">
        <v>0.176</v>
      </c>
      <c r="I457" s="24" t="inlineStr"/>
      <c r="J457" s="24" t="inlineStr"/>
      <c r="K457" s="24" t="inlineStr"/>
      <c r="L457" s="24">
        <f>ROUND(F456*H457, 4)</f>
        <v/>
      </c>
      <c r="M457" s="24" t="inlineStr"/>
      <c r="N457" s="24" t="inlineStr"/>
      <c r="O457" s="1" t="inlineStr">
        <is>
          <t>TTLT 56/2015</t>
        </is>
      </c>
    </row>
    <row r="458">
      <c r="A458" s="1" t="inlineStr"/>
      <c r="B458" s="1" t="inlineStr">
        <is>
          <t>NC_LDPT</t>
        </is>
      </c>
      <c r="C458" s="1" t="inlineStr">
        <is>
          <t>LĐPT</t>
        </is>
      </c>
      <c r="D458" s="1" t="inlineStr">
        <is>
          <t xml:space="preserve"> - Lao động phổ thông phụ việc hiện trường</t>
        </is>
      </c>
      <c r="E458" s="1" t="inlineStr">
        <is>
          <t>công</t>
        </is>
      </c>
      <c r="F458" s="1" t="inlineStr"/>
      <c r="G458" s="24" t="inlineStr"/>
      <c r="H458" s="24" t="n">
        <v>0.044</v>
      </c>
      <c r="I458" s="24" t="inlineStr"/>
      <c r="J458" s="24" t="inlineStr"/>
      <c r="K458" s="24" t="inlineStr"/>
      <c r="L458" s="24">
        <f>ROUND(F456*H458, 4)</f>
        <v/>
      </c>
      <c r="M458" s="24" t="inlineStr"/>
      <c r="N458" s="24" t="inlineStr"/>
      <c r="O458" s="1" t="inlineStr">
        <is>
          <t>Hỗ trợ ngoại nghiệp</t>
        </is>
      </c>
    </row>
    <row r="459">
      <c r="A459" s="1" t="inlineStr"/>
      <c r="B459" s="1" t="inlineStr">
        <is>
          <t>CCDC_01</t>
        </is>
      </c>
      <c r="C459" s="1" t="inlineStr">
        <is>
          <t>CCDC</t>
        </is>
      </c>
      <c r="D459" s="1" t="inlineStr">
        <is>
          <t xml:space="preserve"> - Ca dụng cụ, thiết bị nhỏ đo đạc/lấy mẫu</t>
        </is>
      </c>
      <c r="E459" s="1" t="inlineStr">
        <is>
          <t>ca</t>
        </is>
      </c>
      <c r="F459" s="1" t="inlineStr"/>
      <c r="G459" s="24" t="inlineStr"/>
      <c r="H459" s="24" t="inlineStr"/>
      <c r="I459" s="24" t="n">
        <v>0.1</v>
      </c>
      <c r="J459" s="24" t="inlineStr"/>
      <c r="K459" s="24" t="inlineStr"/>
      <c r="L459" s="24" t="inlineStr"/>
      <c r="M459" s="24">
        <f>ROUND(F456*I459, 4)</f>
        <v/>
      </c>
      <c r="N459" s="24" t="inlineStr"/>
      <c r="O459" s="1" t="inlineStr">
        <is>
          <t>Khoản 4.2 TT20</t>
        </is>
      </c>
    </row>
    <row r="460">
      <c r="A460" s="1" t="inlineStr"/>
      <c r="B460" s="1" t="inlineStr">
        <is>
          <t>CCDC_PHU</t>
        </is>
      </c>
      <c r="C460" s="1" t="inlineStr">
        <is>
          <t>CCDC_PHỤ</t>
        </is>
      </c>
      <c r="D460" s="1" t="inlineStr">
        <is>
          <t xml:space="preserve"> - Dụng cụ phụ khác (10% CCDC chính)</t>
        </is>
      </c>
      <c r="E460" s="1" t="inlineStr">
        <is>
          <t>%</t>
        </is>
      </c>
      <c r="F460" s="1" t="inlineStr"/>
      <c r="G460" s="24" t="inlineStr"/>
      <c r="H460" s="24" t="inlineStr"/>
      <c r="I460" s="24" t="n">
        <v>0.1</v>
      </c>
      <c r="J460" s="24" t="inlineStr"/>
      <c r="K460" s="24" t="inlineStr"/>
      <c r="L460" s="24" t="inlineStr"/>
      <c r="M460" s="24">
        <f>ROUND(M459*I460, 4)</f>
        <v/>
      </c>
      <c r="N460" s="24" t="inlineStr"/>
      <c r="O460" s="1" t="inlineStr">
        <is>
          <t>10% Khoản 4.2 TT20</t>
        </is>
      </c>
    </row>
    <row r="461">
      <c r="A461" s="1" t="inlineStr"/>
      <c r="B461" s="1" t="inlineStr">
        <is>
          <t>M_KHTSCD</t>
        </is>
      </c>
      <c r="C461" s="1" t="inlineStr">
        <is>
          <t>MÁY</t>
        </is>
      </c>
      <c r="D461" s="1" t="inlineStr">
        <is>
          <t xml:space="preserve"> - Khấu hao thiết bị quan trắc chuyên dụng</t>
        </is>
      </c>
      <c r="E461" s="1" t="inlineStr">
        <is>
          <t>ca</t>
        </is>
      </c>
      <c r="F461" s="1" t="inlineStr"/>
      <c r="G461" s="24" t="inlineStr"/>
      <c r="H461" s="24" t="inlineStr"/>
      <c r="I461" s="24" t="inlineStr"/>
      <c r="J461" s="24" t="n">
        <v>0.08</v>
      </c>
      <c r="K461" s="24" t="inlineStr"/>
      <c r="L461" s="24" t="inlineStr"/>
      <c r="M461" s="24" t="inlineStr"/>
      <c r="N461" s="24">
        <f>ROUND(F456*J461, 4)</f>
        <v/>
      </c>
      <c r="O461" s="1" t="inlineStr">
        <is>
          <t>TT 45/2013</t>
        </is>
      </c>
    </row>
    <row r="462">
      <c r="A462" s="1" t="inlineStr"/>
      <c r="B462" s="1" t="inlineStr">
        <is>
          <t>M_NANGLUONG</t>
        </is>
      </c>
      <c r="C462" s="1" t="inlineStr">
        <is>
          <t>ĐIỆN</t>
        </is>
      </c>
      <c r="D462" s="1" t="inlineStr">
        <is>
          <t xml:space="preserve"> - Năng lượng điện vận hành thiết bị PTN</t>
        </is>
      </c>
      <c r="E462" s="1" t="inlineStr">
        <is>
          <t>kWh</t>
        </is>
      </c>
      <c r="F462" s="1" t="inlineStr"/>
      <c r="G462" s="24" t="inlineStr"/>
      <c r="H462" s="24" t="inlineStr"/>
      <c r="I462" s="24" t="inlineStr"/>
      <c r="J462" s="24" t="n">
        <v>0.5</v>
      </c>
      <c r="K462" s="24" t="inlineStr"/>
      <c r="L462" s="24" t="inlineStr"/>
      <c r="M462" s="24" t="inlineStr"/>
      <c r="N462" s="24">
        <f>ROUND(F456*J462, 4)</f>
        <v/>
      </c>
      <c r="O462" s="1" t="inlineStr">
        <is>
          <t>Điện năng PTN</t>
        </is>
      </c>
    </row>
    <row r="463">
      <c r="A463" s="1" t="inlineStr"/>
      <c r="B463" s="1" t="inlineStr">
        <is>
          <t>VL_01</t>
        </is>
      </c>
      <c r="C463" s="1" t="inlineStr">
        <is>
          <t>VL</t>
        </is>
      </c>
      <c r="D463" s="1" t="inlineStr">
        <is>
          <t xml:space="preserve"> - Hóa chất phân tích tinh khiết, màng lọc, chuẩn</t>
        </is>
      </c>
      <c r="E463" s="1" t="inlineStr">
        <is>
          <t>bộ</t>
        </is>
      </c>
      <c r="F463" s="1" t="inlineStr"/>
      <c r="G463" s="24" t="n">
        <v>0.04</v>
      </c>
      <c r="H463" s="24" t="inlineStr"/>
      <c r="I463" s="24" t="inlineStr"/>
      <c r="J463" s="24" t="inlineStr"/>
      <c r="K463" s="24">
        <f>ROUND(F456*G463, 4)</f>
        <v/>
      </c>
      <c r="L463" s="24" t="inlineStr"/>
      <c r="M463" s="24" t="inlineStr"/>
      <c r="N463" s="24" t="inlineStr"/>
      <c r="O463" s="1" t="inlineStr">
        <is>
          <t>Khoản 4.4 TT20</t>
        </is>
      </c>
    </row>
    <row r="464">
      <c r="A464" s="1" t="inlineStr"/>
      <c r="B464" s="1" t="inlineStr">
        <is>
          <t>VL_KHAC</t>
        </is>
      </c>
      <c r="C464" s="1" t="inlineStr">
        <is>
          <t>VL_PHỤ</t>
        </is>
      </c>
      <c r="D464" s="1" t="inlineStr">
        <is>
          <t xml:space="preserve"> - Vật liệu phụ khác (8% vật liệu chính)</t>
        </is>
      </c>
      <c r="E464" s="1" t="inlineStr">
        <is>
          <t>%</t>
        </is>
      </c>
      <c r="F464" s="1" t="inlineStr"/>
      <c r="G464" s="24" t="n">
        <v>0.08</v>
      </c>
      <c r="H464" s="24" t="inlineStr"/>
      <c r="I464" s="24" t="inlineStr"/>
      <c r="J464" s="24" t="inlineStr"/>
      <c r="K464" s="24">
        <f>ROUND(K463*G464, 4)</f>
        <v/>
      </c>
      <c r="L464" s="24" t="inlineStr"/>
      <c r="M464" s="24" t="inlineStr"/>
      <c r="N464" s="24" t="inlineStr"/>
      <c r="O464" s="1" t="inlineStr">
        <is>
          <t>8% Khoản 4.4 TT20</t>
        </is>
      </c>
    </row>
    <row r="465">
      <c r="A465" s="21">
        <f>'Công trình'!A58</f>
        <v/>
      </c>
      <c r="B465" s="21">
        <f>'Công trình'!C58</f>
        <v/>
      </c>
      <c r="C465" s="21" t="inlineStr"/>
      <c r="D465" s="22">
        <f>'Công trình'!D58</f>
        <v/>
      </c>
      <c r="E465" s="21">
        <f>'Công trình'!E58</f>
        <v/>
      </c>
      <c r="F465" s="21">
        <f>'Công trình'!L58</f>
        <v/>
      </c>
      <c r="G465" s="23" t="inlineStr"/>
      <c r="H465" s="23" t="inlineStr"/>
      <c r="I465" s="23" t="inlineStr"/>
      <c r="J465" s="23" t="inlineStr"/>
      <c r="K465" s="23" t="inlineStr"/>
      <c r="L465" s="23" t="inlineStr"/>
      <c r="M465" s="23" t="inlineStr"/>
      <c r="N465" s="23" t="inlineStr"/>
      <c r="O465" s="21" t="inlineStr">
        <is>
          <t>PAKT &amp; Định mức TT20</t>
        </is>
      </c>
    </row>
    <row r="466">
      <c r="A466" s="1" t="inlineStr"/>
      <c r="B466" s="1" t="inlineStr">
        <is>
          <t>NC_LDKT</t>
        </is>
      </c>
      <c r="C466" s="1" t="inlineStr">
        <is>
          <t>LĐKT</t>
        </is>
      </c>
      <c r="D466" s="1" t="inlineStr">
        <is>
          <t xml:space="preserve"> - Kỹ sư / Kiểm định viên / Quan trắc viên</t>
        </is>
      </c>
      <c r="E466" s="1" t="inlineStr">
        <is>
          <t>công</t>
        </is>
      </c>
      <c r="F466" s="1" t="inlineStr"/>
      <c r="G466" s="24" t="inlineStr"/>
      <c r="H466" s="24" t="n">
        <v>0.176</v>
      </c>
      <c r="I466" s="24" t="inlineStr"/>
      <c r="J466" s="24" t="inlineStr"/>
      <c r="K466" s="24" t="inlineStr"/>
      <c r="L466" s="24">
        <f>ROUND(F465*H466, 4)</f>
        <v/>
      </c>
      <c r="M466" s="24" t="inlineStr"/>
      <c r="N466" s="24" t="inlineStr"/>
      <c r="O466" s="1" t="inlineStr">
        <is>
          <t>TTLT 56/2015</t>
        </is>
      </c>
    </row>
    <row r="467">
      <c r="A467" s="1" t="inlineStr"/>
      <c r="B467" s="1" t="inlineStr">
        <is>
          <t>NC_LDPT</t>
        </is>
      </c>
      <c r="C467" s="1" t="inlineStr">
        <is>
          <t>LĐPT</t>
        </is>
      </c>
      <c r="D467" s="1" t="inlineStr">
        <is>
          <t xml:space="preserve"> - Lao động phổ thông phụ việc hiện trường</t>
        </is>
      </c>
      <c r="E467" s="1" t="inlineStr">
        <is>
          <t>công</t>
        </is>
      </c>
      <c r="F467" s="1" t="inlineStr"/>
      <c r="G467" s="24" t="inlineStr"/>
      <c r="H467" s="24" t="n">
        <v>0.044</v>
      </c>
      <c r="I467" s="24" t="inlineStr"/>
      <c r="J467" s="24" t="inlineStr"/>
      <c r="K467" s="24" t="inlineStr"/>
      <c r="L467" s="24">
        <f>ROUND(F465*H467, 4)</f>
        <v/>
      </c>
      <c r="M467" s="24" t="inlineStr"/>
      <c r="N467" s="24" t="inlineStr"/>
      <c r="O467" s="1" t="inlineStr">
        <is>
          <t>Hỗ trợ ngoại nghiệp</t>
        </is>
      </c>
    </row>
    <row r="468">
      <c r="A468" s="1" t="inlineStr"/>
      <c r="B468" s="1" t="inlineStr">
        <is>
          <t>CCDC_01</t>
        </is>
      </c>
      <c r="C468" s="1" t="inlineStr">
        <is>
          <t>CCDC</t>
        </is>
      </c>
      <c r="D468" s="1" t="inlineStr">
        <is>
          <t xml:space="preserve"> - Ca dụng cụ, thiết bị nhỏ đo đạc/lấy mẫu</t>
        </is>
      </c>
      <c r="E468" s="1" t="inlineStr">
        <is>
          <t>ca</t>
        </is>
      </c>
      <c r="F468" s="1" t="inlineStr"/>
      <c r="G468" s="24" t="inlineStr"/>
      <c r="H468" s="24" t="inlineStr"/>
      <c r="I468" s="24" t="n">
        <v>0.1</v>
      </c>
      <c r="J468" s="24" t="inlineStr"/>
      <c r="K468" s="24" t="inlineStr"/>
      <c r="L468" s="24" t="inlineStr"/>
      <c r="M468" s="24">
        <f>ROUND(F465*I468, 4)</f>
        <v/>
      </c>
      <c r="N468" s="24" t="inlineStr"/>
      <c r="O468" s="1" t="inlineStr">
        <is>
          <t>Khoản 4.2 TT20</t>
        </is>
      </c>
    </row>
    <row r="469">
      <c r="A469" s="1" t="inlineStr"/>
      <c r="B469" s="1" t="inlineStr">
        <is>
          <t>CCDC_PHU</t>
        </is>
      </c>
      <c r="C469" s="1" t="inlineStr">
        <is>
          <t>CCDC_PHỤ</t>
        </is>
      </c>
      <c r="D469" s="1" t="inlineStr">
        <is>
          <t xml:space="preserve"> - Dụng cụ phụ khác (10% CCDC chính)</t>
        </is>
      </c>
      <c r="E469" s="1" t="inlineStr">
        <is>
          <t>%</t>
        </is>
      </c>
      <c r="F469" s="1" t="inlineStr"/>
      <c r="G469" s="24" t="inlineStr"/>
      <c r="H469" s="24" t="inlineStr"/>
      <c r="I469" s="24" t="n">
        <v>0.1</v>
      </c>
      <c r="J469" s="24" t="inlineStr"/>
      <c r="K469" s="24" t="inlineStr"/>
      <c r="L469" s="24" t="inlineStr"/>
      <c r="M469" s="24">
        <f>ROUND(M468*I469, 4)</f>
        <v/>
      </c>
      <c r="N469" s="24" t="inlineStr"/>
      <c r="O469" s="1" t="inlineStr">
        <is>
          <t>10% Khoản 4.2 TT20</t>
        </is>
      </c>
    </row>
    <row r="470">
      <c r="A470" s="1" t="inlineStr"/>
      <c r="B470" s="1" t="inlineStr">
        <is>
          <t>M_KHTSCD</t>
        </is>
      </c>
      <c r="C470" s="1" t="inlineStr">
        <is>
          <t>MÁY</t>
        </is>
      </c>
      <c r="D470" s="1" t="inlineStr">
        <is>
          <t xml:space="preserve"> - Khấu hao thiết bị quan trắc chuyên dụng</t>
        </is>
      </c>
      <c r="E470" s="1" t="inlineStr">
        <is>
          <t>ca</t>
        </is>
      </c>
      <c r="F470" s="1" t="inlineStr"/>
      <c r="G470" s="24" t="inlineStr"/>
      <c r="H470" s="24" t="inlineStr"/>
      <c r="I470" s="24" t="inlineStr"/>
      <c r="J470" s="24" t="n">
        <v>0.08</v>
      </c>
      <c r="K470" s="24" t="inlineStr"/>
      <c r="L470" s="24" t="inlineStr"/>
      <c r="M470" s="24" t="inlineStr"/>
      <c r="N470" s="24">
        <f>ROUND(F465*J470, 4)</f>
        <v/>
      </c>
      <c r="O470" s="1" t="inlineStr">
        <is>
          <t>TT 45/2013</t>
        </is>
      </c>
    </row>
    <row r="471">
      <c r="A471" s="1" t="inlineStr"/>
      <c r="B471" s="1" t="inlineStr">
        <is>
          <t>M_NANGLUONG</t>
        </is>
      </c>
      <c r="C471" s="1" t="inlineStr">
        <is>
          <t>ĐIỆN</t>
        </is>
      </c>
      <c r="D471" s="1" t="inlineStr">
        <is>
          <t xml:space="preserve"> - Năng lượng điện vận hành thiết bị PTN</t>
        </is>
      </c>
      <c r="E471" s="1" t="inlineStr">
        <is>
          <t>kWh</t>
        </is>
      </c>
      <c r="F471" s="1" t="inlineStr"/>
      <c r="G471" s="24" t="inlineStr"/>
      <c r="H471" s="24" t="inlineStr"/>
      <c r="I471" s="24" t="inlineStr"/>
      <c r="J471" s="24" t="n">
        <v>0.5</v>
      </c>
      <c r="K471" s="24" t="inlineStr"/>
      <c r="L471" s="24" t="inlineStr"/>
      <c r="M471" s="24" t="inlineStr"/>
      <c r="N471" s="24">
        <f>ROUND(F465*J471, 4)</f>
        <v/>
      </c>
      <c r="O471" s="1" t="inlineStr">
        <is>
          <t>Điện năng PTN</t>
        </is>
      </c>
    </row>
    <row r="472">
      <c r="A472" s="1" t="inlineStr"/>
      <c r="B472" s="1" t="inlineStr">
        <is>
          <t>VL_01</t>
        </is>
      </c>
      <c r="C472" s="1" t="inlineStr">
        <is>
          <t>VL</t>
        </is>
      </c>
      <c r="D472" s="1" t="inlineStr">
        <is>
          <t xml:space="preserve"> - Hóa chất phân tích tinh khiết, màng lọc, chuẩn</t>
        </is>
      </c>
      <c r="E472" s="1" t="inlineStr">
        <is>
          <t>bộ</t>
        </is>
      </c>
      <c r="F472" s="1" t="inlineStr"/>
      <c r="G472" s="24" t="n">
        <v>0.04</v>
      </c>
      <c r="H472" s="24" t="inlineStr"/>
      <c r="I472" s="24" t="inlineStr"/>
      <c r="J472" s="24" t="inlineStr"/>
      <c r="K472" s="24">
        <f>ROUND(F465*G472, 4)</f>
        <v/>
      </c>
      <c r="L472" s="24" t="inlineStr"/>
      <c r="M472" s="24" t="inlineStr"/>
      <c r="N472" s="24" t="inlineStr"/>
      <c r="O472" s="1" t="inlineStr">
        <is>
          <t>Khoản 4.4 TT20</t>
        </is>
      </c>
    </row>
    <row r="473">
      <c r="A473" s="1" t="inlineStr"/>
      <c r="B473" s="1" t="inlineStr">
        <is>
          <t>VL_KHAC</t>
        </is>
      </c>
      <c r="C473" s="1" t="inlineStr">
        <is>
          <t>VL_PHỤ</t>
        </is>
      </c>
      <c r="D473" s="1" t="inlineStr">
        <is>
          <t xml:space="preserve"> - Vật liệu phụ khác (8% vật liệu chính)</t>
        </is>
      </c>
      <c r="E473" s="1" t="inlineStr">
        <is>
          <t>%</t>
        </is>
      </c>
      <c r="F473" s="1" t="inlineStr"/>
      <c r="G473" s="24" t="n">
        <v>0.08</v>
      </c>
      <c r="H473" s="24" t="inlineStr"/>
      <c r="I473" s="24" t="inlineStr"/>
      <c r="J473" s="24" t="inlineStr"/>
      <c r="K473" s="24">
        <f>ROUND(K472*G473, 4)</f>
        <v/>
      </c>
      <c r="L473" s="24" t="inlineStr"/>
      <c r="M473" s="24" t="inlineStr"/>
      <c r="N473" s="24" t="inlineStr"/>
      <c r="O473" s="1" t="inlineStr">
        <is>
          <t>8% Khoản 4.4 TT20</t>
        </is>
      </c>
    </row>
    <row r="474">
      <c r="A474" s="21">
        <f>'Công trình'!A59</f>
        <v/>
      </c>
      <c r="B474" s="21">
        <f>'Công trình'!C59</f>
        <v/>
      </c>
      <c r="C474" s="21" t="inlineStr"/>
      <c r="D474" s="22">
        <f>'Công trình'!D59</f>
        <v/>
      </c>
      <c r="E474" s="21">
        <f>'Công trình'!E59</f>
        <v/>
      </c>
      <c r="F474" s="21">
        <f>'Công trình'!L59</f>
        <v/>
      </c>
      <c r="G474" s="23" t="inlineStr"/>
      <c r="H474" s="23" t="inlineStr"/>
      <c r="I474" s="23" t="inlineStr"/>
      <c r="J474" s="23" t="inlineStr"/>
      <c r="K474" s="23" t="inlineStr"/>
      <c r="L474" s="23" t="inlineStr"/>
      <c r="M474" s="23" t="inlineStr"/>
      <c r="N474" s="23" t="inlineStr"/>
      <c r="O474" s="21" t="inlineStr">
        <is>
          <t>PAKT &amp; Định mức TT20</t>
        </is>
      </c>
    </row>
    <row r="475">
      <c r="A475" s="1" t="inlineStr"/>
      <c r="B475" s="1" t="inlineStr">
        <is>
          <t>NC_LDKT</t>
        </is>
      </c>
      <c r="C475" s="1" t="inlineStr">
        <is>
          <t>LĐKT</t>
        </is>
      </c>
      <c r="D475" s="1" t="inlineStr">
        <is>
          <t xml:space="preserve"> - Kỹ sư / Kiểm định viên / Quan trắc viên</t>
        </is>
      </c>
      <c r="E475" s="1" t="inlineStr">
        <is>
          <t>công</t>
        </is>
      </c>
      <c r="F475" s="1" t="inlineStr"/>
      <c r="G475" s="24" t="inlineStr"/>
      <c r="H475" s="24" t="n">
        <v>0.176</v>
      </c>
      <c r="I475" s="24" t="inlineStr"/>
      <c r="J475" s="24" t="inlineStr"/>
      <c r="K475" s="24" t="inlineStr"/>
      <c r="L475" s="24">
        <f>ROUND(F474*H475, 4)</f>
        <v/>
      </c>
      <c r="M475" s="24" t="inlineStr"/>
      <c r="N475" s="24" t="inlineStr"/>
      <c r="O475" s="1" t="inlineStr">
        <is>
          <t>TTLT 56/2015</t>
        </is>
      </c>
    </row>
    <row r="476">
      <c r="A476" s="1" t="inlineStr"/>
      <c r="B476" s="1" t="inlineStr">
        <is>
          <t>NC_LDPT</t>
        </is>
      </c>
      <c r="C476" s="1" t="inlineStr">
        <is>
          <t>LĐPT</t>
        </is>
      </c>
      <c r="D476" s="1" t="inlineStr">
        <is>
          <t xml:space="preserve"> - Lao động phổ thông phụ việc hiện trường</t>
        </is>
      </c>
      <c r="E476" s="1" t="inlineStr">
        <is>
          <t>công</t>
        </is>
      </c>
      <c r="F476" s="1" t="inlineStr"/>
      <c r="G476" s="24" t="inlineStr"/>
      <c r="H476" s="24" t="n">
        <v>0.044</v>
      </c>
      <c r="I476" s="24" t="inlineStr"/>
      <c r="J476" s="24" t="inlineStr"/>
      <c r="K476" s="24" t="inlineStr"/>
      <c r="L476" s="24">
        <f>ROUND(F474*H476, 4)</f>
        <v/>
      </c>
      <c r="M476" s="24" t="inlineStr"/>
      <c r="N476" s="24" t="inlineStr"/>
      <c r="O476" s="1" t="inlineStr">
        <is>
          <t>Hỗ trợ ngoại nghiệp</t>
        </is>
      </c>
    </row>
    <row r="477">
      <c r="A477" s="1" t="inlineStr"/>
      <c r="B477" s="1" t="inlineStr">
        <is>
          <t>CCDC_01</t>
        </is>
      </c>
      <c r="C477" s="1" t="inlineStr">
        <is>
          <t>CCDC</t>
        </is>
      </c>
      <c r="D477" s="1" t="inlineStr">
        <is>
          <t xml:space="preserve"> - Ca dụng cụ, thiết bị nhỏ đo đạc/lấy mẫu</t>
        </is>
      </c>
      <c r="E477" s="1" t="inlineStr">
        <is>
          <t>ca</t>
        </is>
      </c>
      <c r="F477" s="1" t="inlineStr"/>
      <c r="G477" s="24" t="inlineStr"/>
      <c r="H477" s="24" t="inlineStr"/>
      <c r="I477" s="24" t="n">
        <v>0.1</v>
      </c>
      <c r="J477" s="24" t="inlineStr"/>
      <c r="K477" s="24" t="inlineStr"/>
      <c r="L477" s="24" t="inlineStr"/>
      <c r="M477" s="24">
        <f>ROUND(F474*I477, 4)</f>
        <v/>
      </c>
      <c r="N477" s="24" t="inlineStr"/>
      <c r="O477" s="1" t="inlineStr">
        <is>
          <t>Khoản 4.2 TT20</t>
        </is>
      </c>
    </row>
    <row r="478">
      <c r="A478" s="1" t="inlineStr"/>
      <c r="B478" s="1" t="inlineStr">
        <is>
          <t>CCDC_PHU</t>
        </is>
      </c>
      <c r="C478" s="1" t="inlineStr">
        <is>
          <t>CCDC_PHỤ</t>
        </is>
      </c>
      <c r="D478" s="1" t="inlineStr">
        <is>
          <t xml:space="preserve"> - Dụng cụ phụ khác (10% CCDC chính)</t>
        </is>
      </c>
      <c r="E478" s="1" t="inlineStr">
        <is>
          <t>%</t>
        </is>
      </c>
      <c r="F478" s="1" t="inlineStr"/>
      <c r="G478" s="24" t="inlineStr"/>
      <c r="H478" s="24" t="inlineStr"/>
      <c r="I478" s="24" t="n">
        <v>0.1</v>
      </c>
      <c r="J478" s="24" t="inlineStr"/>
      <c r="K478" s="24" t="inlineStr"/>
      <c r="L478" s="24" t="inlineStr"/>
      <c r="M478" s="24">
        <f>ROUND(M477*I478, 4)</f>
        <v/>
      </c>
      <c r="N478" s="24" t="inlineStr"/>
      <c r="O478" s="1" t="inlineStr">
        <is>
          <t>10% Khoản 4.2 TT20</t>
        </is>
      </c>
    </row>
    <row r="479">
      <c r="A479" s="1" t="inlineStr"/>
      <c r="B479" s="1" t="inlineStr">
        <is>
          <t>M_KHTSCD</t>
        </is>
      </c>
      <c r="C479" s="1" t="inlineStr">
        <is>
          <t>MÁY</t>
        </is>
      </c>
      <c r="D479" s="1" t="inlineStr">
        <is>
          <t xml:space="preserve"> - Khấu hao thiết bị quan trắc chuyên dụng</t>
        </is>
      </c>
      <c r="E479" s="1" t="inlineStr">
        <is>
          <t>ca</t>
        </is>
      </c>
      <c r="F479" s="1" t="inlineStr"/>
      <c r="G479" s="24" t="inlineStr"/>
      <c r="H479" s="24" t="inlineStr"/>
      <c r="I479" s="24" t="inlineStr"/>
      <c r="J479" s="24" t="n">
        <v>0.08</v>
      </c>
      <c r="K479" s="24" t="inlineStr"/>
      <c r="L479" s="24" t="inlineStr"/>
      <c r="M479" s="24" t="inlineStr"/>
      <c r="N479" s="24">
        <f>ROUND(F474*J479, 4)</f>
        <v/>
      </c>
      <c r="O479" s="1" t="inlineStr">
        <is>
          <t>TT 45/2013</t>
        </is>
      </c>
    </row>
    <row r="480">
      <c r="A480" s="1" t="inlineStr"/>
      <c r="B480" s="1" t="inlineStr">
        <is>
          <t>M_NANGLUONG</t>
        </is>
      </c>
      <c r="C480" s="1" t="inlineStr">
        <is>
          <t>ĐIỆN</t>
        </is>
      </c>
      <c r="D480" s="1" t="inlineStr">
        <is>
          <t xml:space="preserve"> - Năng lượng điện vận hành thiết bị PTN</t>
        </is>
      </c>
      <c r="E480" s="1" t="inlineStr">
        <is>
          <t>kWh</t>
        </is>
      </c>
      <c r="F480" s="1" t="inlineStr"/>
      <c r="G480" s="24" t="inlineStr"/>
      <c r="H480" s="24" t="inlineStr"/>
      <c r="I480" s="24" t="inlineStr"/>
      <c r="J480" s="24" t="n">
        <v>0.5</v>
      </c>
      <c r="K480" s="24" t="inlineStr"/>
      <c r="L480" s="24" t="inlineStr"/>
      <c r="M480" s="24" t="inlineStr"/>
      <c r="N480" s="24">
        <f>ROUND(F474*J480, 4)</f>
        <v/>
      </c>
      <c r="O480" s="1" t="inlineStr">
        <is>
          <t>Điện năng PTN</t>
        </is>
      </c>
    </row>
    <row r="481">
      <c r="A481" s="1" t="inlineStr"/>
      <c r="B481" s="1" t="inlineStr">
        <is>
          <t>VL_01</t>
        </is>
      </c>
      <c r="C481" s="1" t="inlineStr">
        <is>
          <t>VL</t>
        </is>
      </c>
      <c r="D481" s="1" t="inlineStr">
        <is>
          <t xml:space="preserve"> - Hóa chất phân tích tinh khiết, màng lọc, chuẩn</t>
        </is>
      </c>
      <c r="E481" s="1" t="inlineStr">
        <is>
          <t>bộ</t>
        </is>
      </c>
      <c r="F481" s="1" t="inlineStr"/>
      <c r="G481" s="24" t="n">
        <v>0.04</v>
      </c>
      <c r="H481" s="24" t="inlineStr"/>
      <c r="I481" s="24" t="inlineStr"/>
      <c r="J481" s="24" t="inlineStr"/>
      <c r="K481" s="24">
        <f>ROUND(F474*G481, 4)</f>
        <v/>
      </c>
      <c r="L481" s="24" t="inlineStr"/>
      <c r="M481" s="24" t="inlineStr"/>
      <c r="N481" s="24" t="inlineStr"/>
      <c r="O481" s="1" t="inlineStr">
        <is>
          <t>Khoản 4.4 TT20</t>
        </is>
      </c>
    </row>
    <row r="482">
      <c r="A482" s="1" t="inlineStr"/>
      <c r="B482" s="1" t="inlineStr">
        <is>
          <t>VL_KHAC</t>
        </is>
      </c>
      <c r="C482" s="1" t="inlineStr">
        <is>
          <t>VL_PHỤ</t>
        </is>
      </c>
      <c r="D482" s="1" t="inlineStr">
        <is>
          <t xml:space="preserve"> - Vật liệu phụ khác (8% vật liệu chính)</t>
        </is>
      </c>
      <c r="E482" s="1" t="inlineStr">
        <is>
          <t>%</t>
        </is>
      </c>
      <c r="F482" s="1" t="inlineStr"/>
      <c r="G482" s="24" t="n">
        <v>0.08</v>
      </c>
      <c r="H482" s="24" t="inlineStr"/>
      <c r="I482" s="24" t="inlineStr"/>
      <c r="J482" s="24" t="inlineStr"/>
      <c r="K482" s="24">
        <f>ROUND(K481*G482, 4)</f>
        <v/>
      </c>
      <c r="L482" s="24" t="inlineStr"/>
      <c r="M482" s="24" t="inlineStr"/>
      <c r="N482" s="24" t="inlineStr"/>
      <c r="O482" s="1" t="inlineStr">
        <is>
          <t>8% Khoản 4.4 TT20</t>
        </is>
      </c>
    </row>
    <row r="483">
      <c r="A483" s="21">
        <f>'Công trình'!A60</f>
        <v/>
      </c>
      <c r="B483" s="21">
        <f>'Công trình'!C60</f>
        <v/>
      </c>
      <c r="C483" s="21" t="inlineStr"/>
      <c r="D483" s="22">
        <f>'Công trình'!D60</f>
        <v/>
      </c>
      <c r="E483" s="21">
        <f>'Công trình'!E60</f>
        <v/>
      </c>
      <c r="F483" s="21">
        <f>'Công trình'!L60</f>
        <v/>
      </c>
      <c r="G483" s="23" t="inlineStr"/>
      <c r="H483" s="23" t="inlineStr"/>
      <c r="I483" s="23" t="inlineStr"/>
      <c r="J483" s="23" t="inlineStr"/>
      <c r="K483" s="23" t="inlineStr"/>
      <c r="L483" s="23" t="inlineStr"/>
      <c r="M483" s="23" t="inlineStr"/>
      <c r="N483" s="23" t="inlineStr"/>
      <c r="O483" s="21" t="inlineStr">
        <is>
          <t>PAKT &amp; Định mức TT20</t>
        </is>
      </c>
    </row>
    <row r="484">
      <c r="A484" s="1" t="inlineStr"/>
      <c r="B484" s="1" t="inlineStr">
        <is>
          <t>NC_LDKT</t>
        </is>
      </c>
      <c r="C484" s="1" t="inlineStr">
        <is>
          <t>LĐKT</t>
        </is>
      </c>
      <c r="D484" s="1" t="inlineStr">
        <is>
          <t xml:space="preserve"> - Kỹ sư / Kiểm định viên / Quan trắc viên</t>
        </is>
      </c>
      <c r="E484" s="1" t="inlineStr">
        <is>
          <t>công</t>
        </is>
      </c>
      <c r="F484" s="1" t="inlineStr"/>
      <c r="G484" s="24" t="inlineStr"/>
      <c r="H484" s="24" t="n">
        <v>0.176</v>
      </c>
      <c r="I484" s="24" t="inlineStr"/>
      <c r="J484" s="24" t="inlineStr"/>
      <c r="K484" s="24" t="inlineStr"/>
      <c r="L484" s="24">
        <f>ROUND(F483*H484, 4)</f>
        <v/>
      </c>
      <c r="M484" s="24" t="inlineStr"/>
      <c r="N484" s="24" t="inlineStr"/>
      <c r="O484" s="1" t="inlineStr">
        <is>
          <t>TTLT 56/2015</t>
        </is>
      </c>
    </row>
    <row r="485">
      <c r="A485" s="1" t="inlineStr"/>
      <c r="B485" s="1" t="inlineStr">
        <is>
          <t>NC_LDPT</t>
        </is>
      </c>
      <c r="C485" s="1" t="inlineStr">
        <is>
          <t>LĐPT</t>
        </is>
      </c>
      <c r="D485" s="1" t="inlineStr">
        <is>
          <t xml:space="preserve"> - Lao động phổ thông phụ việc hiện trường</t>
        </is>
      </c>
      <c r="E485" s="1" t="inlineStr">
        <is>
          <t>công</t>
        </is>
      </c>
      <c r="F485" s="1" t="inlineStr"/>
      <c r="G485" s="24" t="inlineStr"/>
      <c r="H485" s="24" t="n">
        <v>0.044</v>
      </c>
      <c r="I485" s="24" t="inlineStr"/>
      <c r="J485" s="24" t="inlineStr"/>
      <c r="K485" s="24" t="inlineStr"/>
      <c r="L485" s="24">
        <f>ROUND(F483*H485, 4)</f>
        <v/>
      </c>
      <c r="M485" s="24" t="inlineStr"/>
      <c r="N485" s="24" t="inlineStr"/>
      <c r="O485" s="1" t="inlineStr">
        <is>
          <t>Hỗ trợ ngoại nghiệp</t>
        </is>
      </c>
    </row>
    <row r="486">
      <c r="A486" s="1" t="inlineStr"/>
      <c r="B486" s="1" t="inlineStr">
        <is>
          <t>CCDC_01</t>
        </is>
      </c>
      <c r="C486" s="1" t="inlineStr">
        <is>
          <t>CCDC</t>
        </is>
      </c>
      <c r="D486" s="1" t="inlineStr">
        <is>
          <t xml:space="preserve"> - Ca dụng cụ, thiết bị nhỏ đo đạc/lấy mẫu</t>
        </is>
      </c>
      <c r="E486" s="1" t="inlineStr">
        <is>
          <t>ca</t>
        </is>
      </c>
      <c r="F486" s="1" t="inlineStr"/>
      <c r="G486" s="24" t="inlineStr"/>
      <c r="H486" s="24" t="inlineStr"/>
      <c r="I486" s="24" t="n">
        <v>0.1</v>
      </c>
      <c r="J486" s="24" t="inlineStr"/>
      <c r="K486" s="24" t="inlineStr"/>
      <c r="L486" s="24" t="inlineStr"/>
      <c r="M486" s="24">
        <f>ROUND(F483*I486, 4)</f>
        <v/>
      </c>
      <c r="N486" s="24" t="inlineStr"/>
      <c r="O486" s="1" t="inlineStr">
        <is>
          <t>Khoản 4.2 TT20</t>
        </is>
      </c>
    </row>
    <row r="487">
      <c r="A487" s="1" t="inlineStr"/>
      <c r="B487" s="1" t="inlineStr">
        <is>
          <t>CCDC_PHU</t>
        </is>
      </c>
      <c r="C487" s="1" t="inlineStr">
        <is>
          <t>CCDC_PHỤ</t>
        </is>
      </c>
      <c r="D487" s="1" t="inlineStr">
        <is>
          <t xml:space="preserve"> - Dụng cụ phụ khác (10% CCDC chính)</t>
        </is>
      </c>
      <c r="E487" s="1" t="inlineStr">
        <is>
          <t>%</t>
        </is>
      </c>
      <c r="F487" s="1" t="inlineStr"/>
      <c r="G487" s="24" t="inlineStr"/>
      <c r="H487" s="24" t="inlineStr"/>
      <c r="I487" s="24" t="n">
        <v>0.1</v>
      </c>
      <c r="J487" s="24" t="inlineStr"/>
      <c r="K487" s="24" t="inlineStr"/>
      <c r="L487" s="24" t="inlineStr"/>
      <c r="M487" s="24">
        <f>ROUND(M486*I487, 4)</f>
        <v/>
      </c>
      <c r="N487" s="24" t="inlineStr"/>
      <c r="O487" s="1" t="inlineStr">
        <is>
          <t>10% Khoản 4.2 TT20</t>
        </is>
      </c>
    </row>
    <row r="488">
      <c r="A488" s="1" t="inlineStr"/>
      <c r="B488" s="1" t="inlineStr">
        <is>
          <t>M_KHTSCD</t>
        </is>
      </c>
      <c r="C488" s="1" t="inlineStr">
        <is>
          <t>MÁY</t>
        </is>
      </c>
      <c r="D488" s="1" t="inlineStr">
        <is>
          <t xml:space="preserve"> - Khấu hao thiết bị quan trắc chuyên dụng</t>
        </is>
      </c>
      <c r="E488" s="1" t="inlineStr">
        <is>
          <t>ca</t>
        </is>
      </c>
      <c r="F488" s="1" t="inlineStr"/>
      <c r="G488" s="24" t="inlineStr"/>
      <c r="H488" s="24" t="inlineStr"/>
      <c r="I488" s="24" t="inlineStr"/>
      <c r="J488" s="24" t="n">
        <v>0.08</v>
      </c>
      <c r="K488" s="24" t="inlineStr"/>
      <c r="L488" s="24" t="inlineStr"/>
      <c r="M488" s="24" t="inlineStr"/>
      <c r="N488" s="24">
        <f>ROUND(F483*J488, 4)</f>
        <v/>
      </c>
      <c r="O488" s="1" t="inlineStr">
        <is>
          <t>TT 45/2013</t>
        </is>
      </c>
    </row>
    <row r="489">
      <c r="A489" s="1" t="inlineStr"/>
      <c r="B489" s="1" t="inlineStr">
        <is>
          <t>M_NANGLUONG</t>
        </is>
      </c>
      <c r="C489" s="1" t="inlineStr">
        <is>
          <t>ĐIỆN</t>
        </is>
      </c>
      <c r="D489" s="1" t="inlineStr">
        <is>
          <t xml:space="preserve"> - Năng lượng điện vận hành thiết bị PTN</t>
        </is>
      </c>
      <c r="E489" s="1" t="inlineStr">
        <is>
          <t>kWh</t>
        </is>
      </c>
      <c r="F489" s="1" t="inlineStr"/>
      <c r="G489" s="24" t="inlineStr"/>
      <c r="H489" s="24" t="inlineStr"/>
      <c r="I489" s="24" t="inlineStr"/>
      <c r="J489" s="24" t="n">
        <v>0.5</v>
      </c>
      <c r="K489" s="24" t="inlineStr"/>
      <c r="L489" s="24" t="inlineStr"/>
      <c r="M489" s="24" t="inlineStr"/>
      <c r="N489" s="24">
        <f>ROUND(F483*J489, 4)</f>
        <v/>
      </c>
      <c r="O489" s="1" t="inlineStr">
        <is>
          <t>Điện năng PTN</t>
        </is>
      </c>
    </row>
    <row r="490">
      <c r="A490" s="1" t="inlineStr"/>
      <c r="B490" s="1" t="inlineStr">
        <is>
          <t>VL_01</t>
        </is>
      </c>
      <c r="C490" s="1" t="inlineStr">
        <is>
          <t>VL</t>
        </is>
      </c>
      <c r="D490" s="1" t="inlineStr">
        <is>
          <t xml:space="preserve"> - Hóa chất phân tích tinh khiết, màng lọc, chuẩn</t>
        </is>
      </c>
      <c r="E490" s="1" t="inlineStr">
        <is>
          <t>bộ</t>
        </is>
      </c>
      <c r="F490" s="1" t="inlineStr"/>
      <c r="G490" s="24" t="n">
        <v>0.04</v>
      </c>
      <c r="H490" s="24" t="inlineStr"/>
      <c r="I490" s="24" t="inlineStr"/>
      <c r="J490" s="24" t="inlineStr"/>
      <c r="K490" s="24">
        <f>ROUND(F483*G490, 4)</f>
        <v/>
      </c>
      <c r="L490" s="24" t="inlineStr"/>
      <c r="M490" s="24" t="inlineStr"/>
      <c r="N490" s="24" t="inlineStr"/>
      <c r="O490" s="1" t="inlineStr">
        <is>
          <t>Khoản 4.4 TT20</t>
        </is>
      </c>
    </row>
    <row r="491">
      <c r="A491" s="1" t="inlineStr"/>
      <c r="B491" s="1" t="inlineStr">
        <is>
          <t>VL_KHAC</t>
        </is>
      </c>
      <c r="C491" s="1" t="inlineStr">
        <is>
          <t>VL_PHỤ</t>
        </is>
      </c>
      <c r="D491" s="1" t="inlineStr">
        <is>
          <t xml:space="preserve"> - Vật liệu phụ khác (8% vật liệu chính)</t>
        </is>
      </c>
      <c r="E491" s="1" t="inlineStr">
        <is>
          <t>%</t>
        </is>
      </c>
      <c r="F491" s="1" t="inlineStr"/>
      <c r="G491" s="24" t="n">
        <v>0.08</v>
      </c>
      <c r="H491" s="24" t="inlineStr"/>
      <c r="I491" s="24" t="inlineStr"/>
      <c r="J491" s="24" t="inlineStr"/>
      <c r="K491" s="24">
        <f>ROUND(K490*G491, 4)</f>
        <v/>
      </c>
      <c r="L491" s="24" t="inlineStr"/>
      <c r="M491" s="24" t="inlineStr"/>
      <c r="N491" s="24" t="inlineStr"/>
      <c r="O491" s="1" t="inlineStr">
        <is>
          <t>8% Khoản 4.4 TT20</t>
        </is>
      </c>
    </row>
    <row r="492">
      <c r="A492" s="21">
        <f>'Công trình'!A61</f>
        <v/>
      </c>
      <c r="B492" s="21">
        <f>'Công trình'!C61</f>
        <v/>
      </c>
      <c r="C492" s="21" t="inlineStr"/>
      <c r="D492" s="22">
        <f>'Công trình'!D61</f>
        <v/>
      </c>
      <c r="E492" s="21">
        <f>'Công trình'!E61</f>
        <v/>
      </c>
      <c r="F492" s="21">
        <f>'Công trình'!L61</f>
        <v/>
      </c>
      <c r="G492" s="23" t="inlineStr"/>
      <c r="H492" s="23" t="inlineStr"/>
      <c r="I492" s="23" t="inlineStr"/>
      <c r="J492" s="23" t="inlineStr"/>
      <c r="K492" s="23" t="inlineStr"/>
      <c r="L492" s="23" t="inlineStr"/>
      <c r="M492" s="23" t="inlineStr"/>
      <c r="N492" s="23" t="inlineStr"/>
      <c r="O492" s="21" t="inlineStr">
        <is>
          <t>PAKT &amp; Định mức TT20</t>
        </is>
      </c>
    </row>
    <row r="493">
      <c r="A493" s="1" t="inlineStr"/>
      <c r="B493" s="1" t="inlineStr">
        <is>
          <t>NC_LDKT</t>
        </is>
      </c>
      <c r="C493" s="1" t="inlineStr">
        <is>
          <t>LĐKT</t>
        </is>
      </c>
      <c r="D493" s="1" t="inlineStr">
        <is>
          <t xml:space="preserve"> - Kỹ sư / Kiểm định viên / Quan trắc viên</t>
        </is>
      </c>
      <c r="E493" s="1" t="inlineStr">
        <is>
          <t>công</t>
        </is>
      </c>
      <c r="F493" s="1" t="inlineStr"/>
      <c r="G493" s="24" t="inlineStr"/>
      <c r="H493" s="24" t="n">
        <v>0.176</v>
      </c>
      <c r="I493" s="24" t="inlineStr"/>
      <c r="J493" s="24" t="inlineStr"/>
      <c r="K493" s="24" t="inlineStr"/>
      <c r="L493" s="24">
        <f>ROUND(F492*H493, 4)</f>
        <v/>
      </c>
      <c r="M493" s="24" t="inlineStr"/>
      <c r="N493" s="24" t="inlineStr"/>
      <c r="O493" s="1" t="inlineStr">
        <is>
          <t>TTLT 56/2015</t>
        </is>
      </c>
    </row>
    <row r="494">
      <c r="A494" s="1" t="inlineStr"/>
      <c r="B494" s="1" t="inlineStr">
        <is>
          <t>NC_LDPT</t>
        </is>
      </c>
      <c r="C494" s="1" t="inlineStr">
        <is>
          <t>LĐPT</t>
        </is>
      </c>
      <c r="D494" s="1" t="inlineStr">
        <is>
          <t xml:space="preserve"> - Lao động phổ thông phụ việc hiện trường</t>
        </is>
      </c>
      <c r="E494" s="1" t="inlineStr">
        <is>
          <t>công</t>
        </is>
      </c>
      <c r="F494" s="1" t="inlineStr"/>
      <c r="G494" s="24" t="inlineStr"/>
      <c r="H494" s="24" t="n">
        <v>0.044</v>
      </c>
      <c r="I494" s="24" t="inlineStr"/>
      <c r="J494" s="24" t="inlineStr"/>
      <c r="K494" s="24" t="inlineStr"/>
      <c r="L494" s="24">
        <f>ROUND(F492*H494, 4)</f>
        <v/>
      </c>
      <c r="M494" s="24" t="inlineStr"/>
      <c r="N494" s="24" t="inlineStr"/>
      <c r="O494" s="1" t="inlineStr">
        <is>
          <t>Hỗ trợ ngoại nghiệp</t>
        </is>
      </c>
    </row>
    <row r="495">
      <c r="A495" s="1" t="inlineStr"/>
      <c r="B495" s="1" t="inlineStr">
        <is>
          <t>CCDC_01</t>
        </is>
      </c>
      <c r="C495" s="1" t="inlineStr">
        <is>
          <t>CCDC</t>
        </is>
      </c>
      <c r="D495" s="1" t="inlineStr">
        <is>
          <t xml:space="preserve"> - Ca dụng cụ, thiết bị nhỏ đo đạc/lấy mẫu</t>
        </is>
      </c>
      <c r="E495" s="1" t="inlineStr">
        <is>
          <t>ca</t>
        </is>
      </c>
      <c r="F495" s="1" t="inlineStr"/>
      <c r="G495" s="24" t="inlineStr"/>
      <c r="H495" s="24" t="inlineStr"/>
      <c r="I495" s="24" t="n">
        <v>0.1</v>
      </c>
      <c r="J495" s="24" t="inlineStr"/>
      <c r="K495" s="24" t="inlineStr"/>
      <c r="L495" s="24" t="inlineStr"/>
      <c r="M495" s="24">
        <f>ROUND(F492*I495, 4)</f>
        <v/>
      </c>
      <c r="N495" s="24" t="inlineStr"/>
      <c r="O495" s="1" t="inlineStr">
        <is>
          <t>Khoản 4.2 TT20</t>
        </is>
      </c>
    </row>
    <row r="496">
      <c r="A496" s="1" t="inlineStr"/>
      <c r="B496" s="1" t="inlineStr">
        <is>
          <t>CCDC_PHU</t>
        </is>
      </c>
      <c r="C496" s="1" t="inlineStr">
        <is>
          <t>CCDC_PHỤ</t>
        </is>
      </c>
      <c r="D496" s="1" t="inlineStr">
        <is>
          <t xml:space="preserve"> - Dụng cụ phụ khác (10% CCDC chính)</t>
        </is>
      </c>
      <c r="E496" s="1" t="inlineStr">
        <is>
          <t>%</t>
        </is>
      </c>
      <c r="F496" s="1" t="inlineStr"/>
      <c r="G496" s="24" t="inlineStr"/>
      <c r="H496" s="24" t="inlineStr"/>
      <c r="I496" s="24" t="n">
        <v>0.1</v>
      </c>
      <c r="J496" s="24" t="inlineStr"/>
      <c r="K496" s="24" t="inlineStr"/>
      <c r="L496" s="24" t="inlineStr"/>
      <c r="M496" s="24">
        <f>ROUND(M495*I496, 4)</f>
        <v/>
      </c>
      <c r="N496" s="24" t="inlineStr"/>
      <c r="O496" s="1" t="inlineStr">
        <is>
          <t>10% Khoản 4.2 TT20</t>
        </is>
      </c>
    </row>
    <row r="497">
      <c r="A497" s="1" t="inlineStr"/>
      <c r="B497" s="1" t="inlineStr">
        <is>
          <t>M_KHTSCD</t>
        </is>
      </c>
      <c r="C497" s="1" t="inlineStr">
        <is>
          <t>MÁY</t>
        </is>
      </c>
      <c r="D497" s="1" t="inlineStr">
        <is>
          <t xml:space="preserve"> - Khấu hao thiết bị quan trắc chuyên dụng</t>
        </is>
      </c>
      <c r="E497" s="1" t="inlineStr">
        <is>
          <t>ca</t>
        </is>
      </c>
      <c r="F497" s="1" t="inlineStr"/>
      <c r="G497" s="24" t="inlineStr"/>
      <c r="H497" s="24" t="inlineStr"/>
      <c r="I497" s="24" t="inlineStr"/>
      <c r="J497" s="24" t="n">
        <v>0.08</v>
      </c>
      <c r="K497" s="24" t="inlineStr"/>
      <c r="L497" s="24" t="inlineStr"/>
      <c r="M497" s="24" t="inlineStr"/>
      <c r="N497" s="24">
        <f>ROUND(F492*J497, 4)</f>
        <v/>
      </c>
      <c r="O497" s="1" t="inlineStr">
        <is>
          <t>TT 45/2013</t>
        </is>
      </c>
    </row>
    <row r="498">
      <c r="A498" s="1" t="inlineStr"/>
      <c r="B498" s="1" t="inlineStr">
        <is>
          <t>M_NANGLUONG</t>
        </is>
      </c>
      <c r="C498" s="1" t="inlineStr">
        <is>
          <t>ĐIỆN</t>
        </is>
      </c>
      <c r="D498" s="1" t="inlineStr">
        <is>
          <t xml:space="preserve"> - Năng lượng điện vận hành thiết bị PTN</t>
        </is>
      </c>
      <c r="E498" s="1" t="inlineStr">
        <is>
          <t>kWh</t>
        </is>
      </c>
      <c r="F498" s="1" t="inlineStr"/>
      <c r="G498" s="24" t="inlineStr"/>
      <c r="H498" s="24" t="inlineStr"/>
      <c r="I498" s="24" t="inlineStr"/>
      <c r="J498" s="24" t="n">
        <v>0.5</v>
      </c>
      <c r="K498" s="24" t="inlineStr"/>
      <c r="L498" s="24" t="inlineStr"/>
      <c r="M498" s="24" t="inlineStr"/>
      <c r="N498" s="24">
        <f>ROUND(F492*J498, 4)</f>
        <v/>
      </c>
      <c r="O498" s="1" t="inlineStr">
        <is>
          <t>Điện năng PTN</t>
        </is>
      </c>
    </row>
    <row r="499">
      <c r="A499" s="1" t="inlineStr"/>
      <c r="B499" s="1" t="inlineStr">
        <is>
          <t>VL_01</t>
        </is>
      </c>
      <c r="C499" s="1" t="inlineStr">
        <is>
          <t>VL</t>
        </is>
      </c>
      <c r="D499" s="1" t="inlineStr">
        <is>
          <t xml:space="preserve"> - Hóa chất phân tích tinh khiết, màng lọc, chuẩn</t>
        </is>
      </c>
      <c r="E499" s="1" t="inlineStr">
        <is>
          <t>bộ</t>
        </is>
      </c>
      <c r="F499" s="1" t="inlineStr"/>
      <c r="G499" s="24" t="n">
        <v>0.04</v>
      </c>
      <c r="H499" s="24" t="inlineStr"/>
      <c r="I499" s="24" t="inlineStr"/>
      <c r="J499" s="24" t="inlineStr"/>
      <c r="K499" s="24">
        <f>ROUND(F492*G499, 4)</f>
        <v/>
      </c>
      <c r="L499" s="24" t="inlineStr"/>
      <c r="M499" s="24" t="inlineStr"/>
      <c r="N499" s="24" t="inlineStr"/>
      <c r="O499" s="1" t="inlineStr">
        <is>
          <t>Khoản 4.4 TT20</t>
        </is>
      </c>
    </row>
    <row r="500">
      <c r="A500" s="1" t="inlineStr"/>
      <c r="B500" s="1" t="inlineStr">
        <is>
          <t>VL_KHAC</t>
        </is>
      </c>
      <c r="C500" s="1" t="inlineStr">
        <is>
          <t>VL_PHỤ</t>
        </is>
      </c>
      <c r="D500" s="1" t="inlineStr">
        <is>
          <t xml:space="preserve"> - Vật liệu phụ khác (8% vật liệu chính)</t>
        </is>
      </c>
      <c r="E500" s="1" t="inlineStr">
        <is>
          <t>%</t>
        </is>
      </c>
      <c r="F500" s="1" t="inlineStr"/>
      <c r="G500" s="24" t="n">
        <v>0.08</v>
      </c>
      <c r="H500" s="24" t="inlineStr"/>
      <c r="I500" s="24" t="inlineStr"/>
      <c r="J500" s="24" t="inlineStr"/>
      <c r="K500" s="24">
        <f>ROUND(K499*G500, 4)</f>
        <v/>
      </c>
      <c r="L500" s="24" t="inlineStr"/>
      <c r="M500" s="24" t="inlineStr"/>
      <c r="N500" s="24" t="inlineStr"/>
      <c r="O500" s="1" t="inlineStr">
        <is>
          <t>8% Khoản 4.4 TT20</t>
        </is>
      </c>
    </row>
    <row r="501">
      <c r="A501" s="21">
        <f>'Công trình'!A62</f>
        <v/>
      </c>
      <c r="B501" s="21">
        <f>'Công trình'!C62</f>
        <v/>
      </c>
      <c r="C501" s="21" t="inlineStr"/>
      <c r="D501" s="22">
        <f>'Công trình'!D62</f>
        <v/>
      </c>
      <c r="E501" s="21">
        <f>'Công trình'!E62</f>
        <v/>
      </c>
      <c r="F501" s="21">
        <f>'Công trình'!L62</f>
        <v/>
      </c>
      <c r="G501" s="23" t="inlineStr"/>
      <c r="H501" s="23" t="inlineStr"/>
      <c r="I501" s="23" t="inlineStr"/>
      <c r="J501" s="23" t="inlineStr"/>
      <c r="K501" s="23" t="inlineStr"/>
      <c r="L501" s="23" t="inlineStr"/>
      <c r="M501" s="23" t="inlineStr"/>
      <c r="N501" s="23" t="inlineStr"/>
      <c r="O501" s="21" t="inlineStr">
        <is>
          <t>PAKT &amp; Định mức TT20</t>
        </is>
      </c>
    </row>
    <row r="502">
      <c r="A502" s="1" t="inlineStr"/>
      <c r="B502" s="1" t="inlineStr">
        <is>
          <t>NC_LDKT</t>
        </is>
      </c>
      <c r="C502" s="1" t="inlineStr">
        <is>
          <t>LĐKT</t>
        </is>
      </c>
      <c r="D502" s="1" t="inlineStr">
        <is>
          <t xml:space="preserve"> - Kỹ sư / Kiểm định viên / Quan trắc viên</t>
        </is>
      </c>
      <c r="E502" s="1" t="inlineStr">
        <is>
          <t>công</t>
        </is>
      </c>
      <c r="F502" s="1" t="inlineStr"/>
      <c r="G502" s="24" t="inlineStr"/>
      <c r="H502" s="24" t="n">
        <v>0.176</v>
      </c>
      <c r="I502" s="24" t="inlineStr"/>
      <c r="J502" s="24" t="inlineStr"/>
      <c r="K502" s="24" t="inlineStr"/>
      <c r="L502" s="24">
        <f>ROUND(F501*H502, 4)</f>
        <v/>
      </c>
      <c r="M502" s="24" t="inlineStr"/>
      <c r="N502" s="24" t="inlineStr"/>
      <c r="O502" s="1" t="inlineStr">
        <is>
          <t>TTLT 56/2015</t>
        </is>
      </c>
    </row>
    <row r="503">
      <c r="A503" s="1" t="inlineStr"/>
      <c r="B503" s="1" t="inlineStr">
        <is>
          <t>NC_LDPT</t>
        </is>
      </c>
      <c r="C503" s="1" t="inlineStr">
        <is>
          <t>LĐPT</t>
        </is>
      </c>
      <c r="D503" s="1" t="inlineStr">
        <is>
          <t xml:space="preserve"> - Lao động phổ thông phụ việc hiện trường</t>
        </is>
      </c>
      <c r="E503" s="1" t="inlineStr">
        <is>
          <t>công</t>
        </is>
      </c>
      <c r="F503" s="1" t="inlineStr"/>
      <c r="G503" s="24" t="inlineStr"/>
      <c r="H503" s="24" t="n">
        <v>0.044</v>
      </c>
      <c r="I503" s="24" t="inlineStr"/>
      <c r="J503" s="24" t="inlineStr"/>
      <c r="K503" s="24" t="inlineStr"/>
      <c r="L503" s="24">
        <f>ROUND(F501*H503, 4)</f>
        <v/>
      </c>
      <c r="M503" s="24" t="inlineStr"/>
      <c r="N503" s="24" t="inlineStr"/>
      <c r="O503" s="1" t="inlineStr">
        <is>
          <t>Hỗ trợ ngoại nghiệp</t>
        </is>
      </c>
    </row>
    <row r="504">
      <c r="A504" s="1" t="inlineStr"/>
      <c r="B504" s="1" t="inlineStr">
        <is>
          <t>CCDC_01</t>
        </is>
      </c>
      <c r="C504" s="1" t="inlineStr">
        <is>
          <t>CCDC</t>
        </is>
      </c>
      <c r="D504" s="1" t="inlineStr">
        <is>
          <t xml:space="preserve"> - Ca dụng cụ, thiết bị nhỏ đo đạc/lấy mẫu</t>
        </is>
      </c>
      <c r="E504" s="1" t="inlineStr">
        <is>
          <t>ca</t>
        </is>
      </c>
      <c r="F504" s="1" t="inlineStr"/>
      <c r="G504" s="24" t="inlineStr"/>
      <c r="H504" s="24" t="inlineStr"/>
      <c r="I504" s="24" t="n">
        <v>0.1</v>
      </c>
      <c r="J504" s="24" t="inlineStr"/>
      <c r="K504" s="24" t="inlineStr"/>
      <c r="L504" s="24" t="inlineStr"/>
      <c r="M504" s="24">
        <f>ROUND(F501*I504, 4)</f>
        <v/>
      </c>
      <c r="N504" s="24" t="inlineStr"/>
      <c r="O504" s="1" t="inlineStr">
        <is>
          <t>Khoản 4.2 TT20</t>
        </is>
      </c>
    </row>
    <row r="505">
      <c r="A505" s="1" t="inlineStr"/>
      <c r="B505" s="1" t="inlineStr">
        <is>
          <t>CCDC_PHU</t>
        </is>
      </c>
      <c r="C505" s="1" t="inlineStr">
        <is>
          <t>CCDC_PHỤ</t>
        </is>
      </c>
      <c r="D505" s="1" t="inlineStr">
        <is>
          <t xml:space="preserve"> - Dụng cụ phụ khác (10% CCDC chính)</t>
        </is>
      </c>
      <c r="E505" s="1" t="inlineStr">
        <is>
          <t>%</t>
        </is>
      </c>
      <c r="F505" s="1" t="inlineStr"/>
      <c r="G505" s="24" t="inlineStr"/>
      <c r="H505" s="24" t="inlineStr"/>
      <c r="I505" s="24" t="n">
        <v>0.1</v>
      </c>
      <c r="J505" s="24" t="inlineStr"/>
      <c r="K505" s="24" t="inlineStr"/>
      <c r="L505" s="24" t="inlineStr"/>
      <c r="M505" s="24">
        <f>ROUND(M504*I505, 4)</f>
        <v/>
      </c>
      <c r="N505" s="24" t="inlineStr"/>
      <c r="O505" s="1" t="inlineStr">
        <is>
          <t>10% Khoản 4.2 TT20</t>
        </is>
      </c>
    </row>
    <row r="506">
      <c r="A506" s="1" t="inlineStr"/>
      <c r="B506" s="1" t="inlineStr">
        <is>
          <t>M_KHTSCD</t>
        </is>
      </c>
      <c r="C506" s="1" t="inlineStr">
        <is>
          <t>MÁY</t>
        </is>
      </c>
      <c r="D506" s="1" t="inlineStr">
        <is>
          <t xml:space="preserve"> - Khấu hao thiết bị quan trắc chuyên dụng</t>
        </is>
      </c>
      <c r="E506" s="1" t="inlineStr">
        <is>
          <t>ca</t>
        </is>
      </c>
      <c r="F506" s="1" t="inlineStr"/>
      <c r="G506" s="24" t="inlineStr"/>
      <c r="H506" s="24" t="inlineStr"/>
      <c r="I506" s="24" t="inlineStr"/>
      <c r="J506" s="24" t="n">
        <v>0.08</v>
      </c>
      <c r="K506" s="24" t="inlineStr"/>
      <c r="L506" s="24" t="inlineStr"/>
      <c r="M506" s="24" t="inlineStr"/>
      <c r="N506" s="24">
        <f>ROUND(F501*J506, 4)</f>
        <v/>
      </c>
      <c r="O506" s="1" t="inlineStr">
        <is>
          <t>TT 45/2013</t>
        </is>
      </c>
    </row>
    <row r="507">
      <c r="A507" s="1" t="inlineStr"/>
      <c r="B507" s="1" t="inlineStr">
        <is>
          <t>M_NANGLUONG</t>
        </is>
      </c>
      <c r="C507" s="1" t="inlineStr">
        <is>
          <t>ĐIỆN</t>
        </is>
      </c>
      <c r="D507" s="1" t="inlineStr">
        <is>
          <t xml:space="preserve"> - Năng lượng điện vận hành thiết bị PTN</t>
        </is>
      </c>
      <c r="E507" s="1" t="inlineStr">
        <is>
          <t>kWh</t>
        </is>
      </c>
      <c r="F507" s="1" t="inlineStr"/>
      <c r="G507" s="24" t="inlineStr"/>
      <c r="H507" s="24" t="inlineStr"/>
      <c r="I507" s="24" t="inlineStr"/>
      <c r="J507" s="24" t="n">
        <v>0.5</v>
      </c>
      <c r="K507" s="24" t="inlineStr"/>
      <c r="L507" s="24" t="inlineStr"/>
      <c r="M507" s="24" t="inlineStr"/>
      <c r="N507" s="24">
        <f>ROUND(F501*J507, 4)</f>
        <v/>
      </c>
      <c r="O507" s="1" t="inlineStr">
        <is>
          <t>Điện năng PTN</t>
        </is>
      </c>
    </row>
    <row r="508">
      <c r="A508" s="1" t="inlineStr"/>
      <c r="B508" s="1" t="inlineStr">
        <is>
          <t>VL_01</t>
        </is>
      </c>
      <c r="C508" s="1" t="inlineStr">
        <is>
          <t>VL</t>
        </is>
      </c>
      <c r="D508" s="1" t="inlineStr">
        <is>
          <t xml:space="preserve"> - Hóa chất phân tích tinh khiết, màng lọc, chuẩn</t>
        </is>
      </c>
      <c r="E508" s="1" t="inlineStr">
        <is>
          <t>bộ</t>
        </is>
      </c>
      <c r="F508" s="1" t="inlineStr"/>
      <c r="G508" s="24" t="n">
        <v>0.04</v>
      </c>
      <c r="H508" s="24" t="inlineStr"/>
      <c r="I508" s="24" t="inlineStr"/>
      <c r="J508" s="24" t="inlineStr"/>
      <c r="K508" s="24">
        <f>ROUND(F501*G508, 4)</f>
        <v/>
      </c>
      <c r="L508" s="24" t="inlineStr"/>
      <c r="M508" s="24" t="inlineStr"/>
      <c r="N508" s="24" t="inlineStr"/>
      <c r="O508" s="1" t="inlineStr">
        <is>
          <t>Khoản 4.4 TT20</t>
        </is>
      </c>
    </row>
    <row r="509">
      <c r="A509" s="1" t="inlineStr"/>
      <c r="B509" s="1" t="inlineStr">
        <is>
          <t>VL_KHAC</t>
        </is>
      </c>
      <c r="C509" s="1" t="inlineStr">
        <is>
          <t>VL_PHỤ</t>
        </is>
      </c>
      <c r="D509" s="1" t="inlineStr">
        <is>
          <t xml:space="preserve"> - Vật liệu phụ khác (8% vật liệu chính)</t>
        </is>
      </c>
      <c r="E509" s="1" t="inlineStr">
        <is>
          <t>%</t>
        </is>
      </c>
      <c r="F509" s="1" t="inlineStr"/>
      <c r="G509" s="24" t="n">
        <v>0.08</v>
      </c>
      <c r="H509" s="24" t="inlineStr"/>
      <c r="I509" s="24" t="inlineStr"/>
      <c r="J509" s="24" t="inlineStr"/>
      <c r="K509" s="24">
        <f>ROUND(K508*G509, 4)</f>
        <v/>
      </c>
      <c r="L509" s="24" t="inlineStr"/>
      <c r="M509" s="24" t="inlineStr"/>
      <c r="N509" s="24" t="inlineStr"/>
      <c r="O509" s="1" t="inlineStr">
        <is>
          <t>8% Khoản 4.4 TT20</t>
        </is>
      </c>
    </row>
    <row r="510">
      <c r="A510" s="21">
        <f>'Công trình'!A63</f>
        <v/>
      </c>
      <c r="B510" s="21">
        <f>'Công trình'!C63</f>
        <v/>
      </c>
      <c r="C510" s="21" t="inlineStr"/>
      <c r="D510" s="22">
        <f>'Công trình'!D63</f>
        <v/>
      </c>
      <c r="E510" s="21">
        <f>'Công trình'!E63</f>
        <v/>
      </c>
      <c r="F510" s="21">
        <f>'Công trình'!L63</f>
        <v/>
      </c>
      <c r="G510" s="23" t="inlineStr"/>
      <c r="H510" s="23" t="inlineStr"/>
      <c r="I510" s="23" t="inlineStr"/>
      <c r="J510" s="23" t="inlineStr"/>
      <c r="K510" s="23" t="inlineStr"/>
      <c r="L510" s="23" t="inlineStr"/>
      <c r="M510" s="23" t="inlineStr"/>
      <c r="N510" s="23" t="inlineStr"/>
      <c r="O510" s="21" t="inlineStr">
        <is>
          <t>PAKT &amp; Định mức TT20</t>
        </is>
      </c>
    </row>
    <row r="511">
      <c r="A511" s="1" t="inlineStr"/>
      <c r="B511" s="1" t="inlineStr">
        <is>
          <t>NC_LDKT</t>
        </is>
      </c>
      <c r="C511" s="1" t="inlineStr">
        <is>
          <t>LĐKT</t>
        </is>
      </c>
      <c r="D511" s="1" t="inlineStr">
        <is>
          <t xml:space="preserve"> - Kỹ sư / Kiểm định viên / Quan trắc viên</t>
        </is>
      </c>
      <c r="E511" s="1" t="inlineStr">
        <is>
          <t>công</t>
        </is>
      </c>
      <c r="F511" s="1" t="inlineStr"/>
      <c r="G511" s="24" t="inlineStr"/>
      <c r="H511" s="24" t="n">
        <v>0.176</v>
      </c>
      <c r="I511" s="24" t="inlineStr"/>
      <c r="J511" s="24" t="inlineStr"/>
      <c r="K511" s="24" t="inlineStr"/>
      <c r="L511" s="24">
        <f>ROUND(F510*H511, 4)</f>
        <v/>
      </c>
      <c r="M511" s="24" t="inlineStr"/>
      <c r="N511" s="24" t="inlineStr"/>
      <c r="O511" s="1" t="inlineStr">
        <is>
          <t>TTLT 56/2015</t>
        </is>
      </c>
    </row>
    <row r="512">
      <c r="A512" s="1" t="inlineStr"/>
      <c r="B512" s="1" t="inlineStr">
        <is>
          <t>NC_LDPT</t>
        </is>
      </c>
      <c r="C512" s="1" t="inlineStr">
        <is>
          <t>LĐPT</t>
        </is>
      </c>
      <c r="D512" s="1" t="inlineStr">
        <is>
          <t xml:space="preserve"> - Lao động phổ thông phụ việc hiện trường</t>
        </is>
      </c>
      <c r="E512" s="1" t="inlineStr">
        <is>
          <t>công</t>
        </is>
      </c>
      <c r="F512" s="1" t="inlineStr"/>
      <c r="G512" s="24" t="inlineStr"/>
      <c r="H512" s="24" t="n">
        <v>0.044</v>
      </c>
      <c r="I512" s="24" t="inlineStr"/>
      <c r="J512" s="24" t="inlineStr"/>
      <c r="K512" s="24" t="inlineStr"/>
      <c r="L512" s="24">
        <f>ROUND(F510*H512, 4)</f>
        <v/>
      </c>
      <c r="M512" s="24" t="inlineStr"/>
      <c r="N512" s="24" t="inlineStr"/>
      <c r="O512" s="1" t="inlineStr">
        <is>
          <t>Hỗ trợ ngoại nghiệp</t>
        </is>
      </c>
    </row>
    <row r="513">
      <c r="A513" s="1" t="inlineStr"/>
      <c r="B513" s="1" t="inlineStr">
        <is>
          <t>CCDC_01</t>
        </is>
      </c>
      <c r="C513" s="1" t="inlineStr">
        <is>
          <t>CCDC</t>
        </is>
      </c>
      <c r="D513" s="1" t="inlineStr">
        <is>
          <t xml:space="preserve"> - Ca dụng cụ, thiết bị nhỏ đo đạc/lấy mẫu</t>
        </is>
      </c>
      <c r="E513" s="1" t="inlineStr">
        <is>
          <t>ca</t>
        </is>
      </c>
      <c r="F513" s="1" t="inlineStr"/>
      <c r="G513" s="24" t="inlineStr"/>
      <c r="H513" s="24" t="inlineStr"/>
      <c r="I513" s="24" t="n">
        <v>0.1</v>
      </c>
      <c r="J513" s="24" t="inlineStr"/>
      <c r="K513" s="24" t="inlineStr"/>
      <c r="L513" s="24" t="inlineStr"/>
      <c r="M513" s="24">
        <f>ROUND(F510*I513, 4)</f>
        <v/>
      </c>
      <c r="N513" s="24" t="inlineStr"/>
      <c r="O513" s="1" t="inlineStr">
        <is>
          <t>Khoản 4.2 TT20</t>
        </is>
      </c>
    </row>
    <row r="514">
      <c r="A514" s="1" t="inlineStr"/>
      <c r="B514" s="1" t="inlineStr">
        <is>
          <t>CCDC_PHU</t>
        </is>
      </c>
      <c r="C514" s="1" t="inlineStr">
        <is>
          <t>CCDC_PHỤ</t>
        </is>
      </c>
      <c r="D514" s="1" t="inlineStr">
        <is>
          <t xml:space="preserve"> - Dụng cụ phụ khác (10% CCDC chính)</t>
        </is>
      </c>
      <c r="E514" s="1" t="inlineStr">
        <is>
          <t>%</t>
        </is>
      </c>
      <c r="F514" s="1" t="inlineStr"/>
      <c r="G514" s="24" t="inlineStr"/>
      <c r="H514" s="24" t="inlineStr"/>
      <c r="I514" s="24" t="n">
        <v>0.1</v>
      </c>
      <c r="J514" s="24" t="inlineStr"/>
      <c r="K514" s="24" t="inlineStr"/>
      <c r="L514" s="24" t="inlineStr"/>
      <c r="M514" s="24">
        <f>ROUND(M513*I514, 4)</f>
        <v/>
      </c>
      <c r="N514" s="24" t="inlineStr"/>
      <c r="O514" s="1" t="inlineStr">
        <is>
          <t>10% Khoản 4.2 TT20</t>
        </is>
      </c>
    </row>
    <row r="515">
      <c r="A515" s="1" t="inlineStr"/>
      <c r="B515" s="1" t="inlineStr">
        <is>
          <t>M_KHTSCD</t>
        </is>
      </c>
      <c r="C515" s="1" t="inlineStr">
        <is>
          <t>MÁY</t>
        </is>
      </c>
      <c r="D515" s="1" t="inlineStr">
        <is>
          <t xml:space="preserve"> - Khấu hao thiết bị quan trắc chuyên dụng</t>
        </is>
      </c>
      <c r="E515" s="1" t="inlineStr">
        <is>
          <t>ca</t>
        </is>
      </c>
      <c r="F515" s="1" t="inlineStr"/>
      <c r="G515" s="24" t="inlineStr"/>
      <c r="H515" s="24" t="inlineStr"/>
      <c r="I515" s="24" t="inlineStr"/>
      <c r="J515" s="24" t="n">
        <v>0.08</v>
      </c>
      <c r="K515" s="24" t="inlineStr"/>
      <c r="L515" s="24" t="inlineStr"/>
      <c r="M515" s="24" t="inlineStr"/>
      <c r="N515" s="24">
        <f>ROUND(F510*J515, 4)</f>
        <v/>
      </c>
      <c r="O515" s="1" t="inlineStr">
        <is>
          <t>TT 45/2013</t>
        </is>
      </c>
    </row>
    <row r="516">
      <c r="A516" s="1" t="inlineStr"/>
      <c r="B516" s="1" t="inlineStr">
        <is>
          <t>M_NANGLUONG</t>
        </is>
      </c>
      <c r="C516" s="1" t="inlineStr">
        <is>
          <t>ĐIỆN</t>
        </is>
      </c>
      <c r="D516" s="1" t="inlineStr">
        <is>
          <t xml:space="preserve"> - Năng lượng điện vận hành thiết bị PTN</t>
        </is>
      </c>
      <c r="E516" s="1" t="inlineStr">
        <is>
          <t>kWh</t>
        </is>
      </c>
      <c r="F516" s="1" t="inlineStr"/>
      <c r="G516" s="24" t="inlineStr"/>
      <c r="H516" s="24" t="inlineStr"/>
      <c r="I516" s="24" t="inlineStr"/>
      <c r="J516" s="24" t="n">
        <v>0.5</v>
      </c>
      <c r="K516" s="24" t="inlineStr"/>
      <c r="L516" s="24" t="inlineStr"/>
      <c r="M516" s="24" t="inlineStr"/>
      <c r="N516" s="24">
        <f>ROUND(F510*J516, 4)</f>
        <v/>
      </c>
      <c r="O516" s="1" t="inlineStr">
        <is>
          <t>Điện năng PTN</t>
        </is>
      </c>
    </row>
    <row r="517">
      <c r="A517" s="1" t="inlineStr"/>
      <c r="B517" s="1" t="inlineStr">
        <is>
          <t>VL_01</t>
        </is>
      </c>
      <c r="C517" s="1" t="inlineStr">
        <is>
          <t>VL</t>
        </is>
      </c>
      <c r="D517" s="1" t="inlineStr">
        <is>
          <t xml:space="preserve"> - Hóa chất phân tích tinh khiết, màng lọc, chuẩn</t>
        </is>
      </c>
      <c r="E517" s="1" t="inlineStr">
        <is>
          <t>bộ</t>
        </is>
      </c>
      <c r="F517" s="1" t="inlineStr"/>
      <c r="G517" s="24" t="n">
        <v>0.04</v>
      </c>
      <c r="H517" s="24" t="inlineStr"/>
      <c r="I517" s="24" t="inlineStr"/>
      <c r="J517" s="24" t="inlineStr"/>
      <c r="K517" s="24">
        <f>ROUND(F510*G517, 4)</f>
        <v/>
      </c>
      <c r="L517" s="24" t="inlineStr"/>
      <c r="M517" s="24" t="inlineStr"/>
      <c r="N517" s="24" t="inlineStr"/>
      <c r="O517" s="1" t="inlineStr">
        <is>
          <t>Khoản 4.4 TT20</t>
        </is>
      </c>
    </row>
    <row r="518">
      <c r="A518" s="1" t="inlineStr"/>
      <c r="B518" s="1" t="inlineStr">
        <is>
          <t>VL_KHAC</t>
        </is>
      </c>
      <c r="C518" s="1" t="inlineStr">
        <is>
          <t>VL_PHỤ</t>
        </is>
      </c>
      <c r="D518" s="1" t="inlineStr">
        <is>
          <t xml:space="preserve"> - Vật liệu phụ khác (8% vật liệu chính)</t>
        </is>
      </c>
      <c r="E518" s="1" t="inlineStr">
        <is>
          <t>%</t>
        </is>
      </c>
      <c r="F518" s="1" t="inlineStr"/>
      <c r="G518" s="24" t="n">
        <v>0.08</v>
      </c>
      <c r="H518" s="24" t="inlineStr"/>
      <c r="I518" s="24" t="inlineStr"/>
      <c r="J518" s="24" t="inlineStr"/>
      <c r="K518" s="24">
        <f>ROUND(K517*G518, 4)</f>
        <v/>
      </c>
      <c r="L518" s="24" t="inlineStr"/>
      <c r="M518" s="24" t="inlineStr"/>
      <c r="N518" s="24" t="inlineStr"/>
      <c r="O518" s="1" t="inlineStr">
        <is>
          <t>8% Khoản 4.4 TT20</t>
        </is>
      </c>
    </row>
    <row r="519">
      <c r="A519" s="21">
        <f>'Công trình'!A64</f>
        <v/>
      </c>
      <c r="B519" s="21">
        <f>'Công trình'!C64</f>
        <v/>
      </c>
      <c r="C519" s="21" t="inlineStr"/>
      <c r="D519" s="22">
        <f>'Công trình'!D64</f>
        <v/>
      </c>
      <c r="E519" s="21">
        <f>'Công trình'!E64</f>
        <v/>
      </c>
      <c r="F519" s="21">
        <f>'Công trình'!L64</f>
        <v/>
      </c>
      <c r="G519" s="23" t="inlineStr"/>
      <c r="H519" s="23" t="inlineStr"/>
      <c r="I519" s="23" t="inlineStr"/>
      <c r="J519" s="23" t="inlineStr"/>
      <c r="K519" s="23" t="inlineStr"/>
      <c r="L519" s="23" t="inlineStr"/>
      <c r="M519" s="23" t="inlineStr"/>
      <c r="N519" s="23" t="inlineStr"/>
      <c r="O519" s="21" t="inlineStr">
        <is>
          <t>PAKT &amp; Định mức TT20</t>
        </is>
      </c>
    </row>
    <row r="520">
      <c r="A520" s="1" t="inlineStr"/>
      <c r="B520" s="1" t="inlineStr">
        <is>
          <t>NC_LDKT</t>
        </is>
      </c>
      <c r="C520" s="1" t="inlineStr">
        <is>
          <t>LĐKT</t>
        </is>
      </c>
      <c r="D520" s="1" t="inlineStr">
        <is>
          <t xml:space="preserve"> - Kỹ sư / Kiểm định viên / Quan trắc viên</t>
        </is>
      </c>
      <c r="E520" s="1" t="inlineStr">
        <is>
          <t>công</t>
        </is>
      </c>
      <c r="F520" s="1" t="inlineStr"/>
      <c r="G520" s="24" t="inlineStr"/>
      <c r="H520" s="24" t="n">
        <v>0.176</v>
      </c>
      <c r="I520" s="24" t="inlineStr"/>
      <c r="J520" s="24" t="inlineStr"/>
      <c r="K520" s="24" t="inlineStr"/>
      <c r="L520" s="24">
        <f>ROUND(F519*H520, 4)</f>
        <v/>
      </c>
      <c r="M520" s="24" t="inlineStr"/>
      <c r="N520" s="24" t="inlineStr"/>
      <c r="O520" s="1" t="inlineStr">
        <is>
          <t>TTLT 56/2015</t>
        </is>
      </c>
    </row>
    <row r="521">
      <c r="A521" s="1" t="inlineStr"/>
      <c r="B521" s="1" t="inlineStr">
        <is>
          <t>NC_LDPT</t>
        </is>
      </c>
      <c r="C521" s="1" t="inlineStr">
        <is>
          <t>LĐPT</t>
        </is>
      </c>
      <c r="D521" s="1" t="inlineStr">
        <is>
          <t xml:space="preserve"> - Lao động phổ thông phụ việc hiện trường</t>
        </is>
      </c>
      <c r="E521" s="1" t="inlineStr">
        <is>
          <t>công</t>
        </is>
      </c>
      <c r="F521" s="1" t="inlineStr"/>
      <c r="G521" s="24" t="inlineStr"/>
      <c r="H521" s="24" t="n">
        <v>0.044</v>
      </c>
      <c r="I521" s="24" t="inlineStr"/>
      <c r="J521" s="24" t="inlineStr"/>
      <c r="K521" s="24" t="inlineStr"/>
      <c r="L521" s="24">
        <f>ROUND(F519*H521, 4)</f>
        <v/>
      </c>
      <c r="M521" s="24" t="inlineStr"/>
      <c r="N521" s="24" t="inlineStr"/>
      <c r="O521" s="1" t="inlineStr">
        <is>
          <t>Hỗ trợ ngoại nghiệp</t>
        </is>
      </c>
    </row>
    <row r="522">
      <c r="A522" s="1" t="inlineStr"/>
      <c r="B522" s="1" t="inlineStr">
        <is>
          <t>CCDC_01</t>
        </is>
      </c>
      <c r="C522" s="1" t="inlineStr">
        <is>
          <t>CCDC</t>
        </is>
      </c>
      <c r="D522" s="1" t="inlineStr">
        <is>
          <t xml:space="preserve"> - Ca dụng cụ, thiết bị nhỏ đo đạc/lấy mẫu</t>
        </is>
      </c>
      <c r="E522" s="1" t="inlineStr">
        <is>
          <t>ca</t>
        </is>
      </c>
      <c r="F522" s="1" t="inlineStr"/>
      <c r="G522" s="24" t="inlineStr"/>
      <c r="H522" s="24" t="inlineStr"/>
      <c r="I522" s="24" t="n">
        <v>0.1</v>
      </c>
      <c r="J522" s="24" t="inlineStr"/>
      <c r="K522" s="24" t="inlineStr"/>
      <c r="L522" s="24" t="inlineStr"/>
      <c r="M522" s="24">
        <f>ROUND(F519*I522, 4)</f>
        <v/>
      </c>
      <c r="N522" s="24" t="inlineStr"/>
      <c r="O522" s="1" t="inlineStr">
        <is>
          <t>Khoản 4.2 TT20</t>
        </is>
      </c>
    </row>
    <row r="523">
      <c r="A523" s="1" t="inlineStr"/>
      <c r="B523" s="1" t="inlineStr">
        <is>
          <t>CCDC_PHU</t>
        </is>
      </c>
      <c r="C523" s="1" t="inlineStr">
        <is>
          <t>CCDC_PHỤ</t>
        </is>
      </c>
      <c r="D523" s="1" t="inlineStr">
        <is>
          <t xml:space="preserve"> - Dụng cụ phụ khác (10% CCDC chính)</t>
        </is>
      </c>
      <c r="E523" s="1" t="inlineStr">
        <is>
          <t>%</t>
        </is>
      </c>
      <c r="F523" s="1" t="inlineStr"/>
      <c r="G523" s="24" t="inlineStr"/>
      <c r="H523" s="24" t="inlineStr"/>
      <c r="I523" s="24" t="n">
        <v>0.1</v>
      </c>
      <c r="J523" s="24" t="inlineStr"/>
      <c r="K523" s="24" t="inlineStr"/>
      <c r="L523" s="24" t="inlineStr"/>
      <c r="M523" s="24">
        <f>ROUND(M522*I523, 4)</f>
        <v/>
      </c>
      <c r="N523" s="24" t="inlineStr"/>
      <c r="O523" s="1" t="inlineStr">
        <is>
          <t>10% Khoản 4.2 TT20</t>
        </is>
      </c>
    </row>
    <row r="524">
      <c r="A524" s="1" t="inlineStr"/>
      <c r="B524" s="1" t="inlineStr">
        <is>
          <t>M_KHTSCD</t>
        </is>
      </c>
      <c r="C524" s="1" t="inlineStr">
        <is>
          <t>MÁY</t>
        </is>
      </c>
      <c r="D524" s="1" t="inlineStr">
        <is>
          <t xml:space="preserve"> - Khấu hao thiết bị quan trắc chuyên dụng</t>
        </is>
      </c>
      <c r="E524" s="1" t="inlineStr">
        <is>
          <t>ca</t>
        </is>
      </c>
      <c r="F524" s="1" t="inlineStr"/>
      <c r="G524" s="24" t="inlineStr"/>
      <c r="H524" s="24" t="inlineStr"/>
      <c r="I524" s="24" t="inlineStr"/>
      <c r="J524" s="24" t="n">
        <v>0.08</v>
      </c>
      <c r="K524" s="24" t="inlineStr"/>
      <c r="L524" s="24" t="inlineStr"/>
      <c r="M524" s="24" t="inlineStr"/>
      <c r="N524" s="24">
        <f>ROUND(F519*J524, 4)</f>
        <v/>
      </c>
      <c r="O524" s="1" t="inlineStr">
        <is>
          <t>TT 45/2013</t>
        </is>
      </c>
    </row>
    <row r="525">
      <c r="A525" s="1" t="inlineStr"/>
      <c r="B525" s="1" t="inlineStr">
        <is>
          <t>M_NANGLUONG</t>
        </is>
      </c>
      <c r="C525" s="1" t="inlineStr">
        <is>
          <t>ĐIỆN</t>
        </is>
      </c>
      <c r="D525" s="1" t="inlineStr">
        <is>
          <t xml:space="preserve"> - Năng lượng điện vận hành thiết bị PTN</t>
        </is>
      </c>
      <c r="E525" s="1" t="inlineStr">
        <is>
          <t>kWh</t>
        </is>
      </c>
      <c r="F525" s="1" t="inlineStr"/>
      <c r="G525" s="24" t="inlineStr"/>
      <c r="H525" s="24" t="inlineStr"/>
      <c r="I525" s="24" t="inlineStr"/>
      <c r="J525" s="24" t="n">
        <v>0.5</v>
      </c>
      <c r="K525" s="24" t="inlineStr"/>
      <c r="L525" s="24" t="inlineStr"/>
      <c r="M525" s="24" t="inlineStr"/>
      <c r="N525" s="24">
        <f>ROUND(F519*J525, 4)</f>
        <v/>
      </c>
      <c r="O525" s="1" t="inlineStr">
        <is>
          <t>Điện năng PTN</t>
        </is>
      </c>
    </row>
    <row r="526">
      <c r="A526" s="1" t="inlineStr"/>
      <c r="B526" s="1" t="inlineStr">
        <is>
          <t>VL_01</t>
        </is>
      </c>
      <c r="C526" s="1" t="inlineStr">
        <is>
          <t>VL</t>
        </is>
      </c>
      <c r="D526" s="1" t="inlineStr">
        <is>
          <t xml:space="preserve"> - Hóa chất phân tích tinh khiết, màng lọc, chuẩn</t>
        </is>
      </c>
      <c r="E526" s="1" t="inlineStr">
        <is>
          <t>bộ</t>
        </is>
      </c>
      <c r="F526" s="1" t="inlineStr"/>
      <c r="G526" s="24" t="n">
        <v>0.04</v>
      </c>
      <c r="H526" s="24" t="inlineStr"/>
      <c r="I526" s="24" t="inlineStr"/>
      <c r="J526" s="24" t="inlineStr"/>
      <c r="K526" s="24">
        <f>ROUND(F519*G526, 4)</f>
        <v/>
      </c>
      <c r="L526" s="24" t="inlineStr"/>
      <c r="M526" s="24" t="inlineStr"/>
      <c r="N526" s="24" t="inlineStr"/>
      <c r="O526" s="1" t="inlineStr">
        <is>
          <t>Khoản 4.4 TT20</t>
        </is>
      </c>
    </row>
    <row r="527">
      <c r="A527" s="1" t="inlineStr"/>
      <c r="B527" s="1" t="inlineStr">
        <is>
          <t>VL_KHAC</t>
        </is>
      </c>
      <c r="C527" s="1" t="inlineStr">
        <is>
          <t>VL_PHỤ</t>
        </is>
      </c>
      <c r="D527" s="1" t="inlineStr">
        <is>
          <t xml:space="preserve"> - Vật liệu phụ khác (8% vật liệu chính)</t>
        </is>
      </c>
      <c r="E527" s="1" t="inlineStr">
        <is>
          <t>%</t>
        </is>
      </c>
      <c r="F527" s="1" t="inlineStr"/>
      <c r="G527" s="24" t="n">
        <v>0.08</v>
      </c>
      <c r="H527" s="24" t="inlineStr"/>
      <c r="I527" s="24" t="inlineStr"/>
      <c r="J527" s="24" t="inlineStr"/>
      <c r="K527" s="24">
        <f>ROUND(K526*G527, 4)</f>
        <v/>
      </c>
      <c r="L527" s="24" t="inlineStr"/>
      <c r="M527" s="24" t="inlineStr"/>
      <c r="N527" s="24" t="inlineStr"/>
      <c r="O527" s="1" t="inlineStr">
        <is>
          <t>8% Khoản 4.4 TT20</t>
        </is>
      </c>
    </row>
    <row r="528">
      <c r="A528" s="21">
        <f>'Công trình'!A65</f>
        <v/>
      </c>
      <c r="B528" s="21">
        <f>'Công trình'!C65</f>
        <v/>
      </c>
      <c r="C528" s="21" t="inlineStr"/>
      <c r="D528" s="22">
        <f>'Công trình'!D65</f>
        <v/>
      </c>
      <c r="E528" s="21">
        <f>'Công trình'!E65</f>
        <v/>
      </c>
      <c r="F528" s="21">
        <f>'Công trình'!L65</f>
        <v/>
      </c>
      <c r="G528" s="23" t="inlineStr"/>
      <c r="H528" s="23" t="inlineStr"/>
      <c r="I528" s="23" t="inlineStr"/>
      <c r="J528" s="23" t="inlineStr"/>
      <c r="K528" s="23" t="inlineStr"/>
      <c r="L528" s="23" t="inlineStr"/>
      <c r="M528" s="23" t="inlineStr"/>
      <c r="N528" s="23" t="inlineStr"/>
      <c r="O528" s="21" t="inlineStr">
        <is>
          <t>PAKT &amp; Định mức TT20</t>
        </is>
      </c>
    </row>
    <row r="529">
      <c r="A529" s="1" t="inlineStr"/>
      <c r="B529" s="1" t="inlineStr">
        <is>
          <t>NC_LDKT</t>
        </is>
      </c>
      <c r="C529" s="1" t="inlineStr">
        <is>
          <t>LĐKT</t>
        </is>
      </c>
      <c r="D529" s="1" t="inlineStr">
        <is>
          <t xml:space="preserve"> - Kỹ sư / Kiểm định viên / Quan trắc viên</t>
        </is>
      </c>
      <c r="E529" s="1" t="inlineStr">
        <is>
          <t>công</t>
        </is>
      </c>
      <c r="F529" s="1" t="inlineStr"/>
      <c r="G529" s="24" t="inlineStr"/>
      <c r="H529" s="24" t="n">
        <v>0.176</v>
      </c>
      <c r="I529" s="24" t="inlineStr"/>
      <c r="J529" s="24" t="inlineStr"/>
      <c r="K529" s="24" t="inlineStr"/>
      <c r="L529" s="24">
        <f>ROUND(F528*H529, 4)</f>
        <v/>
      </c>
      <c r="M529" s="24" t="inlineStr"/>
      <c r="N529" s="24" t="inlineStr"/>
      <c r="O529" s="1" t="inlineStr">
        <is>
          <t>TTLT 56/2015</t>
        </is>
      </c>
    </row>
    <row r="530">
      <c r="A530" s="1" t="inlineStr"/>
      <c r="B530" s="1" t="inlineStr">
        <is>
          <t>NC_LDPT</t>
        </is>
      </c>
      <c r="C530" s="1" t="inlineStr">
        <is>
          <t>LĐPT</t>
        </is>
      </c>
      <c r="D530" s="1" t="inlineStr">
        <is>
          <t xml:space="preserve"> - Lao động phổ thông phụ việc hiện trường</t>
        </is>
      </c>
      <c r="E530" s="1" t="inlineStr">
        <is>
          <t>công</t>
        </is>
      </c>
      <c r="F530" s="1" t="inlineStr"/>
      <c r="G530" s="24" t="inlineStr"/>
      <c r="H530" s="24" t="n">
        <v>0.044</v>
      </c>
      <c r="I530" s="24" t="inlineStr"/>
      <c r="J530" s="24" t="inlineStr"/>
      <c r="K530" s="24" t="inlineStr"/>
      <c r="L530" s="24">
        <f>ROUND(F528*H530, 4)</f>
        <v/>
      </c>
      <c r="M530" s="24" t="inlineStr"/>
      <c r="N530" s="24" t="inlineStr"/>
      <c r="O530" s="1" t="inlineStr">
        <is>
          <t>Hỗ trợ ngoại nghiệp</t>
        </is>
      </c>
    </row>
    <row r="531">
      <c r="A531" s="1" t="inlineStr"/>
      <c r="B531" s="1" t="inlineStr">
        <is>
          <t>CCDC_01</t>
        </is>
      </c>
      <c r="C531" s="1" t="inlineStr">
        <is>
          <t>CCDC</t>
        </is>
      </c>
      <c r="D531" s="1" t="inlineStr">
        <is>
          <t xml:space="preserve"> - Ca dụng cụ, thiết bị nhỏ đo đạc/lấy mẫu</t>
        </is>
      </c>
      <c r="E531" s="1" t="inlineStr">
        <is>
          <t>ca</t>
        </is>
      </c>
      <c r="F531" s="1" t="inlineStr"/>
      <c r="G531" s="24" t="inlineStr"/>
      <c r="H531" s="24" t="inlineStr"/>
      <c r="I531" s="24" t="n">
        <v>0.1</v>
      </c>
      <c r="J531" s="24" t="inlineStr"/>
      <c r="K531" s="24" t="inlineStr"/>
      <c r="L531" s="24" t="inlineStr"/>
      <c r="M531" s="24">
        <f>ROUND(F528*I531, 4)</f>
        <v/>
      </c>
      <c r="N531" s="24" t="inlineStr"/>
      <c r="O531" s="1" t="inlineStr">
        <is>
          <t>Khoản 4.2 TT20</t>
        </is>
      </c>
    </row>
    <row r="532">
      <c r="A532" s="1" t="inlineStr"/>
      <c r="B532" s="1" t="inlineStr">
        <is>
          <t>CCDC_PHU</t>
        </is>
      </c>
      <c r="C532" s="1" t="inlineStr">
        <is>
          <t>CCDC_PHỤ</t>
        </is>
      </c>
      <c r="D532" s="1" t="inlineStr">
        <is>
          <t xml:space="preserve"> - Dụng cụ phụ khác (10% CCDC chính)</t>
        </is>
      </c>
      <c r="E532" s="1" t="inlineStr">
        <is>
          <t>%</t>
        </is>
      </c>
      <c r="F532" s="1" t="inlineStr"/>
      <c r="G532" s="24" t="inlineStr"/>
      <c r="H532" s="24" t="inlineStr"/>
      <c r="I532" s="24" t="n">
        <v>0.1</v>
      </c>
      <c r="J532" s="24" t="inlineStr"/>
      <c r="K532" s="24" t="inlineStr"/>
      <c r="L532" s="24" t="inlineStr"/>
      <c r="M532" s="24">
        <f>ROUND(M531*I532, 4)</f>
        <v/>
      </c>
      <c r="N532" s="24" t="inlineStr"/>
      <c r="O532" s="1" t="inlineStr">
        <is>
          <t>10% Khoản 4.2 TT20</t>
        </is>
      </c>
    </row>
    <row r="533">
      <c r="A533" s="1" t="inlineStr"/>
      <c r="B533" s="1" t="inlineStr">
        <is>
          <t>M_KHTSCD</t>
        </is>
      </c>
      <c r="C533" s="1" t="inlineStr">
        <is>
          <t>MÁY</t>
        </is>
      </c>
      <c r="D533" s="1" t="inlineStr">
        <is>
          <t xml:space="preserve"> - Khấu hao thiết bị quan trắc chuyên dụng</t>
        </is>
      </c>
      <c r="E533" s="1" t="inlineStr">
        <is>
          <t>ca</t>
        </is>
      </c>
      <c r="F533" s="1" t="inlineStr"/>
      <c r="G533" s="24" t="inlineStr"/>
      <c r="H533" s="24" t="inlineStr"/>
      <c r="I533" s="24" t="inlineStr"/>
      <c r="J533" s="24" t="n">
        <v>0.08</v>
      </c>
      <c r="K533" s="24" t="inlineStr"/>
      <c r="L533" s="24" t="inlineStr"/>
      <c r="M533" s="24" t="inlineStr"/>
      <c r="N533" s="24">
        <f>ROUND(F528*J533, 4)</f>
        <v/>
      </c>
      <c r="O533" s="1" t="inlineStr">
        <is>
          <t>TT 45/2013</t>
        </is>
      </c>
    </row>
    <row r="534">
      <c r="A534" s="1" t="inlineStr"/>
      <c r="B534" s="1" t="inlineStr">
        <is>
          <t>M_NANGLUONG</t>
        </is>
      </c>
      <c r="C534" s="1" t="inlineStr">
        <is>
          <t>ĐIỆN</t>
        </is>
      </c>
      <c r="D534" s="1" t="inlineStr">
        <is>
          <t xml:space="preserve"> - Năng lượng điện vận hành thiết bị PTN</t>
        </is>
      </c>
      <c r="E534" s="1" t="inlineStr">
        <is>
          <t>kWh</t>
        </is>
      </c>
      <c r="F534" s="1" t="inlineStr"/>
      <c r="G534" s="24" t="inlineStr"/>
      <c r="H534" s="24" t="inlineStr"/>
      <c r="I534" s="24" t="inlineStr"/>
      <c r="J534" s="24" t="n">
        <v>0.5</v>
      </c>
      <c r="K534" s="24" t="inlineStr"/>
      <c r="L534" s="24" t="inlineStr"/>
      <c r="M534" s="24" t="inlineStr"/>
      <c r="N534" s="24">
        <f>ROUND(F528*J534, 4)</f>
        <v/>
      </c>
      <c r="O534" s="1" t="inlineStr">
        <is>
          <t>Điện năng PTN</t>
        </is>
      </c>
    </row>
    <row r="535">
      <c r="A535" s="1" t="inlineStr"/>
      <c r="B535" s="1" t="inlineStr">
        <is>
          <t>VL_01</t>
        </is>
      </c>
      <c r="C535" s="1" t="inlineStr">
        <is>
          <t>VL</t>
        </is>
      </c>
      <c r="D535" s="1" t="inlineStr">
        <is>
          <t xml:space="preserve"> - Hóa chất phân tích tinh khiết, màng lọc, chuẩn</t>
        </is>
      </c>
      <c r="E535" s="1" t="inlineStr">
        <is>
          <t>bộ</t>
        </is>
      </c>
      <c r="F535" s="1" t="inlineStr"/>
      <c r="G535" s="24" t="n">
        <v>0.04</v>
      </c>
      <c r="H535" s="24" t="inlineStr"/>
      <c r="I535" s="24" t="inlineStr"/>
      <c r="J535" s="24" t="inlineStr"/>
      <c r="K535" s="24">
        <f>ROUND(F528*G535, 4)</f>
        <v/>
      </c>
      <c r="L535" s="24" t="inlineStr"/>
      <c r="M535" s="24" t="inlineStr"/>
      <c r="N535" s="24" t="inlineStr"/>
      <c r="O535" s="1" t="inlineStr">
        <is>
          <t>Khoản 4.4 TT20</t>
        </is>
      </c>
    </row>
    <row r="536">
      <c r="A536" s="1" t="inlineStr"/>
      <c r="B536" s="1" t="inlineStr">
        <is>
          <t>VL_KHAC</t>
        </is>
      </c>
      <c r="C536" s="1" t="inlineStr">
        <is>
          <t>VL_PHỤ</t>
        </is>
      </c>
      <c r="D536" s="1" t="inlineStr">
        <is>
          <t xml:space="preserve"> - Vật liệu phụ khác (8% vật liệu chính)</t>
        </is>
      </c>
      <c r="E536" s="1" t="inlineStr">
        <is>
          <t>%</t>
        </is>
      </c>
      <c r="F536" s="1" t="inlineStr"/>
      <c r="G536" s="24" t="n">
        <v>0.08</v>
      </c>
      <c r="H536" s="24" t="inlineStr"/>
      <c r="I536" s="24" t="inlineStr"/>
      <c r="J536" s="24" t="inlineStr"/>
      <c r="K536" s="24">
        <f>ROUND(K535*G536, 4)</f>
        <v/>
      </c>
      <c r="L536" s="24" t="inlineStr"/>
      <c r="M536" s="24" t="inlineStr"/>
      <c r="N536" s="24" t="inlineStr"/>
      <c r="O536" s="1" t="inlineStr">
        <is>
          <t>8% Khoản 4.4 TT20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5" customWidth="1" min="3" max="3"/>
    <col width="24" customWidth="1" min="5" max="5"/>
    <col width="24" customWidth="1" min="6" max="6"/>
    <col width="26" customWidth="1" min="7" max="7"/>
    <col width="40" customWidth="1" min="8" max="8"/>
  </cols>
  <sheetData>
    <row r="1">
      <c r="A1" s="5" t="inlineStr">
        <is>
          <t>BẢNG TỔNG HỢP VẬT LIỆU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5 &amp; Mục 4.4; KQLCNT IB2600096765 chia 1.08)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vật tư, hóa chất, dung môi</t>
        </is>
      </c>
      <c r="D6" s="8" t="inlineStr">
        <is>
          <t>Đơn vị</t>
        </is>
      </c>
      <c r="E6" s="8" t="inlineStr">
        <is>
          <t>Khối lượng tổng cộng</t>
        </is>
      </c>
      <c r="F6" s="8" t="inlineStr">
        <is>
          <t>Đơn giá chưa VAT (KQLCNT IB2600096765)</t>
        </is>
      </c>
      <c r="G6" s="8" t="inlineStr">
        <is>
          <t>Thành tiền vật liệu (VNĐ)</t>
        </is>
      </c>
      <c r="H6" s="8" t="inlineStr">
        <is>
          <t>Ghi chú nguồn giá</t>
        </is>
      </c>
    </row>
    <row r="7">
      <c r="A7" s="1" t="n">
        <v>1</v>
      </c>
      <c r="B7" s="1" t="inlineStr">
        <is>
          <t>VL_001</t>
        </is>
      </c>
      <c r="C7" s="1" t="inlineStr">
        <is>
          <t>(NH4)2Fe(SO4)2.6H2O</t>
        </is>
      </c>
      <c r="D7" s="1" t="inlineStr">
        <is>
          <t>gam</t>
        </is>
      </c>
      <c r="E7" s="24" t="n">
        <v>4</v>
      </c>
      <c r="F7" s="11" t="n">
        <v>1180</v>
      </c>
      <c r="G7" s="11">
        <f>ROUND(E7*F7, 0)</f>
        <v/>
      </c>
      <c r="H7" s="1" t="inlineStr">
        <is>
          <t>Min 03 Báo giá cạnh tranh (Khoản 2 Điều 16 NĐ 24/2024/NĐ-CP)</t>
        </is>
      </c>
    </row>
    <row r="8">
      <c r="A8" s="1" t="n">
        <v>2</v>
      </c>
      <c r="B8" s="1" t="inlineStr">
        <is>
          <t>VL_002</t>
        </is>
      </c>
      <c r="C8" s="1" t="inlineStr">
        <is>
          <t>(NH4)2HPO4</t>
        </is>
      </c>
      <c r="D8" s="1" t="inlineStr">
        <is>
          <t>gam</t>
        </is>
      </c>
      <c r="E8" s="24" t="n">
        <v>12</v>
      </c>
      <c r="F8" s="11" t="n">
        <v>1180</v>
      </c>
      <c r="G8" s="11">
        <f>ROUND(E8*F8, 0)</f>
        <v/>
      </c>
      <c r="H8" s="1" t="inlineStr">
        <is>
          <t>Min 03 Báo giá cạnh tranh (Khoản 2 Điều 16 NĐ 24/2024/NĐ-CP)</t>
        </is>
      </c>
    </row>
    <row r="9">
      <c r="A9" s="1" t="n">
        <v>3</v>
      </c>
      <c r="B9" s="1" t="inlineStr">
        <is>
          <t>VL_003</t>
        </is>
      </c>
      <c r="C9" s="1" t="inlineStr">
        <is>
          <t>(NH4)6Mo7O24.4H2O</t>
        </is>
      </c>
      <c r="D9" s="1" t="inlineStr">
        <is>
          <t>gam</t>
        </is>
      </c>
      <c r="E9" s="24" t="n">
        <v>2.4</v>
      </c>
      <c r="F9" s="11" t="n">
        <v>1180</v>
      </c>
      <c r="G9" s="11">
        <f>ROUND(E9*F9, 0)</f>
        <v/>
      </c>
      <c r="H9" s="1" t="inlineStr">
        <is>
          <t>Min 03 Báo giá cạnh tranh (Khoản 2 Điều 16 NĐ 24/2024/NĐ-CP)</t>
        </is>
      </c>
    </row>
    <row r="10">
      <c r="A10" s="1" t="n">
        <v>4</v>
      </c>
      <c r="B10" s="1" t="inlineStr">
        <is>
          <t>VL_004</t>
        </is>
      </c>
      <c r="C10" s="1" t="inlineStr">
        <is>
          <t>1,5-Diphenylcacbazid (C13H14N4O)</t>
        </is>
      </c>
      <c r="D10" s="1" t="inlineStr">
        <is>
          <t>gam</t>
        </is>
      </c>
      <c r="E10" s="24" t="n">
        <v>8</v>
      </c>
      <c r="F10" s="11" t="n">
        <v>1180</v>
      </c>
      <c r="G10" s="11">
        <f>ROUND(E10*F10, 0)</f>
        <v/>
      </c>
      <c r="H10" s="1" t="inlineStr">
        <is>
          <t>Min 03 Báo giá cạnh tranh (Khoản 2 Điều 16 NĐ 24/2024/NĐ-CP)</t>
        </is>
      </c>
    </row>
    <row r="11">
      <c r="A11" s="1" t="n">
        <v>5</v>
      </c>
      <c r="B11" s="1" t="inlineStr">
        <is>
          <t>VL_005</t>
        </is>
      </c>
      <c r="C11" s="1" t="inlineStr">
        <is>
          <t>Aceton</t>
        </is>
      </c>
      <c r="D11" s="1" t="inlineStr">
        <is>
          <t>Lít</t>
        </is>
      </c>
      <c r="E11" s="24" t="n">
        <v>1.08</v>
      </c>
      <c r="F11" s="11" t="n">
        <v>370000</v>
      </c>
      <c r="G11" s="11">
        <f>ROUND(E11*F11, 0)</f>
        <v/>
      </c>
      <c r="H11" s="1" t="inlineStr">
        <is>
          <t>KQLCNT EVN Vĩnh Tân 4 IB2600096765 (Trước thuế = Giá VAT 8% / 1.08)</t>
        </is>
      </c>
    </row>
    <row r="12">
      <c r="A12" s="1" t="n">
        <v>6</v>
      </c>
      <c r="B12" s="1" t="inlineStr">
        <is>
          <t>VL_006</t>
        </is>
      </c>
      <c r="C12" s="1" t="inlineStr">
        <is>
          <t>Aceton</t>
        </is>
      </c>
      <c r="D12" s="1" t="inlineStr">
        <is>
          <t>ml</t>
        </is>
      </c>
      <c r="E12" s="24" t="n">
        <v>400</v>
      </c>
      <c r="F12" s="11" t="n">
        <v>370</v>
      </c>
      <c r="G12" s="11">
        <f>ROUND(E12*F12, 0)</f>
        <v/>
      </c>
      <c r="H12" s="1" t="inlineStr">
        <is>
          <t>KQLCNT EVN Vĩnh Tân 4 IB2600096765 (Trước thuế = Giá VAT 8% / 1.08)</t>
        </is>
      </c>
    </row>
    <row r="13">
      <c r="A13" s="1" t="n">
        <v>7</v>
      </c>
      <c r="B13" s="1" t="inlineStr">
        <is>
          <t>VL_007</t>
        </is>
      </c>
      <c r="C13" s="1" t="inlineStr">
        <is>
          <t>Ag2SO4</t>
        </is>
      </c>
      <c r="D13" s="1" t="inlineStr">
        <is>
          <t>gam</t>
        </is>
      </c>
      <c r="E13" s="24" t="n">
        <v>5.8</v>
      </c>
      <c r="F13" s="11" t="n">
        <v>31360</v>
      </c>
      <c r="G13" s="11">
        <f>ROUND(E13*F13, 0)</f>
        <v/>
      </c>
      <c r="H13" s="1" t="inlineStr">
        <is>
          <t>Min 03 Báo giá cạnh tranh (Khoản 2 Điều 16 NĐ 24/2024/NĐ-CP)</t>
        </is>
      </c>
    </row>
    <row r="14">
      <c r="A14" s="1" t="n">
        <v>8</v>
      </c>
      <c r="B14" s="1" t="inlineStr">
        <is>
          <t>VL_008</t>
        </is>
      </c>
      <c r="C14" s="1" t="inlineStr">
        <is>
          <t>AgNO3</t>
        </is>
      </c>
      <c r="D14" s="1" t="inlineStr">
        <is>
          <t>Gram</t>
        </is>
      </c>
      <c r="E14" s="24" t="n">
        <v>18</v>
      </c>
      <c r="F14" s="11" t="n">
        <v>31360</v>
      </c>
      <c r="G14" s="11">
        <f>ROUND(E14*F14, 0)</f>
        <v/>
      </c>
      <c r="H14" s="1" t="inlineStr">
        <is>
          <t>Min 03 Báo giá cạnh tranh (Khoản 2 Điều 16 NĐ 24/2024/NĐ-CP)</t>
        </is>
      </c>
    </row>
    <row r="15">
      <c r="A15" s="1" t="n">
        <v>9</v>
      </c>
      <c r="B15" s="1" t="inlineStr">
        <is>
          <t>VL_009</t>
        </is>
      </c>
      <c r="C15" s="1" t="inlineStr">
        <is>
          <t>Axit Bacbituric</t>
        </is>
      </c>
      <c r="D15" s="1" t="inlineStr">
        <is>
          <t>Gram</t>
        </is>
      </c>
      <c r="E15" s="24" t="n">
        <v>32.4</v>
      </c>
      <c r="F15" s="11" t="n">
        <v>1180</v>
      </c>
      <c r="G15" s="11">
        <f>ROUND(E15*F15, 0)</f>
        <v/>
      </c>
      <c r="H15" s="1" t="inlineStr">
        <is>
          <t>Min 03 Báo giá cạnh tranh (Khoản 2 Điều 16 NĐ 24/2024/NĐ-CP)</t>
        </is>
      </c>
    </row>
    <row r="16">
      <c r="A16" s="1" t="n">
        <v>10</v>
      </c>
      <c r="B16" s="1" t="inlineStr">
        <is>
          <t>VL_010</t>
        </is>
      </c>
      <c r="C16" s="1" t="inlineStr">
        <is>
          <t>Axit ascorbic</t>
        </is>
      </c>
      <c r="D16" s="1" t="inlineStr">
        <is>
          <t>gam</t>
        </is>
      </c>
      <c r="E16" s="24" t="n">
        <v>1.2</v>
      </c>
      <c r="F16" s="11" t="n">
        <v>59100</v>
      </c>
      <c r="G16" s="11">
        <f>ROUND(E16*F16, 0)</f>
        <v/>
      </c>
      <c r="H16" s="1" t="inlineStr">
        <is>
          <t>KQLCNT EVN Vĩnh Tân 4 IB2600096765 (Trước thuế = Giá VAT 8% / 1.08)</t>
        </is>
      </c>
    </row>
    <row r="17">
      <c r="A17" s="1" t="n">
        <v>11</v>
      </c>
      <c r="B17" s="1" t="inlineStr">
        <is>
          <t>VL_011</t>
        </is>
      </c>
      <c r="C17" s="1" t="inlineStr">
        <is>
          <t>Axit sulphamic</t>
        </is>
      </c>
      <c r="D17" s="1" t="inlineStr">
        <is>
          <t>gam</t>
        </is>
      </c>
      <c r="E17" s="24" t="n">
        <v>6.72</v>
      </c>
      <c r="F17" s="11" t="n">
        <v>1180</v>
      </c>
      <c r="G17" s="11">
        <f>ROUND(E17*F17, 0)</f>
        <v/>
      </c>
      <c r="H17" s="1" t="inlineStr">
        <is>
          <t>Min 03 Báo giá cạnh tranh (Khoản 2 Điều 16 NĐ 24/2024/NĐ-CP)</t>
        </is>
      </c>
    </row>
    <row r="18">
      <c r="A18" s="1" t="n">
        <v>12</v>
      </c>
      <c r="B18" s="1" t="inlineStr">
        <is>
          <t>VL_012</t>
        </is>
      </c>
      <c r="C18" s="1" t="inlineStr">
        <is>
          <t>Axít acetic</t>
        </is>
      </c>
      <c r="D18" s="1" t="inlineStr">
        <is>
          <t>ml</t>
        </is>
      </c>
      <c r="E18" s="24" t="n">
        <v>2.4</v>
      </c>
      <c r="F18" s="11" t="n">
        <v>314</v>
      </c>
      <c r="G18" s="11">
        <f>ROUND(E18*F18, 0)</f>
        <v/>
      </c>
      <c r="H18" s="1" t="inlineStr">
        <is>
          <t>Min 03 Báo giá cạnh tranh (Khoản 2 Điều 16 NĐ 24/2024/NĐ-CP)</t>
        </is>
      </c>
    </row>
    <row r="19">
      <c r="A19" s="1" t="n">
        <v>13</v>
      </c>
      <c r="B19" s="1" t="inlineStr">
        <is>
          <t>VL_013</t>
        </is>
      </c>
      <c r="C19" s="1" t="inlineStr">
        <is>
          <t>Axít sulphanilic</t>
        </is>
      </c>
      <c r="D19" s="1" t="inlineStr">
        <is>
          <t>gam</t>
        </is>
      </c>
      <c r="E19" s="24" t="n">
        <v>3</v>
      </c>
      <c r="F19" s="11" t="n">
        <v>1180</v>
      </c>
      <c r="G19" s="11">
        <f>ROUND(E19*F19, 0)</f>
        <v/>
      </c>
      <c r="H19" s="1" t="inlineStr">
        <is>
          <t>Min 03 Báo giá cạnh tranh (Khoản 2 Điều 16 NĐ 24/2024/NĐ-CP)</t>
        </is>
      </c>
    </row>
    <row r="20">
      <c r="A20" s="1" t="n">
        <v>14</v>
      </c>
      <c r="B20" s="1" t="inlineStr">
        <is>
          <t>VL_014</t>
        </is>
      </c>
      <c r="C20" s="1" t="inlineStr">
        <is>
          <t>Bút ghi kính</t>
        </is>
      </c>
      <c r="D20" s="1" t="inlineStr">
        <is>
          <t>cái</t>
        </is>
      </c>
      <c r="E20" s="24" t="n">
        <v>40.2</v>
      </c>
      <c r="F20" s="11" t="n">
        <v>6370</v>
      </c>
      <c r="G20" s="11">
        <f>ROUND(E20*F20, 0)</f>
        <v/>
      </c>
      <c r="H20" s="1" t="inlineStr">
        <is>
          <t>Min 03 Báo giá cạnh tranh (Khoản 2 Điều 16 NĐ 24/2024/NĐ-CP)</t>
        </is>
      </c>
    </row>
    <row r="21">
      <c r="A21" s="1" t="n">
        <v>15</v>
      </c>
      <c r="B21" s="1" t="inlineStr">
        <is>
          <t>VL_015</t>
        </is>
      </c>
      <c r="C21" s="1" t="inlineStr">
        <is>
          <t>Băng giấy in</t>
        </is>
      </c>
      <c r="D21" s="1" t="inlineStr">
        <is>
          <t>gam</t>
        </is>
      </c>
      <c r="E21" s="24" t="n">
        <v>2.1</v>
      </c>
      <c r="F21" s="11" t="n">
        <v>1180</v>
      </c>
      <c r="G21" s="11">
        <f>ROUND(E21*F21, 0)</f>
        <v/>
      </c>
      <c r="H21" s="1" t="inlineStr">
        <is>
          <t>Min 03 Báo giá cạnh tranh (Khoản 2 Điều 16 NĐ 24/2024/NĐ-CP)</t>
        </is>
      </c>
    </row>
    <row r="22">
      <c r="A22" s="1" t="n">
        <v>16</v>
      </c>
      <c r="B22" s="1" t="inlineStr">
        <is>
          <t>VL_016</t>
        </is>
      </c>
      <c r="C22" s="1" t="inlineStr">
        <is>
          <t>Băng giấy in</t>
        </is>
      </c>
      <c r="D22" s="1" t="inlineStr">
        <is>
          <t>gram</t>
        </is>
      </c>
      <c r="E22" s="24" t="n">
        <v>2</v>
      </c>
      <c r="F22" s="11" t="n">
        <v>1180</v>
      </c>
      <c r="G22" s="11">
        <f>ROUND(E22*F22, 0)</f>
        <v/>
      </c>
      <c r="H22" s="1" t="inlineStr">
        <is>
          <t>Min 03 Báo giá cạnh tranh (Khoản 2 Điều 16 NĐ 24/2024/NĐ-CP)</t>
        </is>
      </c>
    </row>
    <row r="23">
      <c r="A23" s="1" t="n">
        <v>17</v>
      </c>
      <c r="B23" s="1" t="inlineStr">
        <is>
          <t>VL_017</t>
        </is>
      </c>
      <c r="C23" s="1" t="inlineStr">
        <is>
          <t>Bản đồ địa hình</t>
        </is>
      </c>
      <c r="D23" s="1" t="inlineStr">
        <is>
          <t>cái</t>
        </is>
      </c>
      <c r="E23" s="24" t="n">
        <v>19.88</v>
      </c>
      <c r="F23" s="11" t="n">
        <v>14700</v>
      </c>
      <c r="G23" s="11">
        <f>ROUND(E23*F23, 0)</f>
        <v/>
      </c>
      <c r="H23" s="1" t="inlineStr">
        <is>
          <t>Min 03 Báo giá cạnh tranh (Khoản 2 Điều 16 NĐ 24/2024/NĐ-CP)</t>
        </is>
      </c>
    </row>
    <row r="24">
      <c r="A24" s="1" t="n">
        <v>18</v>
      </c>
      <c r="B24" s="1" t="inlineStr">
        <is>
          <t>VL_018</t>
        </is>
      </c>
      <c r="C24" s="1" t="inlineStr">
        <is>
          <t>Bản đồ địa hình</t>
        </is>
      </c>
      <c r="D24" s="1" t="inlineStr">
        <is>
          <t>tờ</t>
        </is>
      </c>
      <c r="E24" s="24" t="n">
        <v>15.12</v>
      </c>
      <c r="F24" s="11" t="n">
        <v>14700</v>
      </c>
      <c r="G24" s="11">
        <f>ROUND(E24*F24, 0)</f>
        <v/>
      </c>
      <c r="H24" s="1" t="inlineStr">
        <is>
          <t>Min 03 Báo giá cạnh tranh (Khoản 2 Điều 16 NĐ 24/2024/NĐ-CP)</t>
        </is>
      </c>
    </row>
    <row r="25">
      <c r="A25" s="1" t="n">
        <v>19</v>
      </c>
      <c r="B25" s="1" t="inlineStr">
        <is>
          <t>VL_019</t>
        </is>
      </c>
      <c r="C25" s="1" t="inlineStr">
        <is>
          <t>Bộ màng bơm, van, gioăng đệm</t>
        </is>
      </c>
      <c r="D25" s="1" t="inlineStr">
        <is>
          <t>bộ</t>
        </is>
      </c>
      <c r="E25" s="24" t="n">
        <v>0.4</v>
      </c>
      <c r="F25" s="11" t="n">
        <v>4900</v>
      </c>
      <c r="G25" s="11">
        <f>ROUND(E25*F25, 0)</f>
        <v/>
      </c>
      <c r="H25" s="1" t="inlineStr">
        <is>
          <t>Min 03 Báo giá cạnh tranh (Khoản 2 Điều 16 NĐ 24/2024/NĐ-CP)</t>
        </is>
      </c>
    </row>
    <row r="26">
      <c r="A26" s="1" t="n">
        <v>20</v>
      </c>
      <c r="B26" s="1" t="inlineStr">
        <is>
          <t>VL_020</t>
        </is>
      </c>
      <c r="C26" s="1" t="inlineStr">
        <is>
          <t>Bột Niken</t>
        </is>
      </c>
      <c r="D26" s="1" t="inlineStr">
        <is>
          <t>gam</t>
        </is>
      </c>
      <c r="E26" s="24" t="n">
        <v>0.6</v>
      </c>
      <c r="F26" s="11" t="n">
        <v>1180</v>
      </c>
      <c r="G26" s="11">
        <f>ROUND(E26*F26, 0)</f>
        <v/>
      </c>
      <c r="H26" s="1" t="inlineStr">
        <is>
          <t>Min 03 Báo giá cạnh tranh (Khoản 2 Điều 16 NĐ 24/2024/NĐ-CP)</t>
        </is>
      </c>
    </row>
    <row r="27">
      <c r="A27" s="1" t="n">
        <v>21</v>
      </c>
      <c r="B27" s="1" t="inlineStr">
        <is>
          <t>VL_021</t>
        </is>
      </c>
      <c r="C27" s="1" t="inlineStr">
        <is>
          <t>Bột Pd</t>
        </is>
      </c>
      <c r="D27" s="1" t="inlineStr">
        <is>
          <t>gam</t>
        </is>
      </c>
      <c r="E27" s="24" t="n">
        <v>0.1</v>
      </c>
      <c r="F27" s="11" t="n">
        <v>1180</v>
      </c>
      <c r="G27" s="11">
        <f>ROUND(E27*F27, 0)</f>
        <v/>
      </c>
      <c r="H27" s="1" t="inlineStr">
        <is>
          <t>Min 03 Báo giá cạnh tranh (Khoản 2 Điều 16 NĐ 24/2024/NĐ-CP)</t>
        </is>
      </c>
    </row>
    <row r="28">
      <c r="A28" s="1" t="n">
        <v>22</v>
      </c>
      <c r="B28" s="1" t="inlineStr">
        <is>
          <t>VL_022</t>
        </is>
      </c>
      <c r="C28" s="1" t="inlineStr">
        <is>
          <t>C12H8N2.H2O</t>
        </is>
      </c>
      <c r="D28" s="1" t="inlineStr">
        <is>
          <t>gam</t>
        </is>
      </c>
      <c r="E28" s="24" t="n">
        <v>0.4</v>
      </c>
      <c r="F28" s="11" t="n">
        <v>1180</v>
      </c>
      <c r="G28" s="11">
        <f>ROUND(E28*F28, 0)</f>
        <v/>
      </c>
      <c r="H28" s="1" t="inlineStr">
        <is>
          <t>Min 03 Báo giá cạnh tranh (Khoản 2 Điều 16 NĐ 24/2024/NĐ-CP)</t>
        </is>
      </c>
    </row>
    <row r="29">
      <c r="A29" s="1" t="n">
        <v>23</v>
      </c>
      <c r="B29" s="1" t="inlineStr">
        <is>
          <t>VL_023</t>
        </is>
      </c>
      <c r="C29" s="1" t="inlineStr">
        <is>
          <t>C3N3O3Cl2Na.2H2O</t>
        </is>
      </c>
      <c r="D29" s="1" t="inlineStr">
        <is>
          <t>gam</t>
        </is>
      </c>
      <c r="E29" s="24" t="n">
        <v>3.2</v>
      </c>
      <c r="F29" s="11" t="n">
        <v>1180</v>
      </c>
      <c r="G29" s="11">
        <f>ROUND(E29*F29, 0)</f>
        <v/>
      </c>
      <c r="H29" s="1" t="inlineStr">
        <is>
          <t>Min 03 Báo giá cạnh tranh (Khoản 2 Điều 16 NĐ 24/2024/NĐ-CP)</t>
        </is>
      </c>
    </row>
    <row r="30">
      <c r="A30" s="1" t="n">
        <v>24</v>
      </c>
      <c r="B30" s="1" t="inlineStr">
        <is>
          <t>VL_024</t>
        </is>
      </c>
      <c r="C30" s="1" t="inlineStr">
        <is>
          <t>CDTA- C14H22N2O8</t>
        </is>
      </c>
      <c r="D30" s="1" t="inlineStr">
        <is>
          <t>gam</t>
        </is>
      </c>
      <c r="E30" s="24" t="n">
        <v>10</v>
      </c>
      <c r="F30" s="11" t="n">
        <v>1180</v>
      </c>
      <c r="G30" s="11">
        <f>ROUND(E30*F30, 0)</f>
        <v/>
      </c>
      <c r="H30" s="1" t="inlineStr">
        <is>
          <t>Min 03 Báo giá cạnh tranh (Khoản 2 Điều 16 NĐ 24/2024/NĐ-CP)</t>
        </is>
      </c>
    </row>
    <row r="31">
      <c r="A31" s="1" t="n">
        <v>25</v>
      </c>
      <c r="B31" s="1" t="inlineStr">
        <is>
          <t>VL_025</t>
        </is>
      </c>
      <c r="C31" s="1" t="inlineStr">
        <is>
          <t>CH3COOH</t>
        </is>
      </c>
      <c r="D31" s="1" t="inlineStr">
        <is>
          <t>ml</t>
        </is>
      </c>
      <c r="E31" s="24" t="n">
        <v>56</v>
      </c>
      <c r="F31" s="11" t="n">
        <v>274</v>
      </c>
      <c r="G31" s="11">
        <f>ROUND(E31*F31, 0)</f>
        <v/>
      </c>
      <c r="H31" s="1" t="inlineStr">
        <is>
          <t>Min 03 Báo giá cạnh tranh (Khoản 2 Điều 16 NĐ 24/2024/NĐ-CP)</t>
        </is>
      </c>
    </row>
    <row r="32">
      <c r="A32" s="1" t="n">
        <v>26</v>
      </c>
      <c r="B32" s="1" t="inlineStr">
        <is>
          <t>VL_026</t>
        </is>
      </c>
      <c r="C32" s="1" t="inlineStr">
        <is>
          <t>CH3COONa.3H2O</t>
        </is>
      </c>
      <c r="D32" s="1" t="inlineStr">
        <is>
          <t>Gram</t>
        </is>
      </c>
      <c r="E32" s="24" t="n">
        <v>28.8</v>
      </c>
      <c r="F32" s="11" t="n">
        <v>1180</v>
      </c>
      <c r="G32" s="11">
        <f>ROUND(E32*F32, 0)</f>
        <v/>
      </c>
      <c r="H32" s="1" t="inlineStr">
        <is>
          <t>Min 03 Báo giá cạnh tranh (Khoản 2 Điều 16 NĐ 24/2024/NĐ-CP)</t>
        </is>
      </c>
    </row>
    <row r="33">
      <c r="A33" s="1" t="n">
        <v>27</v>
      </c>
      <c r="B33" s="1" t="inlineStr">
        <is>
          <t>VL_027</t>
        </is>
      </c>
      <c r="C33" s="1" t="inlineStr">
        <is>
          <t>CHCl3</t>
        </is>
      </c>
      <c r="D33" s="1" t="inlineStr">
        <is>
          <t>ml</t>
        </is>
      </c>
      <c r="E33" s="24" t="n">
        <v>22</v>
      </c>
      <c r="F33" s="11" t="n">
        <v>314</v>
      </c>
      <c r="G33" s="11">
        <f>ROUND(E33*F33, 0)</f>
        <v/>
      </c>
      <c r="H33" s="1" t="inlineStr">
        <is>
          <t>Min 03 Báo giá cạnh tranh (Khoản 2 Điều 16 NĐ 24/2024/NĐ-CP)</t>
        </is>
      </c>
    </row>
    <row r="34">
      <c r="A34" s="1" t="n">
        <v>28</v>
      </c>
      <c r="B34" s="1" t="inlineStr">
        <is>
          <t>VL_028</t>
        </is>
      </c>
      <c r="C34" s="1" t="inlineStr">
        <is>
          <t>CaCO3</t>
        </is>
      </c>
      <c r="D34" s="1" t="inlineStr">
        <is>
          <t>gam</t>
        </is>
      </c>
      <c r="E34" s="24" t="n">
        <v>3.2</v>
      </c>
      <c r="F34" s="11" t="n">
        <v>1180</v>
      </c>
      <c r="G34" s="11">
        <f>ROUND(E34*F34, 0)</f>
        <v/>
      </c>
      <c r="H34" s="1" t="inlineStr">
        <is>
          <t>Min 03 Báo giá cạnh tranh (Khoản 2 Điều 16 NĐ 24/2024/NĐ-CP)</t>
        </is>
      </c>
    </row>
    <row r="35">
      <c r="A35" s="1" t="n">
        <v>29</v>
      </c>
      <c r="B35" s="1" t="inlineStr">
        <is>
          <t>VL_029</t>
        </is>
      </c>
      <c r="C35" s="1" t="inlineStr">
        <is>
          <t>CaCl2</t>
        </is>
      </c>
      <c r="D35" s="1" t="inlineStr">
        <is>
          <t>gam</t>
        </is>
      </c>
      <c r="E35" s="24" t="n">
        <v>1.44</v>
      </c>
      <c r="F35" s="11" t="n">
        <v>1180</v>
      </c>
      <c r="G35" s="11">
        <f>ROUND(E35*F35, 0)</f>
        <v/>
      </c>
      <c r="H35" s="1" t="inlineStr">
        <is>
          <t>Min 03 Báo giá cạnh tranh (Khoản 2 Điều 16 NĐ 24/2024/NĐ-CP)</t>
        </is>
      </c>
    </row>
    <row r="36">
      <c r="A36" s="1" t="n">
        <v>30</v>
      </c>
      <c r="B36" s="1" t="inlineStr">
        <is>
          <t>VL_030</t>
        </is>
      </c>
      <c r="C36" s="1" t="inlineStr">
        <is>
          <t>Cloramin T</t>
        </is>
      </c>
      <c r="D36" s="1" t="inlineStr">
        <is>
          <t>Gram</t>
        </is>
      </c>
      <c r="E36" s="24" t="n">
        <v>7.2</v>
      </c>
      <c r="F36" s="11" t="n">
        <v>1180</v>
      </c>
      <c r="G36" s="11">
        <f>ROUND(E36*F36, 0)</f>
        <v/>
      </c>
      <c r="H36" s="1" t="inlineStr">
        <is>
          <t>Min 03 Báo giá cạnh tranh (Khoản 2 Điều 16 NĐ 24/2024/NĐ-CP)</t>
        </is>
      </c>
    </row>
    <row r="37">
      <c r="A37" s="1" t="n">
        <v>31</v>
      </c>
      <c r="B37" s="1" t="inlineStr">
        <is>
          <t>VL_031</t>
        </is>
      </c>
      <c r="C37" s="1" t="inlineStr">
        <is>
          <t>Cồn lau dụng cụ (lít)</t>
        </is>
      </c>
      <c r="D37" s="1" t="inlineStr">
        <is>
          <t>lít</t>
        </is>
      </c>
      <c r="E37" s="24" t="n">
        <v>10.68</v>
      </c>
      <c r="F37" s="11" t="n">
        <v>40000</v>
      </c>
      <c r="G37" s="11">
        <f>ROUND(E37*F37, 0)</f>
        <v/>
      </c>
      <c r="H37" s="1" t="inlineStr">
        <is>
          <t>KQLCNT EVN Vĩnh Tân 4 IB2600096765 (Trước thuế = Giá VAT 8% / 1.08)</t>
        </is>
      </c>
    </row>
    <row r="38">
      <c r="A38" s="1" t="n">
        <v>32</v>
      </c>
      <c r="B38" s="1" t="inlineStr">
        <is>
          <t>VL_032</t>
        </is>
      </c>
      <c r="C38" s="1" t="inlineStr">
        <is>
          <t>Cồn lau dụng cụ</t>
        </is>
      </c>
      <c r="D38" s="1" t="inlineStr">
        <is>
          <t>lít</t>
        </is>
      </c>
      <c r="E38" s="24" t="n">
        <v>7.02</v>
      </c>
      <c r="F38" s="11" t="n">
        <v>40000</v>
      </c>
      <c r="G38" s="11">
        <f>ROUND(E38*F38, 0)</f>
        <v/>
      </c>
      <c r="H38" s="1" t="inlineStr">
        <is>
          <t>KQLCNT EVN Vĩnh Tân 4 IB2600096765 (Trước thuế = Giá VAT 8% / 1.08)</t>
        </is>
      </c>
    </row>
    <row r="39">
      <c r="A39" s="1" t="n">
        <v>33</v>
      </c>
      <c r="B39" s="1" t="inlineStr">
        <is>
          <t>VL_033</t>
        </is>
      </c>
      <c r="C39" s="1" t="inlineStr">
        <is>
          <t>Cồn lau dụng cụ</t>
        </is>
      </c>
      <c r="D39" s="1" t="inlineStr">
        <is>
          <t>ml</t>
        </is>
      </c>
      <c r="E39" s="24" t="n">
        <v>21210.02</v>
      </c>
      <c r="F39" s="11" t="n">
        <v>40</v>
      </c>
      <c r="G39" s="11">
        <f>ROUND(E39*F39, 0)</f>
        <v/>
      </c>
      <c r="H39" s="1" t="inlineStr">
        <is>
          <t>KQLCNT EVN Vĩnh Tân 4 IB2600096765 (Trước thuế = Giá VAT 8% / 1.08)</t>
        </is>
      </c>
    </row>
    <row r="40">
      <c r="A40" s="1" t="n">
        <v>34</v>
      </c>
      <c r="B40" s="1" t="inlineStr">
        <is>
          <t>VL_034</t>
        </is>
      </c>
      <c r="C40" s="1" t="inlineStr">
        <is>
          <t>Cồn lau đầu đo</t>
        </is>
      </c>
      <c r="D40" s="1" t="inlineStr">
        <is>
          <t>ml</t>
        </is>
      </c>
      <c r="E40" s="24" t="n">
        <v>1560</v>
      </c>
      <c r="F40" s="11" t="n">
        <v>40</v>
      </c>
      <c r="G40" s="11">
        <f>ROUND(E40*F40, 0)</f>
        <v/>
      </c>
      <c r="H40" s="1" t="inlineStr">
        <is>
          <t>KQLCNT EVN Vĩnh Tân 4 IB2600096765 (Trước thuế = Giá VAT 8% / 1.08)</t>
        </is>
      </c>
    </row>
    <row r="41">
      <c r="A41" s="1" t="n">
        <v>35</v>
      </c>
      <c r="B41" s="1" t="inlineStr">
        <is>
          <t>VL_035</t>
        </is>
      </c>
      <c r="C41" s="1" t="inlineStr">
        <is>
          <t>Diatomit cỡ hạt 0,125mm - 0,150mm</t>
        </is>
      </c>
      <c r="D41" s="1" t="inlineStr">
        <is>
          <t>gam</t>
        </is>
      </c>
      <c r="E41" s="24" t="n">
        <v>2</v>
      </c>
      <c r="F41" s="11" t="n">
        <v>1180</v>
      </c>
      <c r="G41" s="11">
        <f>ROUND(E41*F41, 0)</f>
        <v/>
      </c>
      <c r="H41" s="1" t="inlineStr">
        <is>
          <t>Min 03 Báo giá cạnh tranh (Khoản 2 Điều 16 NĐ 24/2024/NĐ-CP)</t>
        </is>
      </c>
    </row>
    <row r="42">
      <c r="A42" s="1" t="n">
        <v>36</v>
      </c>
      <c r="B42" s="1" t="inlineStr">
        <is>
          <t>VL_036</t>
        </is>
      </c>
      <c r="C42" s="1" t="inlineStr">
        <is>
          <t>Dung dịch NH4+ chuẩn</t>
        </is>
      </c>
      <c r="D42" s="1" t="inlineStr">
        <is>
          <t>ml</t>
        </is>
      </c>
      <c r="E42" s="24" t="n">
        <v>8</v>
      </c>
      <c r="F42" s="11" t="n">
        <v>4780</v>
      </c>
      <c r="G42" s="11">
        <f>ROUND(E42*F42, 0)</f>
        <v/>
      </c>
      <c r="H42" s="1" t="inlineStr">
        <is>
          <t>KQLCNT EVN Vĩnh Tân 4 IB2600096765 (Trước thuế = Giá VAT 8% / 1.08)</t>
        </is>
      </c>
    </row>
    <row r="43">
      <c r="A43" s="1" t="n">
        <v>37</v>
      </c>
      <c r="B43" s="1" t="inlineStr">
        <is>
          <t>VL_037</t>
        </is>
      </c>
      <c r="C43" s="1" t="inlineStr">
        <is>
          <t>Dung dịch chuẩn 1000 Pt-Co</t>
        </is>
      </c>
      <c r="D43" s="1" t="inlineStr">
        <is>
          <t>ml</t>
        </is>
      </c>
      <c r="E43" s="24" t="n">
        <v>120</v>
      </c>
      <c r="F43" s="11" t="n">
        <v>8330</v>
      </c>
      <c r="G43" s="11">
        <f>ROUND(E43*F43, 0)</f>
        <v/>
      </c>
      <c r="H43" s="1" t="inlineStr">
        <is>
          <t>Min 03 Báo giá cạnh tranh (Khoản 2 Điều 16 NĐ 24/2024/NĐ-CP)</t>
        </is>
      </c>
    </row>
    <row r="44">
      <c r="A44" s="1" t="n">
        <v>38</v>
      </c>
      <c r="B44" s="1" t="inlineStr">
        <is>
          <t>VL_038</t>
        </is>
      </c>
      <c r="C44" s="1" t="inlineStr">
        <is>
          <t>Dung dịch chuẩn NaNO2</t>
        </is>
      </c>
      <c r="D44" s="1" t="inlineStr">
        <is>
          <t>ml</t>
        </is>
      </c>
      <c r="E44" s="24" t="n">
        <v>34</v>
      </c>
      <c r="F44" s="11" t="n">
        <v>8330</v>
      </c>
      <c r="G44" s="11">
        <f>ROUND(E44*F44, 0)</f>
        <v/>
      </c>
      <c r="H44" s="1" t="inlineStr">
        <is>
          <t>Min 03 Báo giá cạnh tranh (Khoản 2 Điều 16 NĐ 24/2024/NĐ-CP)</t>
        </is>
      </c>
    </row>
    <row r="45">
      <c r="A45" s="1" t="n">
        <v>39</v>
      </c>
      <c r="B45" s="1" t="inlineStr">
        <is>
          <t>VL_039</t>
        </is>
      </c>
      <c r="C45" s="1" t="inlineStr">
        <is>
          <t>Dung dịch chuẩn P-PO4</t>
        </is>
      </c>
      <c r="D45" s="1" t="inlineStr">
        <is>
          <t>ml</t>
        </is>
      </c>
      <c r="E45" s="24" t="n">
        <v>2</v>
      </c>
      <c r="F45" s="11" t="n">
        <v>8330</v>
      </c>
      <c r="G45" s="11">
        <f>ROUND(E45*F45, 0)</f>
        <v/>
      </c>
      <c r="H45" s="1" t="inlineStr">
        <is>
          <t>Min 03 Báo giá cạnh tranh (Khoản 2 Điều 16 NĐ 24/2024/NĐ-CP)</t>
        </is>
      </c>
    </row>
    <row r="46">
      <c r="A46" s="1" t="n">
        <v>40</v>
      </c>
      <c r="B46" s="1" t="inlineStr">
        <is>
          <t>VL_040</t>
        </is>
      </c>
      <c r="C46" s="1" t="inlineStr">
        <is>
          <t>Dung dịch chuẩn gốc 1.000ppm</t>
        </is>
      </c>
      <c r="D46" s="1" t="inlineStr">
        <is>
          <t>ml</t>
        </is>
      </c>
      <c r="E46" s="24" t="n">
        <v>287.2</v>
      </c>
      <c r="F46" s="11" t="n">
        <v>8330</v>
      </c>
      <c r="G46" s="11">
        <f>ROUND(E46*F46, 0)</f>
        <v/>
      </c>
      <c r="H46" s="1" t="inlineStr">
        <is>
          <t>Min 03 Báo giá cạnh tranh (Khoản 2 Điều 16 NĐ 24/2024/NĐ-CP)</t>
        </is>
      </c>
    </row>
    <row r="47">
      <c r="A47" s="1" t="n">
        <v>41</v>
      </c>
      <c r="B47" s="1" t="inlineStr">
        <is>
          <t>VL_041</t>
        </is>
      </c>
      <c r="C47" s="1" t="inlineStr">
        <is>
          <t>Dung dịch chuẩn gốc 1000ppm</t>
        </is>
      </c>
      <c r="D47" s="1" t="inlineStr">
        <is>
          <t>ml</t>
        </is>
      </c>
      <c r="E47" s="24" t="n">
        <v>112</v>
      </c>
      <c r="F47" s="11" t="n">
        <v>8330</v>
      </c>
      <c r="G47" s="11">
        <f>ROUND(E47*F47, 0)</f>
        <v/>
      </c>
      <c r="H47" s="1" t="inlineStr">
        <is>
          <t>Min 03 Báo giá cạnh tranh (Khoản 2 Điều 16 NĐ 24/2024/NĐ-CP)</t>
        </is>
      </c>
    </row>
    <row r="48">
      <c r="A48" s="1" t="n">
        <v>42</v>
      </c>
      <c r="B48" s="1" t="inlineStr">
        <is>
          <t>VL_042</t>
        </is>
      </c>
      <c r="C48" s="1" t="inlineStr">
        <is>
          <t>Dung dịch chuẩn pH ở giá trị pH = 4 và pH = 10</t>
        </is>
      </c>
      <c r="D48" s="1" t="inlineStr">
        <is>
          <t>ml</t>
        </is>
      </c>
      <c r="E48" s="24" t="n">
        <v>386.4</v>
      </c>
      <c r="F48" s="11" t="n">
        <v>1920</v>
      </c>
      <c r="G48" s="11">
        <f>ROUND(E48*F48, 0)</f>
        <v/>
      </c>
      <c r="H48" s="1" t="inlineStr">
        <is>
          <t>KQLCNT EVN Vĩnh Tân 4 IB2600096765 (Trước thuế = Giá VAT 8% / 1.08)</t>
        </is>
      </c>
    </row>
    <row r="49">
      <c r="A49" s="1" t="n">
        <v>43</v>
      </c>
      <c r="B49" s="1" t="inlineStr">
        <is>
          <t>VL_043</t>
        </is>
      </c>
      <c r="C49" s="1" t="inlineStr">
        <is>
          <t>Dung dịch chuẩn pH ở pH = 4, pH = 7, pH = 10</t>
        </is>
      </c>
      <c r="D49" s="1" t="inlineStr">
        <is>
          <t>ml</t>
        </is>
      </c>
      <c r="E49" s="24" t="n">
        <v>1860</v>
      </c>
      <c r="F49" s="11" t="n">
        <v>1707</v>
      </c>
      <c r="G49" s="11">
        <f>ROUND(E49*F49, 0)</f>
        <v/>
      </c>
      <c r="H49" s="1" t="inlineStr">
        <is>
          <t>KQLCNT EVN Vĩnh Tân 4 IB2600096765 (Trước thuế = Giá VAT 8% / 1.08)</t>
        </is>
      </c>
    </row>
    <row r="50">
      <c r="A50" s="1" t="n">
        <v>44</v>
      </c>
      <c r="B50" s="1" t="inlineStr">
        <is>
          <t>VL_044</t>
        </is>
      </c>
      <c r="C50" s="1" t="inlineStr">
        <is>
          <t>Dung dịch chuẩn pH</t>
        </is>
      </c>
      <c r="D50" s="1" t="inlineStr">
        <is>
          <t>hộp</t>
        </is>
      </c>
      <c r="E50" s="24" t="n">
        <v>1.28</v>
      </c>
      <c r="F50" s="11" t="n">
        <v>853333</v>
      </c>
      <c r="G50" s="11">
        <f>ROUND(E50*F50, 0)</f>
        <v/>
      </c>
      <c r="H50" s="1" t="inlineStr">
        <is>
          <t>KQLCNT EVN Vĩnh Tân 4 IB2600096765 (Trước thuế = Giá VAT 8% / 1.08)</t>
        </is>
      </c>
    </row>
    <row r="51">
      <c r="A51" s="1" t="n">
        <v>45</v>
      </c>
      <c r="B51" s="1" t="inlineStr">
        <is>
          <t>VL_045</t>
        </is>
      </c>
      <c r="C51" s="1" t="inlineStr">
        <is>
          <t>Dung dịch làm sạch điện cực</t>
        </is>
      </c>
      <c r="D51" s="1" t="inlineStr">
        <is>
          <t>ml</t>
        </is>
      </c>
      <c r="E51" s="24" t="n">
        <v>190</v>
      </c>
      <c r="F51" s="11" t="n">
        <v>390</v>
      </c>
      <c r="G51" s="11">
        <f>ROUND(E51*F51, 0)</f>
        <v/>
      </c>
      <c r="H51" s="1" t="inlineStr">
        <is>
          <t>KQLCNT EVN Vĩnh Tân 4 IB2600096765 (Trước thuế = Giá VAT 8% / 1.08)</t>
        </is>
      </c>
    </row>
    <row r="52">
      <c r="A52" s="1" t="n">
        <v>46</v>
      </c>
      <c r="B52" s="1" t="inlineStr">
        <is>
          <t>VL_046</t>
        </is>
      </c>
      <c r="C52" s="1" t="inlineStr">
        <is>
          <t>Dung dịch điện cực DO</t>
        </is>
      </c>
      <c r="D52" s="1" t="inlineStr">
        <is>
          <t>ml</t>
        </is>
      </c>
      <c r="E52" s="24" t="n">
        <v>190</v>
      </c>
      <c r="F52" s="11" t="n">
        <v>1200</v>
      </c>
      <c r="G52" s="11">
        <f>ROUND(E52*F52, 0)</f>
        <v/>
      </c>
      <c r="H52" s="1" t="inlineStr">
        <is>
          <t>KQLCNT EVN Vĩnh Tân 4 IB2600096765 (Trước thuế = Giá VAT 8% / 1.08)</t>
        </is>
      </c>
    </row>
    <row r="53">
      <c r="A53" s="1" t="n">
        <v>47</v>
      </c>
      <c r="B53" s="1" t="inlineStr">
        <is>
          <t>VL_047</t>
        </is>
      </c>
      <c r="C53" s="1" t="inlineStr">
        <is>
          <t>Dung môi</t>
        </is>
      </c>
      <c r="D53" s="1" t="inlineStr">
        <is>
          <t>ml</t>
        </is>
      </c>
      <c r="E53" s="24" t="n">
        <v>4200</v>
      </c>
      <c r="F53" s="11" t="n">
        <v>235</v>
      </c>
      <c r="G53" s="11">
        <f>ROUND(E53*F53, 0)</f>
        <v/>
      </c>
      <c r="H53" s="1" t="inlineStr">
        <is>
          <t>Min 03 Báo giá cạnh tranh (Khoản 2 Điều 16 NĐ 24/2024/NĐ-CP)</t>
        </is>
      </c>
    </row>
    <row r="54">
      <c r="A54" s="1" t="n">
        <v>48</v>
      </c>
      <c r="B54" s="1" t="inlineStr">
        <is>
          <t>VL_048</t>
        </is>
      </c>
      <c r="C54" s="1" t="inlineStr">
        <is>
          <t>EDTA</t>
        </is>
      </c>
      <c r="D54" s="1" t="inlineStr">
        <is>
          <t>gam</t>
        </is>
      </c>
      <c r="E54" s="24" t="n">
        <v>0.24</v>
      </c>
      <c r="F54" s="11" t="n">
        <v>12700</v>
      </c>
      <c r="G54" s="11">
        <f>ROUND(E54*F54, 0)</f>
        <v/>
      </c>
      <c r="H54" s="1" t="inlineStr">
        <is>
          <t>KQLCNT EVN Vĩnh Tân 4 IB2600096765 (Trước thuế = Giá VAT 8% / 1.08)</t>
        </is>
      </c>
    </row>
    <row r="55">
      <c r="A55" s="1" t="n">
        <v>49</v>
      </c>
      <c r="B55" s="1" t="inlineStr">
        <is>
          <t>VL_049</t>
        </is>
      </c>
      <c r="C55" s="1" t="inlineStr">
        <is>
          <t>EDTA</t>
        </is>
      </c>
      <c r="D55" s="1" t="inlineStr">
        <is>
          <t>ml</t>
        </is>
      </c>
      <c r="E55" s="24" t="n">
        <v>0.6</v>
      </c>
      <c r="F55" s="11" t="n">
        <v>1270</v>
      </c>
      <c r="G55" s="11">
        <f>ROUND(E55*F55, 0)</f>
        <v/>
      </c>
      <c r="H55" s="1" t="inlineStr">
        <is>
          <t>KQLCNT EVN Vĩnh Tân 4 IB2600096765 (Trước thuế = Giá VAT 8% / 1.08)</t>
        </is>
      </c>
    </row>
    <row r="56">
      <c r="A56" s="1" t="n">
        <v>50</v>
      </c>
      <c r="B56" s="1" t="inlineStr">
        <is>
          <t>VL_050</t>
        </is>
      </c>
      <c r="C56" s="1" t="inlineStr">
        <is>
          <t>FeCl3, 6H2O</t>
        </is>
      </c>
      <c r="D56" s="1" t="inlineStr">
        <is>
          <t>gam</t>
        </is>
      </c>
      <c r="E56" s="24" t="n">
        <v>1.44</v>
      </c>
      <c r="F56" s="11" t="n">
        <v>6</v>
      </c>
      <c r="G56" s="11">
        <f>ROUND(E56*F56, 0)</f>
        <v/>
      </c>
      <c r="H56" s="1" t="inlineStr">
        <is>
          <t>KQLCNT EVN Vĩnh Tân 4 IB2600096765 (Trước thuế = Giá VAT 8% / 1.08)</t>
        </is>
      </c>
    </row>
    <row r="57">
      <c r="A57" s="1" t="n">
        <v>51</v>
      </c>
      <c r="B57" s="1" t="inlineStr">
        <is>
          <t>VL_051</t>
        </is>
      </c>
      <c r="C57" s="1" t="inlineStr">
        <is>
          <t>FeCl3</t>
        </is>
      </c>
      <c r="D57" s="1" t="inlineStr">
        <is>
          <t>gam</t>
        </is>
      </c>
      <c r="E57" s="24" t="n">
        <v>0.288</v>
      </c>
      <c r="F57" s="11" t="n">
        <v>6</v>
      </c>
      <c r="G57" s="11">
        <f>ROUND(E57*F57, 0)</f>
        <v/>
      </c>
      <c r="H57" s="1" t="inlineStr">
        <is>
          <t>KQLCNT EVN Vĩnh Tân 4 IB2600096765 (Trước thuế = Giá VAT 8% / 1.08)</t>
        </is>
      </c>
    </row>
    <row r="58">
      <c r="A58" s="1" t="n">
        <v>52</v>
      </c>
      <c r="B58" s="1" t="inlineStr">
        <is>
          <t>VL_052</t>
        </is>
      </c>
      <c r="C58" s="1" t="inlineStr">
        <is>
          <t>FeSO4.7H2O</t>
        </is>
      </c>
      <c r="D58" s="1" t="inlineStr">
        <is>
          <t>gam</t>
        </is>
      </c>
      <c r="E58" s="24" t="n">
        <v>4</v>
      </c>
      <c r="F58" s="11" t="n">
        <v>1180</v>
      </c>
      <c r="G58" s="11">
        <f>ROUND(E58*F58, 0)</f>
        <v/>
      </c>
      <c r="H58" s="1" t="inlineStr">
        <is>
          <t>Min 03 Báo giá cạnh tranh (Khoản 2 Điều 16 NĐ 24/2024/NĐ-CP)</t>
        </is>
      </c>
    </row>
    <row r="59">
      <c r="A59" s="1" t="n">
        <v>53</v>
      </c>
      <c r="B59" s="1" t="inlineStr">
        <is>
          <t>VL_053</t>
        </is>
      </c>
      <c r="C59" s="1" t="inlineStr">
        <is>
          <t>Formaldehyt</t>
        </is>
      </c>
      <c r="D59" s="1" t="inlineStr">
        <is>
          <t>ml</t>
        </is>
      </c>
      <c r="E59" s="24" t="n">
        <v>5.6</v>
      </c>
      <c r="F59" s="11" t="n">
        <v>274</v>
      </c>
      <c r="G59" s="11">
        <f>ROUND(E59*F59, 0)</f>
        <v/>
      </c>
      <c r="H59" s="1" t="inlineStr">
        <is>
          <t>Min 03 Báo giá cạnh tranh (Khoản 2 Điều 16 NĐ 24/2024/NĐ-CP)</t>
        </is>
      </c>
    </row>
    <row r="60">
      <c r="A60" s="1" t="n">
        <v>54</v>
      </c>
      <c r="B60" s="1" t="inlineStr">
        <is>
          <t>VL_054</t>
        </is>
      </c>
      <c r="C60" s="1" t="inlineStr">
        <is>
          <t>Gim bấm</t>
        </is>
      </c>
      <c r="D60" s="1" t="inlineStr">
        <is>
          <t>Hộp</t>
        </is>
      </c>
      <c r="E60" s="24" t="n">
        <v>1.6</v>
      </c>
      <c r="F60" s="11" t="n">
        <v>14700</v>
      </c>
      <c r="G60" s="11">
        <f>ROUND(E60*F60, 0)</f>
        <v/>
      </c>
      <c r="H60" s="1" t="inlineStr">
        <is>
          <t>Min 03 Báo giá cạnh tranh (Khoản 2 Điều 16 NĐ 24/2024/NĐ-CP)</t>
        </is>
      </c>
    </row>
    <row r="61">
      <c r="A61" s="1" t="n">
        <v>55</v>
      </c>
      <c r="B61" s="1" t="inlineStr">
        <is>
          <t>VL_055</t>
        </is>
      </c>
      <c r="C61" s="1" t="inlineStr">
        <is>
          <t>Gim bấm</t>
        </is>
      </c>
      <c r="D61" s="1" t="inlineStr">
        <is>
          <t>cái</t>
        </is>
      </c>
      <c r="E61" s="24" t="n">
        <v>0.36</v>
      </c>
      <c r="F61" s="11" t="n">
        <v>14700</v>
      </c>
      <c r="G61" s="11">
        <f>ROUND(E61*F61, 0)</f>
        <v/>
      </c>
      <c r="H61" s="1" t="inlineStr">
        <is>
          <t>Min 03 Báo giá cạnh tranh (Khoản 2 Điều 16 NĐ 24/2024/NĐ-CP)</t>
        </is>
      </c>
    </row>
    <row r="62">
      <c r="A62" s="1" t="n">
        <v>56</v>
      </c>
      <c r="B62" s="1" t="inlineStr">
        <is>
          <t>VL_056</t>
        </is>
      </c>
      <c r="C62" s="1" t="inlineStr">
        <is>
          <t>Gim bấm</t>
        </is>
      </c>
      <c r="D62" s="1" t="inlineStr">
        <is>
          <t>hộp</t>
        </is>
      </c>
      <c r="E62" s="24" t="n">
        <v>3.88</v>
      </c>
      <c r="F62" s="11" t="n">
        <v>14700</v>
      </c>
      <c r="G62" s="11">
        <f>ROUND(E62*F62, 0)</f>
        <v/>
      </c>
      <c r="H62" s="1" t="inlineStr">
        <is>
          <t>Min 03 Báo giá cạnh tranh (Khoản 2 Điều 16 NĐ 24/2024/NĐ-CP)</t>
        </is>
      </c>
    </row>
    <row r="63">
      <c r="A63" s="1" t="n">
        <v>57</v>
      </c>
      <c r="B63" s="1" t="inlineStr">
        <is>
          <t>VL_057</t>
        </is>
      </c>
      <c r="C63" s="1" t="inlineStr">
        <is>
          <t>Gim kẹp giấy</t>
        </is>
      </c>
      <c r="D63" s="1" t="inlineStr">
        <is>
          <t>Hộp</t>
        </is>
      </c>
      <c r="E63" s="24" t="n">
        <v>1.6</v>
      </c>
      <c r="F63" s="11" t="n">
        <v>14700</v>
      </c>
      <c r="G63" s="11">
        <f>ROUND(E63*F63, 0)</f>
        <v/>
      </c>
      <c r="H63" s="1" t="inlineStr">
        <is>
          <t>Min 03 Báo giá cạnh tranh (Khoản 2 Điều 16 NĐ 24/2024/NĐ-CP)</t>
        </is>
      </c>
    </row>
    <row r="64">
      <c r="A64" s="1" t="n">
        <v>58</v>
      </c>
      <c r="B64" s="1" t="inlineStr">
        <is>
          <t>VL_058</t>
        </is>
      </c>
      <c r="C64" s="1" t="inlineStr">
        <is>
          <t>Gim kẹp giấy</t>
        </is>
      </c>
      <c r="D64" s="1" t="inlineStr">
        <is>
          <t>cái</t>
        </is>
      </c>
      <c r="E64" s="24" t="n">
        <v>0.36</v>
      </c>
      <c r="F64" s="11" t="n">
        <v>14700</v>
      </c>
      <c r="G64" s="11">
        <f>ROUND(E64*F64, 0)</f>
        <v/>
      </c>
      <c r="H64" s="1" t="inlineStr">
        <is>
          <t>Min 03 Báo giá cạnh tranh (Khoản 2 Điều 16 NĐ 24/2024/NĐ-CP)</t>
        </is>
      </c>
    </row>
    <row r="65">
      <c r="A65" s="1" t="n">
        <v>59</v>
      </c>
      <c r="B65" s="1" t="inlineStr">
        <is>
          <t>VL_059</t>
        </is>
      </c>
      <c r="C65" s="1" t="inlineStr">
        <is>
          <t>Gim kẹp giấy</t>
        </is>
      </c>
      <c r="D65" s="1" t="inlineStr">
        <is>
          <t>hộp</t>
        </is>
      </c>
      <c r="E65" s="24" t="n">
        <v>3.16</v>
      </c>
      <c r="F65" s="11" t="n">
        <v>14700</v>
      </c>
      <c r="G65" s="11">
        <f>ROUND(E65*F65, 0)</f>
        <v/>
      </c>
      <c r="H65" s="1" t="inlineStr">
        <is>
          <t>Min 03 Báo giá cạnh tranh (Khoản 2 Điều 16 NĐ 24/2024/NĐ-CP)</t>
        </is>
      </c>
    </row>
    <row r="66">
      <c r="A66" s="1" t="n">
        <v>60</v>
      </c>
      <c r="B66" s="1" t="inlineStr">
        <is>
          <t>VL_060</t>
        </is>
      </c>
      <c r="C66" s="1" t="inlineStr">
        <is>
          <t>Giấy A4</t>
        </is>
      </c>
      <c r="D66" s="1" t="inlineStr">
        <is>
          <t>gam</t>
        </is>
      </c>
      <c r="E66" s="24" t="n">
        <v>1.6</v>
      </c>
      <c r="F66" s="11" t="n">
        <v>1180</v>
      </c>
      <c r="G66" s="11">
        <f>ROUND(E66*F66, 0)</f>
        <v/>
      </c>
      <c r="H66" s="1" t="inlineStr">
        <is>
          <t>Min 03 Báo giá cạnh tranh (Khoản 2 Điều 16 NĐ 24/2024/NĐ-CP)</t>
        </is>
      </c>
    </row>
    <row r="67">
      <c r="A67" s="1" t="n">
        <v>61</v>
      </c>
      <c r="B67" s="1" t="inlineStr">
        <is>
          <t>VL_061</t>
        </is>
      </c>
      <c r="C67" s="1" t="inlineStr">
        <is>
          <t>Giấy lau</t>
        </is>
      </c>
      <c r="D67" s="1" t="inlineStr">
        <is>
          <t>Hộp</t>
        </is>
      </c>
      <c r="E67" s="24" t="n">
        <v>1</v>
      </c>
      <c r="F67" s="11" t="n">
        <v>14700</v>
      </c>
      <c r="G67" s="11">
        <f>ROUND(E67*F67, 0)</f>
        <v/>
      </c>
      <c r="H67" s="1" t="inlineStr">
        <is>
          <t>Min 03 Báo giá cạnh tranh (Khoản 2 Điều 16 NĐ 24/2024/NĐ-CP)</t>
        </is>
      </c>
    </row>
    <row r="68">
      <c r="A68" s="1" t="n">
        <v>62</v>
      </c>
      <c r="B68" s="1" t="inlineStr">
        <is>
          <t>VL_062</t>
        </is>
      </c>
      <c r="C68" s="1" t="inlineStr">
        <is>
          <t>Giấy lau</t>
        </is>
      </c>
      <c r="D68" s="1" t="inlineStr">
        <is>
          <t>cái</t>
        </is>
      </c>
      <c r="E68" s="24" t="n">
        <v>0.5</v>
      </c>
      <c r="F68" s="11" t="n">
        <v>14700</v>
      </c>
      <c r="G68" s="11">
        <f>ROUND(E68*F68, 0)</f>
        <v/>
      </c>
      <c r="H68" s="1" t="inlineStr">
        <is>
          <t>Min 03 Báo giá cạnh tranh (Khoản 2 Điều 16 NĐ 24/2024/NĐ-CP)</t>
        </is>
      </c>
    </row>
    <row r="69">
      <c r="A69" s="1" t="n">
        <v>63</v>
      </c>
      <c r="B69" s="1" t="inlineStr">
        <is>
          <t>VL_063</t>
        </is>
      </c>
      <c r="C69" s="1" t="inlineStr">
        <is>
          <t>Giấy lau</t>
        </is>
      </c>
      <c r="D69" s="1" t="inlineStr">
        <is>
          <t>hộp</t>
        </is>
      </c>
      <c r="E69" s="24" t="n">
        <v>27.68</v>
      </c>
      <c r="F69" s="11" t="n">
        <v>14700</v>
      </c>
      <c r="G69" s="11">
        <f>ROUND(E69*F69, 0)</f>
        <v/>
      </c>
      <c r="H69" s="1" t="inlineStr">
        <is>
          <t>Min 03 Báo giá cạnh tranh (Khoản 2 Điều 16 NĐ 24/2024/NĐ-CP)</t>
        </is>
      </c>
    </row>
    <row r="70">
      <c r="A70" s="1" t="n">
        <v>64</v>
      </c>
      <c r="B70" s="1" t="inlineStr">
        <is>
          <t>VL_064</t>
        </is>
      </c>
      <c r="C70" s="1" t="inlineStr">
        <is>
          <t>Giấy lọc bụi</t>
        </is>
      </c>
      <c r="D70" s="1" t="inlineStr">
        <is>
          <t>tờ</t>
        </is>
      </c>
      <c r="E70" s="24" t="n">
        <v>12</v>
      </c>
      <c r="F70" s="11" t="n">
        <v>8330</v>
      </c>
      <c r="G70" s="11">
        <f>ROUND(E70*F70, 0)</f>
        <v/>
      </c>
      <c r="H70" s="1" t="inlineStr">
        <is>
          <t>Min 03 Báo giá cạnh tranh (Khoản 2 Điều 16 NĐ 24/2024/NĐ-CP)</t>
        </is>
      </c>
    </row>
    <row r="71">
      <c r="A71" s="1" t="n">
        <v>65</v>
      </c>
      <c r="B71" s="1" t="inlineStr">
        <is>
          <t>VL_065</t>
        </is>
      </c>
      <c r="C71" s="1" t="inlineStr">
        <is>
          <t>Giấy lọc chuyên dụng</t>
        </is>
      </c>
      <c r="D71" s="1" t="inlineStr">
        <is>
          <t>Cái</t>
        </is>
      </c>
      <c r="E71" s="24" t="n">
        <v>12</v>
      </c>
      <c r="F71" s="11" t="n">
        <v>8330</v>
      </c>
      <c r="G71" s="11">
        <f>ROUND(E71*F71, 0)</f>
        <v/>
      </c>
      <c r="H71" s="1" t="inlineStr">
        <is>
          <t>Min 03 Báo giá cạnh tranh (Khoản 2 Điều 16 NĐ 24/2024/NĐ-CP)</t>
        </is>
      </c>
    </row>
    <row r="72">
      <c r="A72" s="1" t="n">
        <v>66</v>
      </c>
      <c r="B72" s="1" t="inlineStr">
        <is>
          <t>VL_066</t>
        </is>
      </c>
      <c r="C72" s="1" t="inlineStr">
        <is>
          <t>Giấy lọc sợi thủy tinh</t>
        </is>
      </c>
      <c r="D72" s="1" t="inlineStr">
        <is>
          <t>hộp</t>
        </is>
      </c>
      <c r="E72" s="24" t="n">
        <v>0.44</v>
      </c>
      <c r="F72" s="11" t="n">
        <v>112700</v>
      </c>
      <c r="G72" s="11">
        <f>ROUND(E72*F72, 0)</f>
        <v/>
      </c>
      <c r="H72" s="1" t="inlineStr">
        <is>
          <t>Min 03 Báo giá cạnh tranh (Khoản 2 Điều 16 NĐ 24/2024/NĐ-CP)</t>
        </is>
      </c>
    </row>
    <row r="73">
      <c r="A73" s="1" t="n">
        <v>67</v>
      </c>
      <c r="B73" s="1" t="inlineStr">
        <is>
          <t>VL_067</t>
        </is>
      </c>
      <c r="C73" s="1" t="inlineStr">
        <is>
          <t>Giấy lọc</t>
        </is>
      </c>
      <c r="D73" s="1" t="inlineStr">
        <is>
          <t>hộp</t>
        </is>
      </c>
      <c r="E73" s="24" t="n">
        <v>21.46</v>
      </c>
      <c r="F73" s="11" t="n">
        <v>411600</v>
      </c>
      <c r="G73" s="11">
        <f>ROUND(E73*F73, 0)</f>
        <v/>
      </c>
      <c r="H73" s="1" t="inlineStr">
        <is>
          <t>Min 03 Báo giá cạnh tranh (Khoản 2 Điều 16 NĐ 24/2024/NĐ-CP)</t>
        </is>
      </c>
    </row>
    <row r="74">
      <c r="A74" s="1" t="n">
        <v>68</v>
      </c>
      <c r="B74" s="1" t="inlineStr">
        <is>
          <t>VL_068</t>
        </is>
      </c>
      <c r="C74" s="1" t="inlineStr">
        <is>
          <t>Giấy pH</t>
        </is>
      </c>
      <c r="D74" s="1" t="inlineStr">
        <is>
          <t>hộp</t>
        </is>
      </c>
      <c r="E74" s="24" t="n">
        <v>0.24</v>
      </c>
      <c r="F74" s="11" t="n">
        <v>14700</v>
      </c>
      <c r="G74" s="11">
        <f>ROUND(E74*F74, 0)</f>
        <v/>
      </c>
      <c r="H74" s="1" t="inlineStr">
        <is>
          <t>Min 03 Báo giá cạnh tranh (Khoản 2 Điều 16 NĐ 24/2024/NĐ-CP)</t>
        </is>
      </c>
    </row>
    <row r="75">
      <c r="A75" s="1" t="n">
        <v>69</v>
      </c>
      <c r="B75" s="1" t="inlineStr">
        <is>
          <t>VL_069</t>
        </is>
      </c>
      <c r="C75" s="1" t="inlineStr">
        <is>
          <t>Giấy thử pH</t>
        </is>
      </c>
      <c r="D75" s="1" t="inlineStr">
        <is>
          <t>hộp</t>
        </is>
      </c>
      <c r="E75" s="24" t="n">
        <v>6.72</v>
      </c>
      <c r="F75" s="11" t="n">
        <v>14700</v>
      </c>
      <c r="G75" s="11">
        <f>ROUND(E75*F75, 0)</f>
        <v/>
      </c>
      <c r="H75" s="1" t="inlineStr">
        <is>
          <t>Min 03 Báo giá cạnh tranh (Khoản 2 Điều 16 NĐ 24/2024/NĐ-CP)</t>
        </is>
      </c>
    </row>
    <row r="76">
      <c r="A76" s="1" t="n">
        <v>70</v>
      </c>
      <c r="B76" s="1" t="inlineStr">
        <is>
          <t>VL_070</t>
        </is>
      </c>
      <c r="C76" s="1" t="inlineStr">
        <is>
          <t>Gluco</t>
        </is>
      </c>
      <c r="D76" s="1" t="inlineStr">
        <is>
          <t>gam</t>
        </is>
      </c>
      <c r="E76" s="24" t="n">
        <v>1.44</v>
      </c>
      <c r="F76" s="11" t="n">
        <v>1180</v>
      </c>
      <c r="G76" s="11">
        <f>ROUND(E76*F76, 0)</f>
        <v/>
      </c>
      <c r="H76" s="1" t="inlineStr">
        <is>
          <t>Min 03 Báo giá cạnh tranh (Khoản 2 Điều 16 NĐ 24/2024/NĐ-CP)</t>
        </is>
      </c>
    </row>
    <row r="77">
      <c r="A77" s="1" t="n">
        <v>71</v>
      </c>
      <c r="B77" s="1" t="inlineStr">
        <is>
          <t>VL_071</t>
        </is>
      </c>
      <c r="C77" s="1" t="inlineStr">
        <is>
          <t>Glutamic</t>
        </is>
      </c>
      <c r="D77" s="1" t="inlineStr">
        <is>
          <t>gam</t>
        </is>
      </c>
      <c r="E77" s="24" t="n">
        <v>15.84</v>
      </c>
      <c r="F77" s="11" t="n">
        <v>1180</v>
      </c>
      <c r="G77" s="11">
        <f>ROUND(E77*F77, 0)</f>
        <v/>
      </c>
      <c r="H77" s="1" t="inlineStr">
        <is>
          <t>Min 03 Báo giá cạnh tranh (Khoản 2 Điều 16 NĐ 24/2024/NĐ-CP)</t>
        </is>
      </c>
    </row>
    <row r="78">
      <c r="A78" s="1" t="n">
        <v>72</v>
      </c>
      <c r="B78" s="1" t="inlineStr">
        <is>
          <t>VL_072</t>
        </is>
      </c>
      <c r="C78" s="1" t="inlineStr">
        <is>
          <t>Găng tay chịu nhiệt</t>
        </is>
      </c>
      <c r="D78" s="1" t="inlineStr">
        <is>
          <t>đôi</t>
        </is>
      </c>
      <c r="E78" s="24" t="n">
        <v>0.36</v>
      </c>
      <c r="F78" s="11" t="n">
        <v>2450</v>
      </c>
      <c r="G78" s="11">
        <f>ROUND(E78*F78, 0)</f>
        <v/>
      </c>
      <c r="H78" s="1" t="inlineStr">
        <is>
          <t>Min 03 Báo giá cạnh tranh (Khoản 2 Điều 16 NĐ 24/2024/NĐ-CP)</t>
        </is>
      </c>
    </row>
    <row r="79">
      <c r="A79" s="1" t="n">
        <v>73</v>
      </c>
      <c r="B79" s="1" t="inlineStr">
        <is>
          <t>VL_073</t>
        </is>
      </c>
      <c r="C79" s="1" t="inlineStr">
        <is>
          <t>H2O2</t>
        </is>
      </c>
      <c r="D79" s="1" t="inlineStr">
        <is>
          <t>gam</t>
        </is>
      </c>
      <c r="E79" s="24" t="n">
        <v>0.96</v>
      </c>
      <c r="F79" s="11" t="n">
        <v>1180</v>
      </c>
      <c r="G79" s="11">
        <f>ROUND(E79*F79, 0)</f>
        <v/>
      </c>
      <c r="H79" s="1" t="inlineStr">
        <is>
          <t>Min 03 Báo giá cạnh tranh (Khoản 2 Điều 16 NĐ 24/2024/NĐ-CP)</t>
        </is>
      </c>
    </row>
    <row r="80">
      <c r="A80" s="1" t="n">
        <v>74</v>
      </c>
      <c r="B80" s="1" t="inlineStr">
        <is>
          <t>VL_074</t>
        </is>
      </c>
      <c r="C80" s="1" t="inlineStr">
        <is>
          <t>H2O2</t>
        </is>
      </c>
      <c r="D80" s="1" t="inlineStr">
        <is>
          <t>ml</t>
        </is>
      </c>
      <c r="E80" s="24" t="n">
        <v>3480</v>
      </c>
      <c r="F80" s="11" t="n">
        <v>274</v>
      </c>
      <c r="G80" s="11">
        <f>ROUND(E80*F80, 0)</f>
        <v/>
      </c>
      <c r="H80" s="1" t="inlineStr">
        <is>
          <t>Min 03 Báo giá cạnh tranh (Khoản 2 Điều 16 NĐ 24/2024/NĐ-CP)</t>
        </is>
      </c>
    </row>
    <row r="81">
      <c r="A81" s="1" t="n">
        <v>75</v>
      </c>
      <c r="B81" s="1" t="inlineStr">
        <is>
          <t>VL_075</t>
        </is>
      </c>
      <c r="C81" s="1" t="inlineStr">
        <is>
          <t>H2SO4 đậm đặc</t>
        </is>
      </c>
      <c r="D81" s="1" t="inlineStr">
        <is>
          <t>ml</t>
        </is>
      </c>
      <c r="E81" s="24" t="n">
        <v>2438.8</v>
      </c>
      <c r="F81" s="11" t="n">
        <v>314</v>
      </c>
      <c r="G81" s="11">
        <f>ROUND(E81*F81, 0)</f>
        <v/>
      </c>
      <c r="H81" s="1" t="inlineStr">
        <is>
          <t>Min 03 Báo giá cạnh tranh (Khoản 2 Điều 16 NĐ 24/2024/NĐ-CP)</t>
        </is>
      </c>
    </row>
    <row r="82">
      <c r="A82" s="1" t="n">
        <v>76</v>
      </c>
      <c r="B82" s="1" t="inlineStr">
        <is>
          <t>VL_076</t>
        </is>
      </c>
      <c r="C82" s="1" t="inlineStr">
        <is>
          <t>H2SO4</t>
        </is>
      </c>
      <c r="D82" s="1" t="inlineStr">
        <is>
          <t>ml</t>
        </is>
      </c>
      <c r="E82" s="24" t="n">
        <v>320</v>
      </c>
      <c r="F82" s="11" t="n">
        <v>314</v>
      </c>
      <c r="G82" s="11">
        <f>ROUND(E82*F82, 0)</f>
        <v/>
      </c>
      <c r="H82" s="1" t="inlineStr">
        <is>
          <t>Min 03 Báo giá cạnh tranh (Khoản 2 Điều 16 NĐ 24/2024/NĐ-CP)</t>
        </is>
      </c>
    </row>
    <row r="83">
      <c r="A83" s="1" t="n">
        <v>77</v>
      </c>
      <c r="B83" s="1" t="inlineStr">
        <is>
          <t>VL_077</t>
        </is>
      </c>
      <c r="C83" s="1" t="inlineStr">
        <is>
          <t>H3BO3</t>
        </is>
      </c>
      <c r="D83" s="1" t="inlineStr">
        <is>
          <t>gam</t>
        </is>
      </c>
      <c r="E83" s="24" t="n">
        <v>4.8</v>
      </c>
      <c r="F83" s="11" t="n">
        <v>1180</v>
      </c>
      <c r="G83" s="11">
        <f>ROUND(E83*F83, 0)</f>
        <v/>
      </c>
      <c r="H83" s="1" t="inlineStr">
        <is>
          <t>Min 03 Báo giá cạnh tranh (Khoản 2 Điều 16 NĐ 24/2024/NĐ-CP)</t>
        </is>
      </c>
    </row>
    <row r="84">
      <c r="A84" s="1" t="n">
        <v>78</v>
      </c>
      <c r="B84" s="1" t="inlineStr">
        <is>
          <t>VL_078</t>
        </is>
      </c>
      <c r="C84" s="1" t="inlineStr">
        <is>
          <t>H3PO4</t>
        </is>
      </c>
      <c r="D84" s="1" t="inlineStr">
        <is>
          <t>gam</t>
        </is>
      </c>
      <c r="E84" s="24" t="n">
        <v>80</v>
      </c>
      <c r="F84" s="11" t="n">
        <v>1180</v>
      </c>
      <c r="G84" s="11">
        <f>ROUND(E84*F84, 0)</f>
        <v/>
      </c>
      <c r="H84" s="1" t="inlineStr">
        <is>
          <t>Min 03 Báo giá cạnh tranh (Khoản 2 Điều 16 NĐ 24/2024/NĐ-CP)</t>
        </is>
      </c>
    </row>
    <row r="85">
      <c r="A85" s="1" t="n">
        <v>79</v>
      </c>
      <c r="B85" s="1" t="inlineStr">
        <is>
          <t>VL_079</t>
        </is>
      </c>
      <c r="C85" s="1" t="inlineStr">
        <is>
          <t>H3PO4</t>
        </is>
      </c>
      <c r="D85" s="1" t="inlineStr">
        <is>
          <t>ml</t>
        </is>
      </c>
      <c r="E85" s="24" t="n">
        <v>116</v>
      </c>
      <c r="F85" s="11" t="n">
        <v>274</v>
      </c>
      <c r="G85" s="11">
        <f>ROUND(E85*F85, 0)</f>
        <v/>
      </c>
      <c r="H85" s="1" t="inlineStr">
        <is>
          <t>Min 03 Báo giá cạnh tranh (Khoản 2 Điều 16 NĐ 24/2024/NĐ-CP)</t>
        </is>
      </c>
    </row>
    <row r="86">
      <c r="A86" s="1" t="n">
        <v>80</v>
      </c>
      <c r="B86" s="1" t="inlineStr">
        <is>
          <t>VL_080</t>
        </is>
      </c>
      <c r="C86" s="1" t="inlineStr">
        <is>
          <t>HCl</t>
        </is>
      </c>
      <c r="D86" s="1" t="inlineStr">
        <is>
          <t>ml</t>
        </is>
      </c>
      <c r="E86" s="24" t="n">
        <v>987.2</v>
      </c>
      <c r="F86" s="11" t="n">
        <v>600</v>
      </c>
      <c r="G86" s="11">
        <f>ROUND(E86*F86, 0)</f>
        <v/>
      </c>
      <c r="H86" s="1" t="inlineStr">
        <is>
          <t>KQLCNT EVN Vĩnh Tân 4 IB2600096765 (Trước thuế = Giá VAT 8% / 1.08)</t>
        </is>
      </c>
    </row>
    <row r="87">
      <c r="A87" s="1" t="n">
        <v>81</v>
      </c>
      <c r="B87" s="1" t="inlineStr">
        <is>
          <t>VL_081</t>
        </is>
      </c>
      <c r="C87" s="1" t="inlineStr">
        <is>
          <t>HNO3</t>
        </is>
      </c>
      <c r="D87" s="1" t="inlineStr">
        <is>
          <t>ml</t>
        </is>
      </c>
      <c r="E87" s="24" t="n">
        <v>3504</v>
      </c>
      <c r="F87" s="11" t="n">
        <v>314</v>
      </c>
      <c r="G87" s="11">
        <f>ROUND(E87*F87, 0)</f>
        <v/>
      </c>
      <c r="H87" s="1" t="inlineStr">
        <is>
          <t>Min 03 Báo giá cạnh tranh (Khoản 2 Điều 16 NĐ 24/2024/NĐ-CP)</t>
        </is>
      </c>
    </row>
    <row r="88">
      <c r="A88" s="1" t="n">
        <v>82</v>
      </c>
      <c r="B88" s="1" t="inlineStr">
        <is>
          <t>VL_082</t>
        </is>
      </c>
      <c r="C88" s="1" t="inlineStr">
        <is>
          <t>HgCl2</t>
        </is>
      </c>
      <c r="D88" s="1" t="inlineStr">
        <is>
          <t>gam</t>
        </is>
      </c>
      <c r="E88" s="24" t="n">
        <v>3.44</v>
      </c>
      <c r="F88" s="11" t="n">
        <v>1180</v>
      </c>
      <c r="G88" s="11">
        <f>ROUND(E88*F88, 0)</f>
        <v/>
      </c>
      <c r="H88" s="1" t="inlineStr">
        <is>
          <t>Min 03 Báo giá cạnh tranh (Khoản 2 Điều 16 NĐ 24/2024/NĐ-CP)</t>
        </is>
      </c>
    </row>
    <row r="89">
      <c r="A89" s="1" t="n">
        <v>83</v>
      </c>
      <c r="B89" s="1" t="inlineStr">
        <is>
          <t>VL_083</t>
        </is>
      </c>
      <c r="C89" s="1" t="inlineStr">
        <is>
          <t>HgCl</t>
        </is>
      </c>
      <c r="D89" s="1" t="inlineStr">
        <is>
          <t>gam</t>
        </is>
      </c>
      <c r="E89" s="24" t="n">
        <v>17.4</v>
      </c>
      <c r="F89" s="11" t="n">
        <v>1180</v>
      </c>
      <c r="G89" s="11">
        <f>ROUND(E89*F89, 0)</f>
        <v/>
      </c>
      <c r="H89" s="1" t="inlineStr">
        <is>
          <t>Min 03 Báo giá cạnh tranh (Khoản 2 Điều 16 NĐ 24/2024/NĐ-CP)</t>
        </is>
      </c>
    </row>
    <row r="90">
      <c r="A90" s="1" t="n">
        <v>84</v>
      </c>
      <c r="B90" s="1" t="inlineStr">
        <is>
          <t>VL_084</t>
        </is>
      </c>
      <c r="C90" s="1" t="inlineStr">
        <is>
          <t>HgSO4</t>
        </is>
      </c>
      <c r="D90" s="1" t="inlineStr">
        <is>
          <t>gam</t>
        </is>
      </c>
      <c r="E90" s="24" t="n">
        <v>8</v>
      </c>
      <c r="F90" s="11" t="n">
        <v>1180</v>
      </c>
      <c r="G90" s="11">
        <f>ROUND(E90*F90, 0)</f>
        <v/>
      </c>
      <c r="H90" s="1" t="inlineStr">
        <is>
          <t>Min 03 Báo giá cạnh tranh (Khoản 2 Điều 16 NĐ 24/2024/NĐ-CP)</t>
        </is>
      </c>
    </row>
    <row r="91">
      <c r="A91" s="1" t="n">
        <v>85</v>
      </c>
      <c r="B91" s="1" t="inlineStr">
        <is>
          <t>VL_085</t>
        </is>
      </c>
      <c r="C91" s="1" t="inlineStr">
        <is>
          <t>Hóa chất bảo quản mẫu</t>
        </is>
      </c>
      <c r="D91" s="1" t="inlineStr">
        <is>
          <t>ml</t>
        </is>
      </c>
      <c r="E91" s="24" t="n">
        <v>1886</v>
      </c>
      <c r="F91" s="11" t="n">
        <v>274</v>
      </c>
      <c r="G91" s="11">
        <f>ROUND(E91*F91, 0)</f>
        <v/>
      </c>
      <c r="H91" s="1" t="inlineStr">
        <is>
          <t>Min 03 Báo giá cạnh tranh (Khoản 2 Điều 16 NĐ 24/2024/NĐ-CP)</t>
        </is>
      </c>
    </row>
    <row r="92">
      <c r="A92" s="1" t="n">
        <v>86</v>
      </c>
      <c r="B92" s="1" t="inlineStr">
        <is>
          <t>VL_086</t>
        </is>
      </c>
      <c r="C92" s="1" t="inlineStr">
        <is>
          <t>Hồ tinh bột</t>
        </is>
      </c>
      <c r="D92" s="1" t="inlineStr">
        <is>
          <t>gam</t>
        </is>
      </c>
      <c r="E92" s="24" t="n">
        <v>4</v>
      </c>
      <c r="F92" s="11" t="n">
        <v>1180</v>
      </c>
      <c r="G92" s="11">
        <f>ROUND(E92*F92, 0)</f>
        <v/>
      </c>
      <c r="H92" s="1" t="inlineStr">
        <is>
          <t>Min 03 Báo giá cạnh tranh (Khoản 2 Điều 16 NĐ 24/2024/NĐ-CP)</t>
        </is>
      </c>
    </row>
    <row r="93">
      <c r="A93" s="1" t="n">
        <v>87</v>
      </c>
      <c r="B93" s="1" t="inlineStr">
        <is>
          <t>VL_087</t>
        </is>
      </c>
      <c r="C93" s="1" t="inlineStr">
        <is>
          <t>Hợp kim Devarda</t>
        </is>
      </c>
      <c r="D93" s="1" t="inlineStr">
        <is>
          <t>gam</t>
        </is>
      </c>
      <c r="E93" s="24" t="n">
        <v>4.8</v>
      </c>
      <c r="F93" s="11" t="n">
        <v>1180</v>
      </c>
      <c r="G93" s="11">
        <f>ROUND(E93*F93, 0)</f>
        <v/>
      </c>
      <c r="H93" s="1" t="inlineStr">
        <is>
          <t>Min 03 Báo giá cạnh tranh (Khoản 2 Điều 16 NĐ 24/2024/NĐ-CP)</t>
        </is>
      </c>
    </row>
    <row r="94">
      <c r="A94" s="1" t="n">
        <v>88</v>
      </c>
      <c r="B94" s="1" t="inlineStr">
        <is>
          <t>VL_088</t>
        </is>
      </c>
      <c r="C94" s="1" t="inlineStr">
        <is>
          <t>Iốt</t>
        </is>
      </c>
      <c r="D94" s="1" t="inlineStr">
        <is>
          <t>gam</t>
        </is>
      </c>
      <c r="E94" s="24" t="n">
        <v>7</v>
      </c>
      <c r="F94" s="11" t="n">
        <v>1180</v>
      </c>
      <c r="G94" s="11">
        <f>ROUND(E94*F94, 0)</f>
        <v/>
      </c>
      <c r="H94" s="1" t="inlineStr">
        <is>
          <t>Min 03 Báo giá cạnh tranh (Khoản 2 Điều 16 NĐ 24/2024/NĐ-CP)</t>
        </is>
      </c>
    </row>
    <row r="95">
      <c r="A95" s="1" t="n">
        <v>89</v>
      </c>
      <c r="B95" s="1" t="inlineStr">
        <is>
          <t>VL_089</t>
        </is>
      </c>
      <c r="C95" s="1" t="inlineStr">
        <is>
          <t>K2Cr2O7</t>
        </is>
      </c>
      <c r="D95" s="1" t="inlineStr">
        <is>
          <t>gam</t>
        </is>
      </c>
      <c r="E95" s="24" t="n">
        <v>51.96</v>
      </c>
      <c r="F95" s="11" t="n">
        <v>1180</v>
      </c>
      <c r="G95" s="11">
        <f>ROUND(E95*F95, 0)</f>
        <v/>
      </c>
      <c r="H95" s="1" t="inlineStr">
        <is>
          <t>Min 03 Báo giá cạnh tranh (Khoản 2 Điều 16 NĐ 24/2024/NĐ-CP)</t>
        </is>
      </c>
    </row>
    <row r="96">
      <c r="A96" s="1" t="n">
        <v>90</v>
      </c>
      <c r="B96" s="1" t="inlineStr">
        <is>
          <t>VL_090</t>
        </is>
      </c>
      <c r="C96" s="1" t="inlineStr">
        <is>
          <t>K2CrO4</t>
        </is>
      </c>
      <c r="D96" s="1" t="inlineStr">
        <is>
          <t>gam</t>
        </is>
      </c>
      <c r="E96" s="24" t="n">
        <v>8</v>
      </c>
      <c r="F96" s="11" t="n">
        <v>1180</v>
      </c>
      <c r="G96" s="11">
        <f>ROUND(E96*F96, 0)</f>
        <v/>
      </c>
      <c r="H96" s="1" t="inlineStr">
        <is>
          <t>Min 03 Báo giá cạnh tranh (Khoản 2 Điều 16 NĐ 24/2024/NĐ-CP)</t>
        </is>
      </c>
    </row>
    <row r="97">
      <c r="A97" s="1" t="n">
        <v>91</v>
      </c>
      <c r="B97" s="1" t="inlineStr">
        <is>
          <t>VL_091</t>
        </is>
      </c>
      <c r="C97" s="1" t="inlineStr">
        <is>
          <t>K2HPO4</t>
        </is>
      </c>
      <c r="D97" s="1" t="inlineStr">
        <is>
          <t>Gram</t>
        </is>
      </c>
      <c r="E97" s="24" t="n">
        <v>69.672</v>
      </c>
      <c r="F97" s="11" t="n">
        <v>1180</v>
      </c>
      <c r="G97" s="11">
        <f>ROUND(E97*F97, 0)</f>
        <v/>
      </c>
      <c r="H97" s="1" t="inlineStr">
        <is>
          <t>Min 03 Báo giá cạnh tranh (Khoản 2 Điều 16 NĐ 24/2024/NĐ-CP)</t>
        </is>
      </c>
    </row>
    <row r="98">
      <c r="A98" s="1" t="n">
        <v>92</v>
      </c>
      <c r="B98" s="1" t="inlineStr">
        <is>
          <t>VL_092</t>
        </is>
      </c>
      <c r="C98" s="1" t="inlineStr">
        <is>
          <t>K2HPO4</t>
        </is>
      </c>
      <c r="D98" s="1" t="inlineStr">
        <is>
          <t>gam</t>
        </is>
      </c>
      <c r="E98" s="24" t="n">
        <v>0.96</v>
      </c>
      <c r="F98" s="11" t="n">
        <v>1180</v>
      </c>
      <c r="G98" s="11">
        <f>ROUND(E98*F98, 0)</f>
        <v/>
      </c>
      <c r="H98" s="1" t="inlineStr">
        <is>
          <t>Min 03 Báo giá cạnh tranh (Khoản 2 Điều 16 NĐ 24/2024/NĐ-CP)</t>
        </is>
      </c>
    </row>
    <row r="99">
      <c r="A99" s="1" t="n">
        <v>93</v>
      </c>
      <c r="B99" s="1" t="inlineStr">
        <is>
          <t>VL_093</t>
        </is>
      </c>
      <c r="C99" s="1" t="inlineStr">
        <is>
          <t>K2S2O8</t>
        </is>
      </c>
      <c r="D99" s="1" t="inlineStr">
        <is>
          <t>gam</t>
        </is>
      </c>
      <c r="E99" s="24" t="n">
        <v>48.8</v>
      </c>
      <c r="F99" s="11" t="n">
        <v>1180</v>
      </c>
      <c r="G99" s="11">
        <f>ROUND(E99*F99, 0)</f>
        <v/>
      </c>
      <c r="H99" s="1" t="inlineStr">
        <is>
          <t>Min 03 Báo giá cạnh tranh (Khoản 2 Điều 16 NĐ 24/2024/NĐ-CP)</t>
        </is>
      </c>
    </row>
    <row r="100">
      <c r="A100" s="1" t="n">
        <v>94</v>
      </c>
      <c r="B100" s="1" t="inlineStr">
        <is>
          <t>VL_094</t>
        </is>
      </c>
      <c r="C100" s="1" t="inlineStr">
        <is>
          <t>K2SO4</t>
        </is>
      </c>
      <c r="D100" s="1" t="inlineStr">
        <is>
          <t>gam</t>
        </is>
      </c>
      <c r="E100" s="24" t="n">
        <v>48</v>
      </c>
      <c r="F100" s="11" t="n">
        <v>1180</v>
      </c>
      <c r="G100" s="11">
        <f>ROUND(E100*F100, 0)</f>
        <v/>
      </c>
      <c r="H100" s="1" t="inlineStr">
        <is>
          <t>Min 03 Báo giá cạnh tranh (Khoản 2 Điều 16 NĐ 24/2024/NĐ-CP)</t>
        </is>
      </c>
    </row>
    <row r="101">
      <c r="A101" s="1" t="n">
        <v>95</v>
      </c>
      <c r="B101" s="1" t="inlineStr">
        <is>
          <t>VL_095</t>
        </is>
      </c>
      <c r="C101" s="1" t="inlineStr">
        <is>
          <t>K4P2O7</t>
        </is>
      </c>
      <c r="D101" s="1" t="inlineStr">
        <is>
          <t>gam</t>
        </is>
      </c>
      <c r="E101" s="24" t="n">
        <v>0.4</v>
      </c>
      <c r="F101" s="11" t="n">
        <v>1180</v>
      </c>
      <c r="G101" s="11">
        <f>ROUND(E101*F101, 0)</f>
        <v/>
      </c>
      <c r="H101" s="1" t="inlineStr">
        <is>
          <t>Min 03 Báo giá cạnh tranh (Khoản 2 Điều 16 NĐ 24/2024/NĐ-CP)</t>
        </is>
      </c>
    </row>
    <row r="102">
      <c r="A102" s="1" t="n">
        <v>96</v>
      </c>
      <c r="B102" s="1" t="inlineStr">
        <is>
          <t>VL_096</t>
        </is>
      </c>
      <c r="C102" s="1" t="inlineStr">
        <is>
          <t>KCl</t>
        </is>
      </c>
      <c r="D102" s="1" t="inlineStr">
        <is>
          <t>gam</t>
        </is>
      </c>
      <c r="E102" s="24" t="n">
        <v>6.72</v>
      </c>
      <c r="F102" s="11" t="n">
        <v>2480</v>
      </c>
      <c r="G102" s="11">
        <f>ROUND(E102*F102, 0)</f>
        <v/>
      </c>
      <c r="H102" s="1" t="inlineStr">
        <is>
          <t>KQLCNT EVN Vĩnh Tân 4 IB2600096765 (Trước thuế = Giá VAT 8% / 1.08)</t>
        </is>
      </c>
    </row>
    <row r="103">
      <c r="A103" s="1" t="n">
        <v>97</v>
      </c>
      <c r="B103" s="1" t="inlineStr">
        <is>
          <t>VL_097</t>
        </is>
      </c>
      <c r="C103" s="1" t="inlineStr">
        <is>
          <t>KH2PO4</t>
        </is>
      </c>
      <c r="D103" s="1" t="inlineStr">
        <is>
          <t>Gram</t>
        </is>
      </c>
      <c r="E103" s="24" t="n">
        <v>54.432</v>
      </c>
      <c r="F103" s="11" t="n">
        <v>1180</v>
      </c>
      <c r="G103" s="11">
        <f>ROUND(E103*F103, 0)</f>
        <v/>
      </c>
      <c r="H103" s="1" t="inlineStr">
        <is>
          <t>Min 03 Báo giá cạnh tranh (Khoản 2 Điều 16 NĐ 24/2024/NĐ-CP)</t>
        </is>
      </c>
    </row>
    <row r="104">
      <c r="A104" s="1" t="n">
        <v>98</v>
      </c>
      <c r="B104" s="1" t="inlineStr">
        <is>
          <t>VL_098</t>
        </is>
      </c>
      <c r="C104" s="1" t="inlineStr">
        <is>
          <t>KH2PO4</t>
        </is>
      </c>
      <c r="D104" s="1" t="inlineStr">
        <is>
          <t>gam</t>
        </is>
      </c>
      <c r="E104" s="24" t="n">
        <v>0.48</v>
      </c>
      <c r="F104" s="11" t="n">
        <v>1180</v>
      </c>
      <c r="G104" s="11">
        <f>ROUND(E104*F104, 0)</f>
        <v/>
      </c>
      <c r="H104" s="1" t="inlineStr">
        <is>
          <t>Min 03 Báo giá cạnh tranh (Khoản 2 Điều 16 NĐ 24/2024/NĐ-CP)</t>
        </is>
      </c>
    </row>
    <row r="105">
      <c r="A105" s="1" t="n">
        <v>99</v>
      </c>
      <c r="B105" s="1" t="inlineStr">
        <is>
          <t>VL_099</t>
        </is>
      </c>
      <c r="C105" s="1" t="inlineStr">
        <is>
          <t>KIO3</t>
        </is>
      </c>
      <c r="D105" s="1" t="inlineStr">
        <is>
          <t>gam</t>
        </is>
      </c>
      <c r="E105" s="24" t="n">
        <v>9.6</v>
      </c>
      <c r="F105" s="11" t="n">
        <v>1180</v>
      </c>
      <c r="G105" s="11">
        <f>ROUND(E105*F105, 0)</f>
        <v/>
      </c>
      <c r="H105" s="1" t="inlineStr">
        <is>
          <t>Min 03 Báo giá cạnh tranh (Khoản 2 Điều 16 NĐ 24/2024/NĐ-CP)</t>
        </is>
      </c>
    </row>
    <row r="106">
      <c r="A106" s="1" t="n">
        <v>100</v>
      </c>
      <c r="B106" s="1" t="inlineStr">
        <is>
          <t>VL_100</t>
        </is>
      </c>
      <c r="C106" s="1" t="inlineStr">
        <is>
          <t>KI</t>
        </is>
      </c>
      <c r="D106" s="1" t="inlineStr">
        <is>
          <t>gam</t>
        </is>
      </c>
      <c r="E106" s="24" t="n">
        <v>78.40000000000001</v>
      </c>
      <c r="F106" s="11" t="n">
        <v>1180</v>
      </c>
      <c r="G106" s="11">
        <f>ROUND(E106*F106, 0)</f>
        <v/>
      </c>
      <c r="H106" s="1" t="inlineStr">
        <is>
          <t>Min 03 Báo giá cạnh tranh (Khoản 2 Điều 16 NĐ 24/2024/NĐ-CP)</t>
        </is>
      </c>
    </row>
    <row r="107">
      <c r="A107" s="1" t="n">
        <v>101</v>
      </c>
      <c r="B107" s="1" t="inlineStr">
        <is>
          <t>VL_101</t>
        </is>
      </c>
      <c r="C107" s="1" t="inlineStr">
        <is>
          <t>KMnO4</t>
        </is>
      </c>
      <c r="D107" s="1" t="inlineStr">
        <is>
          <t>gam</t>
        </is>
      </c>
      <c r="E107" s="24" t="n">
        <v>80</v>
      </c>
      <c r="F107" s="11" t="n">
        <v>1180</v>
      </c>
      <c r="G107" s="11">
        <f>ROUND(E107*F107, 0)</f>
        <v/>
      </c>
      <c r="H107" s="1" t="inlineStr">
        <is>
          <t>Min 03 Báo giá cạnh tranh (Khoản 2 Điều 16 NĐ 24/2024/NĐ-CP)</t>
        </is>
      </c>
    </row>
    <row r="108">
      <c r="A108" s="1" t="n">
        <v>102</v>
      </c>
      <c r="B108" s="1" t="inlineStr">
        <is>
          <t>VL_102</t>
        </is>
      </c>
      <c r="C108" s="1" t="inlineStr">
        <is>
          <t>Kali antimontatrat</t>
        </is>
      </c>
      <c r="D108" s="1" t="inlineStr">
        <is>
          <t>gam</t>
        </is>
      </c>
      <c r="E108" s="24" t="n">
        <v>1.6</v>
      </c>
      <c r="F108" s="11" t="n">
        <v>1180</v>
      </c>
      <c r="G108" s="11">
        <f>ROUND(E108*F108, 0)</f>
        <v/>
      </c>
      <c r="H108" s="1" t="inlineStr">
        <is>
          <t>Min 03 Báo giá cạnh tranh (Khoản 2 Điều 16 NĐ 24/2024/NĐ-CP)</t>
        </is>
      </c>
    </row>
    <row r="109">
      <c r="A109" s="1" t="n">
        <v>103</v>
      </c>
      <c r="B109" s="1" t="inlineStr">
        <is>
          <t>VL_103</t>
        </is>
      </c>
      <c r="C109" s="1" t="inlineStr">
        <is>
          <t>Kaliphatalat</t>
        </is>
      </c>
      <c r="D109" s="1" t="inlineStr">
        <is>
          <t>gam</t>
        </is>
      </c>
      <c r="E109" s="24" t="n">
        <v>12</v>
      </c>
      <c r="F109" s="11" t="n">
        <v>1180</v>
      </c>
      <c r="G109" s="11">
        <f>ROUND(E109*F109, 0)</f>
        <v/>
      </c>
      <c r="H109" s="1" t="inlineStr">
        <is>
          <t>Min 03 Báo giá cạnh tranh (Khoản 2 Điều 16 NĐ 24/2024/NĐ-CP)</t>
        </is>
      </c>
    </row>
    <row r="110">
      <c r="A110" s="1" t="n">
        <v>104</v>
      </c>
      <c r="B110" s="1" t="inlineStr">
        <is>
          <t>VL_104</t>
        </is>
      </c>
      <c r="C110" s="1" t="inlineStr">
        <is>
          <t>Khí Heli</t>
        </is>
      </c>
      <c r="D110" s="1" t="inlineStr">
        <is>
          <t>bình</t>
        </is>
      </c>
      <c r="E110" s="24" t="n">
        <v>0.1</v>
      </c>
      <c r="F110" s="11" t="n">
        <v>9390000</v>
      </c>
      <c r="G110" s="11">
        <f>ROUND(E110*F110, 0)</f>
        <v/>
      </c>
      <c r="H110" s="1" t="inlineStr">
        <is>
          <t>KQLCNT EVN Vĩnh Tân 4 IB2600096765 (Trước thuế = Giá VAT 8% / 1.08)</t>
        </is>
      </c>
    </row>
    <row r="111">
      <c r="A111" s="1" t="n">
        <v>105</v>
      </c>
      <c r="B111" s="1" t="inlineStr">
        <is>
          <t>VL_105</t>
        </is>
      </c>
      <c r="C111" s="1" t="inlineStr">
        <is>
          <t>Khí Hydro</t>
        </is>
      </c>
      <c r="D111" s="1" t="inlineStr">
        <is>
          <t>bình</t>
        </is>
      </c>
      <c r="E111" s="24" t="n">
        <v>0.1</v>
      </c>
      <c r="F111" s="11" t="n">
        <v>20020000</v>
      </c>
      <c r="G111" s="11">
        <f>ROUND(E111*F111, 0)</f>
        <v/>
      </c>
      <c r="H111" s="1" t="inlineStr">
        <is>
          <t>KQLCNT EVN Vĩnh Tân 4 IB2600096765 (Trước thuế = Giá VAT 8% / 1.08)</t>
        </is>
      </c>
    </row>
    <row r="112">
      <c r="A112" s="1" t="n">
        <v>106</v>
      </c>
      <c r="B112" s="1" t="inlineStr">
        <is>
          <t>VL_106</t>
        </is>
      </c>
      <c r="C112" s="1" t="inlineStr">
        <is>
          <t>Khí Nitơ</t>
        </is>
      </c>
      <c r="D112" s="1" t="inlineStr">
        <is>
          <t>bình</t>
        </is>
      </c>
      <c r="E112" s="24" t="n">
        <v>0.1</v>
      </c>
      <c r="F112" s="11" t="n">
        <v>300000</v>
      </c>
      <c r="G112" s="11">
        <f>ROUND(E112*F112, 0)</f>
        <v/>
      </c>
      <c r="H112" s="1" t="inlineStr">
        <is>
          <t>KQLCNT EVN Vĩnh Tân 4 IB2600096765 (Trước thuế = Giá VAT 8% / 1.08)</t>
        </is>
      </c>
    </row>
    <row r="113">
      <c r="A113" s="1" t="n">
        <v>107</v>
      </c>
      <c r="B113" s="1" t="inlineStr">
        <is>
          <t>VL_107</t>
        </is>
      </c>
      <c r="C113" s="1" t="inlineStr">
        <is>
          <t>Khí argon</t>
        </is>
      </c>
      <c r="D113" s="1" t="inlineStr">
        <is>
          <t>bình</t>
        </is>
      </c>
      <c r="E113" s="24" t="n">
        <v>0.696</v>
      </c>
      <c r="F113" s="11" t="n">
        <v>5660000</v>
      </c>
      <c r="G113" s="11">
        <f>ROUND(E113*F113, 0)</f>
        <v/>
      </c>
      <c r="H113" s="1" t="inlineStr">
        <is>
          <t>KQLCNT EVN Vĩnh Tân 4 IB2600096765 (Trước thuế = Giá VAT 8% / 1.08)</t>
        </is>
      </c>
    </row>
    <row r="114">
      <c r="A114" s="1" t="n">
        <v>108</v>
      </c>
      <c r="B114" s="1" t="inlineStr">
        <is>
          <t>VL_108</t>
        </is>
      </c>
      <c r="C114" s="1" t="inlineStr">
        <is>
          <t>Khí axetylen</t>
        </is>
      </c>
      <c r="D114" s="1" t="inlineStr">
        <is>
          <t>bình</t>
        </is>
      </c>
      <c r="E114" s="24" t="n">
        <v>0.496</v>
      </c>
      <c r="F114" s="11" t="n">
        <v>4500000</v>
      </c>
      <c r="G114" s="11">
        <f>ROUND(E114*F114, 0)</f>
        <v/>
      </c>
      <c r="H114" s="1" t="inlineStr">
        <is>
          <t>KQLCNT EVN Vĩnh Tân 4 IB2600096765 (Trước thuế = Giá VAT 8% / 1.08)</t>
        </is>
      </c>
    </row>
    <row r="115">
      <c r="A115" s="1" t="n">
        <v>109</v>
      </c>
      <c r="B115" s="1" t="inlineStr">
        <is>
          <t>VL_109</t>
        </is>
      </c>
      <c r="C115" s="1" t="inlineStr">
        <is>
          <t>Khí chuẩn CO</t>
        </is>
      </c>
      <c r="D115" s="1" t="inlineStr">
        <is>
          <t>bình</t>
        </is>
      </c>
      <c r="E115" s="24" t="n">
        <v>0.144</v>
      </c>
      <c r="F115" s="11" t="n">
        <v>11270000</v>
      </c>
      <c r="G115" s="11">
        <f>ROUND(E115*F115, 0)</f>
        <v/>
      </c>
      <c r="H115" s="1" t="inlineStr">
        <is>
          <t>KQLCNT EVN Vĩnh Tân 4 IB2600096765 (Trước thuế = Giá VAT 8% / 1.08)</t>
        </is>
      </c>
    </row>
    <row r="116">
      <c r="A116" s="1" t="n">
        <v>110</v>
      </c>
      <c r="B116" s="1" t="inlineStr">
        <is>
          <t>VL_110</t>
        </is>
      </c>
      <c r="C116" s="1" t="inlineStr">
        <is>
          <t>Khí chuẩn Metan</t>
        </is>
      </c>
      <c r="D116" s="1" t="inlineStr">
        <is>
          <t>bình</t>
        </is>
      </c>
      <c r="E116" s="24" t="n">
        <v>0.1</v>
      </c>
      <c r="F116" s="11" t="n">
        <v>441000</v>
      </c>
      <c r="G116" s="11">
        <f>ROUND(E116*F116, 0)</f>
        <v/>
      </c>
      <c r="H116" s="1" t="inlineStr">
        <is>
          <t>Min 03 Báo giá cạnh tranh (Khoản 2 Điều 16 NĐ 24/2024/NĐ-CP)</t>
        </is>
      </c>
    </row>
    <row r="117">
      <c r="A117" s="1" t="n">
        <v>111</v>
      </c>
      <c r="B117" s="1" t="inlineStr">
        <is>
          <t>VL_111</t>
        </is>
      </c>
      <c r="C117" s="1" t="inlineStr">
        <is>
          <t>Khí chuẩn NO</t>
        </is>
      </c>
      <c r="D117" s="1" t="inlineStr">
        <is>
          <t>bình</t>
        </is>
      </c>
      <c r="E117" s="24" t="n">
        <v>0.132</v>
      </c>
      <c r="F117" s="11" t="n">
        <v>34390000</v>
      </c>
      <c r="G117" s="11">
        <f>ROUND(E117*F117, 0)</f>
        <v/>
      </c>
      <c r="H117" s="1" t="inlineStr">
        <is>
          <t>KQLCNT EVN Vĩnh Tân 4 IB2600096765 (Trước thuế = Giá VAT 8% / 1.08)</t>
        </is>
      </c>
    </row>
    <row r="118">
      <c r="A118" s="1" t="n">
        <v>112</v>
      </c>
      <c r="B118" s="1" t="inlineStr">
        <is>
          <t>VL_112</t>
        </is>
      </c>
      <c r="C118" s="1" t="inlineStr">
        <is>
          <t>Khí chuẩn O2</t>
        </is>
      </c>
      <c r="D118" s="1" t="inlineStr">
        <is>
          <t>bình</t>
        </is>
      </c>
      <c r="E118" s="24" t="n">
        <v>0.144</v>
      </c>
      <c r="F118" s="11" t="n">
        <v>9140000</v>
      </c>
      <c r="G118" s="11">
        <f>ROUND(E118*F118, 0)</f>
        <v/>
      </c>
      <c r="H118" s="1" t="inlineStr">
        <is>
          <t>KQLCNT EVN Vĩnh Tân 4 IB2600096765 (Trước thuế = Giá VAT 8% / 1.08)</t>
        </is>
      </c>
    </row>
    <row r="119">
      <c r="A119" s="1" t="n">
        <v>113</v>
      </c>
      <c r="B119" s="1" t="inlineStr">
        <is>
          <t>VL_113</t>
        </is>
      </c>
      <c r="C119" s="1" t="inlineStr">
        <is>
          <t>Khí chuẩn SO2</t>
        </is>
      </c>
      <c r="D119" s="1" t="inlineStr">
        <is>
          <t>bình</t>
        </is>
      </c>
      <c r="E119" s="24" t="n">
        <v>0.144</v>
      </c>
      <c r="F119" s="11" t="n">
        <v>27520000</v>
      </c>
      <c r="G119" s="11">
        <f>ROUND(E119*F119, 0)</f>
        <v/>
      </c>
      <c r="H119" s="1" t="inlineStr">
        <is>
          <t>KQLCNT EVN Vĩnh Tân 4 IB2600096765 (Trước thuế = Giá VAT 8% / 1.08)</t>
        </is>
      </c>
    </row>
    <row r="120">
      <c r="A120" s="1" t="n">
        <v>114</v>
      </c>
      <c r="B120" s="1" t="inlineStr">
        <is>
          <t>VL_114</t>
        </is>
      </c>
      <c r="C120" s="1" t="inlineStr">
        <is>
          <t>Khẩu trang y tế</t>
        </is>
      </c>
      <c r="D120" s="1" t="inlineStr">
        <is>
          <t>cái</t>
        </is>
      </c>
      <c r="E120" s="24" t="n">
        <v>0.6</v>
      </c>
      <c r="F120" s="11" t="n">
        <v>2450</v>
      </c>
      <c r="G120" s="11">
        <f>ROUND(E120*F120, 0)</f>
        <v/>
      </c>
      <c r="H120" s="1" t="inlineStr">
        <is>
          <t>Min 03 Báo giá cạnh tranh (Khoản 2 Điều 16 NĐ 24/2024/NĐ-CP)</t>
        </is>
      </c>
    </row>
    <row r="121">
      <c r="A121" s="1" t="n">
        <v>115</v>
      </c>
      <c r="B121" s="1" t="inlineStr">
        <is>
          <t>VL_115</t>
        </is>
      </c>
      <c r="C121" s="1" t="inlineStr">
        <is>
          <t>MgCl2</t>
        </is>
      </c>
      <c r="D121" s="1" t="inlineStr">
        <is>
          <t>Gram</t>
        </is>
      </c>
      <c r="E121" s="24" t="n">
        <v>370.4</v>
      </c>
      <c r="F121" s="11" t="n">
        <v>1180</v>
      </c>
      <c r="G121" s="11">
        <f>ROUND(E121*F121, 0)</f>
        <v/>
      </c>
      <c r="H121" s="1" t="inlineStr">
        <is>
          <t>Min 03 Báo giá cạnh tranh (Khoản 2 Điều 16 NĐ 24/2024/NĐ-CP)</t>
        </is>
      </c>
    </row>
    <row r="122">
      <c r="A122" s="1" t="n">
        <v>116</v>
      </c>
      <c r="B122" s="1" t="inlineStr">
        <is>
          <t>VL_116</t>
        </is>
      </c>
      <c r="C122" s="1" t="inlineStr">
        <is>
          <t>MgSO4.7H2O</t>
        </is>
      </c>
      <c r="D122" s="1" t="inlineStr">
        <is>
          <t>gam</t>
        </is>
      </c>
      <c r="E122" s="24" t="n">
        <v>1.44</v>
      </c>
      <c r="F122" s="11" t="n">
        <v>1180</v>
      </c>
      <c r="G122" s="11">
        <f>ROUND(E122*F122, 0)</f>
        <v/>
      </c>
      <c r="H122" s="1" t="inlineStr">
        <is>
          <t>Min 03 Báo giá cạnh tranh (Khoản 2 Điều 16 NĐ 24/2024/NĐ-CP)</t>
        </is>
      </c>
    </row>
    <row r="123">
      <c r="A123" s="1" t="n">
        <v>117</v>
      </c>
      <c r="B123" s="1" t="inlineStr">
        <is>
          <t>VL_117</t>
        </is>
      </c>
      <c r="C123" s="1" t="inlineStr">
        <is>
          <t>Màng lọc bụi</t>
        </is>
      </c>
      <c r="D123" s="1" t="inlineStr">
        <is>
          <t>cái</t>
        </is>
      </c>
      <c r="E123" s="24" t="n">
        <v>0.2</v>
      </c>
      <c r="F123" s="11" t="n">
        <v>8330</v>
      </c>
      <c r="G123" s="11">
        <f>ROUND(E123*F123, 0)</f>
        <v/>
      </c>
      <c r="H123" s="1" t="inlineStr">
        <is>
          <t>Min 03 Báo giá cạnh tranh (Khoản 2 Điều 16 NĐ 24/2024/NĐ-CP)</t>
        </is>
      </c>
    </row>
    <row r="124">
      <c r="A124" s="1" t="n">
        <v>118</v>
      </c>
      <c r="B124" s="1" t="inlineStr">
        <is>
          <t>VL_118</t>
        </is>
      </c>
      <c r="C124" s="1" t="inlineStr">
        <is>
          <t>Mực máy in</t>
        </is>
      </c>
      <c r="D124" s="1" t="inlineStr">
        <is>
          <t>hộp</t>
        </is>
      </c>
      <c r="E124" s="24" t="n">
        <v>1.24</v>
      </c>
      <c r="F124" s="11" t="n">
        <v>14700</v>
      </c>
      <c r="G124" s="11">
        <f>ROUND(E124*F124, 0)</f>
        <v/>
      </c>
      <c r="H124" s="1" t="inlineStr">
        <is>
          <t>Min 03 Báo giá cạnh tranh (Khoản 2 Điều 16 NĐ 24/2024/NĐ-CP)</t>
        </is>
      </c>
    </row>
    <row r="125">
      <c r="A125" s="1" t="n">
        <v>119</v>
      </c>
      <c r="B125" s="1" t="inlineStr">
        <is>
          <t>VL_119</t>
        </is>
      </c>
      <c r="C125" s="1" t="inlineStr">
        <is>
          <t>N,N-dimethyl-pphenylenediamineoxalate</t>
        </is>
      </c>
      <c r="D125" s="1" t="inlineStr">
        <is>
          <t>gam</t>
        </is>
      </c>
      <c r="E125" s="24" t="n">
        <v>0.48</v>
      </c>
      <c r="F125" s="11" t="n">
        <v>1180</v>
      </c>
      <c r="G125" s="11">
        <f>ROUND(E125*F125, 0)</f>
        <v/>
      </c>
      <c r="H125" s="1" t="inlineStr">
        <is>
          <t>Min 03 Báo giá cạnh tranh (Khoản 2 Điều 16 NĐ 24/2024/NĐ-CP)</t>
        </is>
      </c>
    </row>
    <row r="126">
      <c r="A126" s="1" t="n">
        <v>120</v>
      </c>
      <c r="B126" s="1" t="inlineStr">
        <is>
          <t>VL_120</t>
        </is>
      </c>
      <c r="C126" s="1" t="inlineStr">
        <is>
          <t>N-(1-naphyl)-ethyllediamine</t>
        </is>
      </c>
      <c r="D126" s="1" t="inlineStr">
        <is>
          <t>gam</t>
        </is>
      </c>
      <c r="E126" s="24" t="n">
        <v>12.2</v>
      </c>
      <c r="F126" s="11" t="n">
        <v>1180</v>
      </c>
      <c r="G126" s="11">
        <f>ROUND(E126*F126, 0)</f>
        <v/>
      </c>
      <c r="H126" s="1" t="inlineStr">
        <is>
          <t>Min 03 Báo giá cạnh tranh (Khoản 2 Điều 16 NĐ 24/2024/NĐ-CP)</t>
        </is>
      </c>
    </row>
    <row r="127">
      <c r="A127" s="1" t="n">
        <v>121</v>
      </c>
      <c r="B127" s="1" t="inlineStr">
        <is>
          <t>VL_121</t>
        </is>
      </c>
      <c r="C127" s="1" t="inlineStr">
        <is>
          <t>NH3</t>
        </is>
      </c>
      <c r="D127" s="1" t="inlineStr">
        <is>
          <t>ml</t>
        </is>
      </c>
      <c r="E127" s="24" t="n">
        <v>44</v>
      </c>
      <c r="F127" s="11" t="n">
        <v>590</v>
      </c>
      <c r="G127" s="11">
        <f>ROUND(E127*F127, 0)</f>
        <v/>
      </c>
      <c r="H127" s="1" t="inlineStr">
        <is>
          <t>KQLCNT EVN Vĩnh Tân 4 IB2600096765 (Trước thuế = Giá VAT 8% / 1.08)</t>
        </is>
      </c>
    </row>
    <row r="128">
      <c r="A128" s="1" t="n">
        <v>122</v>
      </c>
      <c r="B128" s="1" t="inlineStr">
        <is>
          <t>VL_122</t>
        </is>
      </c>
      <c r="C128" s="1" t="inlineStr">
        <is>
          <t>NH4Cl</t>
        </is>
      </c>
      <c r="D128" s="1" t="inlineStr">
        <is>
          <t>gam</t>
        </is>
      </c>
      <c r="E128" s="24" t="n">
        <v>0.72</v>
      </c>
      <c r="F128" s="11" t="n">
        <v>1180</v>
      </c>
      <c r="G128" s="11">
        <f>ROUND(E128*F128, 0)</f>
        <v/>
      </c>
      <c r="H128" s="1" t="inlineStr">
        <is>
          <t>Min 03 Báo giá cạnh tranh (Khoản 2 Điều 16 NĐ 24/2024/NĐ-CP)</t>
        </is>
      </c>
    </row>
    <row r="129">
      <c r="A129" s="1" t="n">
        <v>123</v>
      </c>
      <c r="B129" s="1" t="inlineStr">
        <is>
          <t>VL_123</t>
        </is>
      </c>
      <c r="C129" s="1" t="inlineStr">
        <is>
          <t>NH4NO3</t>
        </is>
      </c>
      <c r="D129" s="1" t="inlineStr">
        <is>
          <t>gam</t>
        </is>
      </c>
      <c r="E129" s="24" t="n">
        <v>1000</v>
      </c>
      <c r="F129" s="11" t="n">
        <v>1180</v>
      </c>
      <c r="G129" s="11">
        <f>ROUND(E129*F129, 0)</f>
        <v/>
      </c>
      <c r="H129" s="1" t="inlineStr">
        <is>
          <t>Min 03 Báo giá cạnh tranh (Khoản 2 Điều 16 NĐ 24/2024/NĐ-CP)</t>
        </is>
      </c>
    </row>
    <row r="130">
      <c r="A130" s="1" t="n">
        <v>124</v>
      </c>
      <c r="B130" s="1" t="inlineStr">
        <is>
          <t>VL_124</t>
        </is>
      </c>
      <c r="C130" s="1" t="inlineStr">
        <is>
          <t>NH4OCl</t>
        </is>
      </c>
      <c r="D130" s="1" t="inlineStr">
        <is>
          <t>gam</t>
        </is>
      </c>
      <c r="E130" s="24" t="n">
        <v>36</v>
      </c>
      <c r="F130" s="11" t="n">
        <v>1180</v>
      </c>
      <c r="G130" s="11">
        <f>ROUND(E130*F130, 0)</f>
        <v/>
      </c>
      <c r="H130" s="1" t="inlineStr">
        <is>
          <t>Min 03 Báo giá cạnh tranh (Khoản 2 Điều 16 NĐ 24/2024/NĐ-CP)</t>
        </is>
      </c>
    </row>
    <row r="131">
      <c r="A131" s="1" t="n">
        <v>125</v>
      </c>
      <c r="B131" s="1" t="inlineStr">
        <is>
          <t>VL_125</t>
        </is>
      </c>
      <c r="C131" s="1" t="inlineStr">
        <is>
          <t>Na2CO3</t>
        </is>
      </c>
      <c r="D131" s="1" t="inlineStr">
        <is>
          <t>Gram</t>
        </is>
      </c>
      <c r="E131" s="24" t="n">
        <v>24</v>
      </c>
      <c r="F131" s="11" t="n">
        <v>11</v>
      </c>
      <c r="G131" s="11">
        <f>ROUND(E131*F131, 0)</f>
        <v/>
      </c>
      <c r="H131" s="1" t="inlineStr">
        <is>
          <t>KQLCNT EVN Vĩnh Tân 4 IB2600096765 (Trước thuế = Giá VAT 8% / 1.08)</t>
        </is>
      </c>
    </row>
    <row r="132">
      <c r="A132" s="1" t="n">
        <v>126</v>
      </c>
      <c r="B132" s="1" t="inlineStr">
        <is>
          <t>VL_126</t>
        </is>
      </c>
      <c r="C132" s="1" t="inlineStr">
        <is>
          <t>Na2CO3</t>
        </is>
      </c>
      <c r="D132" s="1" t="inlineStr">
        <is>
          <t>gam</t>
        </is>
      </c>
      <c r="E132" s="24" t="n">
        <v>0.72</v>
      </c>
      <c r="F132" s="11" t="n">
        <v>11</v>
      </c>
      <c r="G132" s="11">
        <f>ROUND(E132*F132, 0)</f>
        <v/>
      </c>
      <c r="H132" s="1" t="inlineStr">
        <is>
          <t>KQLCNT EVN Vĩnh Tân 4 IB2600096765 (Trước thuế = Giá VAT 8% / 1.08)</t>
        </is>
      </c>
    </row>
    <row r="133">
      <c r="A133" s="1" t="n">
        <v>127</v>
      </c>
      <c r="B133" s="1" t="inlineStr">
        <is>
          <t>VL_127</t>
        </is>
      </c>
      <c r="C133" s="1" t="inlineStr">
        <is>
          <t>Na2HPO4</t>
        </is>
      </c>
      <c r="D133" s="1" t="inlineStr">
        <is>
          <t>gam</t>
        </is>
      </c>
      <c r="E133" s="24" t="n">
        <v>1.68</v>
      </c>
      <c r="F133" s="11" t="n">
        <v>1180</v>
      </c>
      <c r="G133" s="11">
        <f>ROUND(E133*F133, 0)</f>
        <v/>
      </c>
      <c r="H133" s="1" t="inlineStr">
        <is>
          <t>Min 03 Báo giá cạnh tranh (Khoản 2 Điều 16 NĐ 24/2024/NĐ-CP)</t>
        </is>
      </c>
    </row>
    <row r="134">
      <c r="A134" s="1" t="n">
        <v>128</v>
      </c>
      <c r="B134" s="1" t="inlineStr">
        <is>
          <t>VL_128</t>
        </is>
      </c>
      <c r="C134" s="1" t="inlineStr">
        <is>
          <t>Na2S.9H2O</t>
        </is>
      </c>
      <c r="D134" s="1" t="inlineStr">
        <is>
          <t>gam</t>
        </is>
      </c>
      <c r="E134" s="24" t="n">
        <v>1.2</v>
      </c>
      <c r="F134" s="11" t="n">
        <v>1180</v>
      </c>
      <c r="G134" s="11">
        <f>ROUND(E134*F134, 0)</f>
        <v/>
      </c>
      <c r="H134" s="1" t="inlineStr">
        <is>
          <t>Min 03 Báo giá cạnh tranh (Khoản 2 Điều 16 NĐ 24/2024/NĐ-CP)</t>
        </is>
      </c>
    </row>
    <row r="135">
      <c r="A135" s="1" t="n">
        <v>129</v>
      </c>
      <c r="B135" s="1" t="inlineStr">
        <is>
          <t>VL_129</t>
        </is>
      </c>
      <c r="C135" s="1" t="inlineStr">
        <is>
          <t>Na2S2O3</t>
        </is>
      </c>
      <c r="D135" s="1" t="inlineStr">
        <is>
          <t>gam</t>
        </is>
      </c>
      <c r="E135" s="24" t="n">
        <v>25.6</v>
      </c>
      <c r="F135" s="11" t="n">
        <v>1180</v>
      </c>
      <c r="G135" s="11">
        <f>ROUND(E135*F135, 0)</f>
        <v/>
      </c>
      <c r="H135" s="1" t="inlineStr">
        <is>
          <t>Min 03 Báo giá cạnh tranh (Khoản 2 Điều 16 NĐ 24/2024/NĐ-CP)</t>
        </is>
      </c>
    </row>
    <row r="136">
      <c r="A136" s="1" t="n">
        <v>130</v>
      </c>
      <c r="B136" s="1" t="inlineStr">
        <is>
          <t>VL_130</t>
        </is>
      </c>
      <c r="C136" s="1" t="inlineStr">
        <is>
          <t>Na2S2O5 0,1N</t>
        </is>
      </c>
      <c r="D136" s="1" t="inlineStr">
        <is>
          <t>ống</t>
        </is>
      </c>
      <c r="E136" s="24" t="n">
        <v>14</v>
      </c>
      <c r="F136" s="11" t="n">
        <v>1180</v>
      </c>
      <c r="G136" s="11">
        <f>ROUND(E136*F136, 0)</f>
        <v/>
      </c>
      <c r="H136" s="1" t="inlineStr">
        <is>
          <t>Min 03 Báo giá cạnh tranh (Khoản 2 Điều 16 NĐ 24/2024/NĐ-CP)</t>
        </is>
      </c>
    </row>
    <row r="137">
      <c r="A137" s="1" t="n">
        <v>131</v>
      </c>
      <c r="B137" s="1" t="inlineStr">
        <is>
          <t>VL_131</t>
        </is>
      </c>
      <c r="C137" s="1" t="inlineStr">
        <is>
          <t>Na2SO3</t>
        </is>
      </c>
      <c r="D137" s="1" t="inlineStr">
        <is>
          <t>gam</t>
        </is>
      </c>
      <c r="E137" s="24" t="n">
        <v>11.2</v>
      </c>
      <c r="F137" s="11" t="n">
        <v>1180</v>
      </c>
      <c r="G137" s="11">
        <f>ROUND(E137*F137, 0)</f>
        <v/>
      </c>
      <c r="H137" s="1" t="inlineStr">
        <is>
          <t>Min 03 Báo giá cạnh tranh (Khoản 2 Điều 16 NĐ 24/2024/NĐ-CP)</t>
        </is>
      </c>
    </row>
    <row r="138">
      <c r="A138" s="1" t="n">
        <v>132</v>
      </c>
      <c r="B138" s="1" t="inlineStr">
        <is>
          <t>VL_132</t>
        </is>
      </c>
      <c r="C138" s="1" t="inlineStr">
        <is>
          <t>Na2SO4</t>
        </is>
      </c>
      <c r="D138" s="1" t="inlineStr">
        <is>
          <t>gam</t>
        </is>
      </c>
      <c r="E138" s="24" t="n">
        <v>560</v>
      </c>
      <c r="F138" s="11" t="n">
        <v>1180</v>
      </c>
      <c r="G138" s="11">
        <f>ROUND(E138*F138, 0)</f>
        <v/>
      </c>
      <c r="H138" s="1" t="inlineStr">
        <is>
          <t>Min 03 Báo giá cạnh tranh (Khoản 2 Điều 16 NĐ 24/2024/NĐ-CP)</t>
        </is>
      </c>
    </row>
    <row r="139">
      <c r="A139" s="1" t="n">
        <v>133</v>
      </c>
      <c r="B139" s="1" t="inlineStr">
        <is>
          <t>VL_133</t>
        </is>
      </c>
      <c r="C139" s="1" t="inlineStr">
        <is>
          <t>Na2[Fe(CN)5.NO].2H2O</t>
        </is>
      </c>
      <c r="D139" s="1" t="inlineStr">
        <is>
          <t>gam</t>
        </is>
      </c>
      <c r="E139" s="24" t="n">
        <v>1.6</v>
      </c>
      <c r="F139" s="11" t="n">
        <v>1180</v>
      </c>
      <c r="G139" s="11">
        <f>ROUND(E139*F139, 0)</f>
        <v/>
      </c>
      <c r="H139" s="1" t="inlineStr">
        <is>
          <t>Min 03 Báo giá cạnh tranh (Khoản 2 Điều 16 NĐ 24/2024/NĐ-CP)</t>
        </is>
      </c>
    </row>
    <row r="140">
      <c r="A140" s="1" t="n">
        <v>134</v>
      </c>
      <c r="B140" s="1" t="inlineStr">
        <is>
          <t>VL_134</t>
        </is>
      </c>
      <c r="C140" s="1" t="inlineStr">
        <is>
          <t>Na3C6H5O7.2H2O</t>
        </is>
      </c>
      <c r="D140" s="1" t="inlineStr">
        <is>
          <t>gam</t>
        </is>
      </c>
      <c r="E140" s="24" t="n">
        <v>8</v>
      </c>
      <c r="F140" s="11" t="n">
        <v>1180</v>
      </c>
      <c r="G140" s="11">
        <f>ROUND(E140*F140, 0)</f>
        <v/>
      </c>
      <c r="H140" s="1" t="inlineStr">
        <is>
          <t>Min 03 Báo giá cạnh tranh (Khoản 2 Điều 16 NĐ 24/2024/NĐ-CP)</t>
        </is>
      </c>
    </row>
    <row r="141">
      <c r="A141" s="1" t="n">
        <v>135</v>
      </c>
      <c r="B141" s="1" t="inlineStr">
        <is>
          <t>VL_135</t>
        </is>
      </c>
      <c r="C141" s="1" t="inlineStr">
        <is>
          <t>NaAsO2</t>
        </is>
      </c>
      <c r="D141" s="1" t="inlineStr">
        <is>
          <t>gam</t>
        </is>
      </c>
      <c r="E141" s="24" t="n">
        <v>10</v>
      </c>
      <c r="F141" s="11" t="n">
        <v>1180</v>
      </c>
      <c r="G141" s="11">
        <f>ROUND(E141*F141, 0)</f>
        <v/>
      </c>
      <c r="H141" s="1" t="inlineStr">
        <is>
          <t>Min 03 Báo giá cạnh tranh (Khoản 2 Điều 16 NĐ 24/2024/NĐ-CP)</t>
        </is>
      </c>
    </row>
    <row r="142">
      <c r="A142" s="1" t="n">
        <v>136</v>
      </c>
      <c r="B142" s="1" t="inlineStr">
        <is>
          <t>VL_136</t>
        </is>
      </c>
      <c r="C142" s="1" t="inlineStr">
        <is>
          <t>NaBH4</t>
        </is>
      </c>
      <c r="D142" s="1" t="inlineStr">
        <is>
          <t>gam</t>
        </is>
      </c>
      <c r="E142" s="24" t="n">
        <v>2.4</v>
      </c>
      <c r="F142" s="11" t="n">
        <v>1180</v>
      </c>
      <c r="G142" s="11">
        <f>ROUND(E142*F142, 0)</f>
        <v/>
      </c>
      <c r="H142" s="1" t="inlineStr">
        <is>
          <t>Min 03 Báo giá cạnh tranh (Khoản 2 Điều 16 NĐ 24/2024/NĐ-CP)</t>
        </is>
      </c>
    </row>
    <row r="143">
      <c r="A143" s="1" t="n">
        <v>137</v>
      </c>
      <c r="B143" s="1" t="inlineStr">
        <is>
          <t>VL_137</t>
        </is>
      </c>
      <c r="C143" s="1" t="inlineStr">
        <is>
          <t>NaC7H5NaO3</t>
        </is>
      </c>
      <c r="D143" s="1" t="inlineStr">
        <is>
          <t>gam</t>
        </is>
      </c>
      <c r="E143" s="24" t="n">
        <v>20</v>
      </c>
      <c r="F143" s="11" t="n">
        <v>1180</v>
      </c>
      <c r="G143" s="11">
        <f>ROUND(E143*F143, 0)</f>
        <v/>
      </c>
      <c r="H143" s="1" t="inlineStr">
        <is>
          <t>Min 03 Báo giá cạnh tranh (Khoản 2 Điều 16 NĐ 24/2024/NĐ-CP)</t>
        </is>
      </c>
    </row>
    <row r="144">
      <c r="A144" s="1" t="n">
        <v>138</v>
      </c>
      <c r="B144" s="1" t="inlineStr">
        <is>
          <t>VL_138</t>
        </is>
      </c>
      <c r="C144" s="1" t="inlineStr">
        <is>
          <t>NaCH3COO</t>
        </is>
      </c>
      <c r="D144" s="1" t="inlineStr">
        <is>
          <t>gam</t>
        </is>
      </c>
      <c r="E144" s="24" t="n">
        <v>0.6</v>
      </c>
      <c r="F144" s="11" t="n">
        <v>1180</v>
      </c>
      <c r="G144" s="11">
        <f>ROUND(E144*F144, 0)</f>
        <v/>
      </c>
      <c r="H144" s="1" t="inlineStr">
        <is>
          <t>Min 03 Báo giá cạnh tranh (Khoản 2 Điều 16 NĐ 24/2024/NĐ-CP)</t>
        </is>
      </c>
    </row>
    <row r="145">
      <c r="A145" s="1" t="n">
        <v>139</v>
      </c>
      <c r="B145" s="1" t="inlineStr">
        <is>
          <t>VL_139</t>
        </is>
      </c>
      <c r="C145" s="1" t="inlineStr">
        <is>
          <t>NaCN</t>
        </is>
      </c>
      <c r="D145" s="1" t="inlineStr">
        <is>
          <t>Gram</t>
        </is>
      </c>
      <c r="E145" s="24" t="n">
        <v>18</v>
      </c>
      <c r="F145" s="11" t="n">
        <v>1180</v>
      </c>
      <c r="G145" s="11">
        <f>ROUND(E145*F145, 0)</f>
        <v/>
      </c>
      <c r="H145" s="1" t="inlineStr">
        <is>
          <t>Min 03 Báo giá cạnh tranh (Khoản 2 Điều 16 NĐ 24/2024/NĐ-CP)</t>
        </is>
      </c>
    </row>
    <row r="146">
      <c r="A146" s="1" t="n">
        <v>140</v>
      </c>
      <c r="B146" s="1" t="inlineStr">
        <is>
          <t>VL_140</t>
        </is>
      </c>
      <c r="C146" s="1" t="inlineStr">
        <is>
          <t>NaClO</t>
        </is>
      </c>
      <c r="D146" s="1" t="inlineStr">
        <is>
          <t>ml</t>
        </is>
      </c>
      <c r="E146" s="24" t="n">
        <v>28</v>
      </c>
      <c r="F146" s="11" t="n">
        <v>8</v>
      </c>
      <c r="G146" s="11">
        <f>ROUND(E146*F146, 0)</f>
        <v/>
      </c>
      <c r="H146" s="1" t="inlineStr">
        <is>
          <t>KQLCNT EVN Vĩnh Tân 4 IB2600096765 (Trước thuế = Giá VAT 8% / 1.08)</t>
        </is>
      </c>
    </row>
    <row r="147">
      <c r="A147" s="1" t="n">
        <v>141</v>
      </c>
      <c r="B147" s="1" t="inlineStr">
        <is>
          <t>VL_141</t>
        </is>
      </c>
      <c r="C147" s="1" t="inlineStr">
        <is>
          <t>NaCl</t>
        </is>
      </c>
      <c r="D147" s="1" t="inlineStr">
        <is>
          <t>gam</t>
        </is>
      </c>
      <c r="E147" s="24" t="n">
        <v>108</v>
      </c>
      <c r="F147" s="11" t="n">
        <v>26240</v>
      </c>
      <c r="G147" s="11">
        <f>ROUND(E147*F147, 0)</f>
        <v/>
      </c>
      <c r="H147" s="1" t="inlineStr">
        <is>
          <t>KQLCNT EVN Vĩnh Tân 4 IB2600096765 (Trước thuế = Giá VAT 8% / 1.08)</t>
        </is>
      </c>
    </row>
    <row r="148">
      <c r="A148" s="1" t="n">
        <v>142</v>
      </c>
      <c r="B148" s="1" t="inlineStr">
        <is>
          <t>VL_142</t>
        </is>
      </c>
      <c r="C148" s="1" t="inlineStr">
        <is>
          <t>NaOH</t>
        </is>
      </c>
      <c r="D148" s="1" t="inlineStr">
        <is>
          <t>Gram</t>
        </is>
      </c>
      <c r="E148" s="24" t="n">
        <v>24</v>
      </c>
      <c r="F148" s="11" t="n">
        <v>1080</v>
      </c>
      <c r="G148" s="11">
        <f>ROUND(E148*F148, 0)</f>
        <v/>
      </c>
      <c r="H148" s="1" t="inlineStr">
        <is>
          <t>KQLCNT EVN Vĩnh Tân 4 IB2600096765 (Trước thuế = Giá VAT 8% / 1.08)</t>
        </is>
      </c>
    </row>
    <row r="149">
      <c r="A149" s="1" t="n">
        <v>143</v>
      </c>
      <c r="B149" s="1" t="inlineStr">
        <is>
          <t>VL_143</t>
        </is>
      </c>
      <c r="C149" s="1" t="inlineStr">
        <is>
          <t>NaOH</t>
        </is>
      </c>
      <c r="D149" s="1" t="inlineStr">
        <is>
          <t>gam</t>
        </is>
      </c>
      <c r="E149" s="24" t="n">
        <v>3354.8</v>
      </c>
      <c r="F149" s="11" t="n">
        <v>1080</v>
      </c>
      <c r="G149" s="11">
        <f>ROUND(E149*F149, 0)</f>
        <v/>
      </c>
      <c r="H149" s="1" t="inlineStr">
        <is>
          <t>KQLCNT EVN Vĩnh Tân 4 IB2600096765 (Trước thuế = Giá VAT 8% / 1.08)</t>
        </is>
      </c>
    </row>
    <row r="150">
      <c r="A150" s="1" t="n">
        <v>144</v>
      </c>
      <c r="B150" s="1" t="inlineStr">
        <is>
          <t>VL_144</t>
        </is>
      </c>
      <c r="C150" s="1" t="inlineStr">
        <is>
          <t>Natri tetracloromercurat</t>
        </is>
      </c>
      <c r="D150" s="1" t="inlineStr">
        <is>
          <t>gam</t>
        </is>
      </c>
      <c r="E150" s="24" t="n">
        <v>4.8</v>
      </c>
      <c r="F150" s="11" t="n">
        <v>1180</v>
      </c>
      <c r="G150" s="11">
        <f>ROUND(E150*F150, 0)</f>
        <v/>
      </c>
      <c r="H150" s="1" t="inlineStr">
        <is>
          <t>Min 03 Báo giá cạnh tranh (Khoản 2 Điều 16 NĐ 24/2024/NĐ-CP)</t>
        </is>
      </c>
    </row>
    <row r="151">
      <c r="A151" s="1" t="n">
        <v>145</v>
      </c>
      <c r="B151" s="1" t="inlineStr">
        <is>
          <t>VL_145</t>
        </is>
      </c>
      <c r="C151" s="1" t="inlineStr">
        <is>
          <t>Nước cất</t>
        </is>
      </c>
      <c r="D151" s="1" t="inlineStr">
        <is>
          <t>lít</t>
        </is>
      </c>
      <c r="E151" s="24" t="n">
        <v>11.2</v>
      </c>
      <c r="F151" s="11" t="n">
        <v>4410</v>
      </c>
      <c r="G151" s="11">
        <f>ROUND(E151*F151, 0)</f>
        <v/>
      </c>
      <c r="H151" s="1" t="inlineStr">
        <is>
          <t>Min 03 Báo giá cạnh tranh (Khoản 2 Điều 16 NĐ 24/2024/NĐ-CP)</t>
        </is>
      </c>
    </row>
    <row r="152">
      <c r="A152" s="1" t="n">
        <v>146</v>
      </c>
      <c r="B152" s="1" t="inlineStr">
        <is>
          <t>VL_146</t>
        </is>
      </c>
      <c r="C152" s="1" t="inlineStr">
        <is>
          <t>Nước rửa dụng cụ</t>
        </is>
      </c>
      <c r="D152" s="1" t="inlineStr">
        <is>
          <t>Lít</t>
        </is>
      </c>
      <c r="E152" s="24" t="n">
        <v>40</v>
      </c>
      <c r="F152" s="11" t="n">
        <v>215600</v>
      </c>
      <c r="G152" s="11">
        <f>ROUND(E152*F152, 0)</f>
        <v/>
      </c>
      <c r="H152" s="1" t="inlineStr">
        <is>
          <t>Min 03 Báo giá cạnh tranh (Khoản 2 Điều 16 NĐ 24/2024/NĐ-CP)</t>
        </is>
      </c>
    </row>
    <row r="153">
      <c r="A153" s="1" t="n">
        <v>147</v>
      </c>
      <c r="B153" s="1" t="inlineStr">
        <is>
          <t>VL_147</t>
        </is>
      </c>
      <c r="C153" s="1" t="inlineStr">
        <is>
          <t>Nước rửa dụng cụ</t>
        </is>
      </c>
      <c r="D153" s="1" t="inlineStr">
        <is>
          <t>lít</t>
        </is>
      </c>
      <c r="E153" s="24" t="n">
        <v>111.1</v>
      </c>
      <c r="F153" s="11" t="n">
        <v>215600</v>
      </c>
      <c r="G153" s="11">
        <f>ROUND(E153*F153, 0)</f>
        <v/>
      </c>
      <c r="H153" s="1" t="inlineStr">
        <is>
          <t>Min 03 Báo giá cạnh tranh (Khoản 2 Điều 16 NĐ 24/2024/NĐ-CP)</t>
        </is>
      </c>
    </row>
    <row r="154">
      <c r="A154" s="1" t="n">
        <v>148</v>
      </c>
      <c r="B154" s="1" t="inlineStr">
        <is>
          <t>VL_148</t>
        </is>
      </c>
      <c r="C154" s="1" t="inlineStr">
        <is>
          <t>Nước rửa đầu đo</t>
        </is>
      </c>
      <c r="D154" s="1" t="inlineStr">
        <is>
          <t>lít</t>
        </is>
      </c>
      <c r="E154" s="24" t="n">
        <v>41.1</v>
      </c>
      <c r="F154" s="11" t="n">
        <v>215600</v>
      </c>
      <c r="G154" s="11">
        <f>ROUND(E154*F154, 0)</f>
        <v/>
      </c>
      <c r="H154" s="1" t="inlineStr">
        <is>
          <t>Min 03 Báo giá cạnh tranh (Khoản 2 Điều 16 NĐ 24/2024/NĐ-CP)</t>
        </is>
      </c>
    </row>
    <row r="155">
      <c r="A155" s="1" t="n">
        <v>149</v>
      </c>
      <c r="B155" s="1" t="inlineStr">
        <is>
          <t>VL_149</t>
        </is>
      </c>
      <c r="C155" s="1" t="inlineStr">
        <is>
          <t>Pararosanilin</t>
        </is>
      </c>
      <c r="D155" s="1" t="inlineStr">
        <is>
          <t>gam</t>
        </is>
      </c>
      <c r="E155" s="24" t="n">
        <v>4.48</v>
      </c>
      <c r="F155" s="11" t="n">
        <v>1180</v>
      </c>
      <c r="G155" s="11">
        <f>ROUND(E155*F155, 0)</f>
        <v/>
      </c>
      <c r="H155" s="1" t="inlineStr">
        <is>
          <t>Min 03 Báo giá cạnh tranh (Khoản 2 Điều 16 NĐ 24/2024/NĐ-CP)</t>
        </is>
      </c>
    </row>
    <row r="156">
      <c r="A156" s="1" t="n">
        <v>150</v>
      </c>
      <c r="B156" s="1" t="inlineStr">
        <is>
          <t>VL_150</t>
        </is>
      </c>
      <c r="C156" s="1" t="inlineStr">
        <is>
          <t>Phenolphtalein</t>
        </is>
      </c>
      <c r="D156" s="1" t="inlineStr">
        <is>
          <t>gam</t>
        </is>
      </c>
      <c r="E156" s="24" t="n">
        <v>0.8</v>
      </c>
      <c r="F156" s="11" t="n">
        <v>1180</v>
      </c>
      <c r="G156" s="11">
        <f>ROUND(E156*F156, 0)</f>
        <v/>
      </c>
      <c r="H156" s="1" t="inlineStr">
        <is>
          <t>Min 03 Báo giá cạnh tranh (Khoản 2 Điều 16 NĐ 24/2024/NĐ-CP)</t>
        </is>
      </c>
    </row>
    <row r="157">
      <c r="A157" s="1" t="n">
        <v>151</v>
      </c>
      <c r="B157" s="1" t="inlineStr">
        <is>
          <t>VL_151</t>
        </is>
      </c>
      <c r="C157" s="1" t="inlineStr">
        <is>
          <t>Pin chuyên dụng</t>
        </is>
      </c>
      <c r="D157" s="1" t="inlineStr">
        <is>
          <t>cục</t>
        </is>
      </c>
      <c r="E157" s="24" t="n">
        <v>366.11</v>
      </c>
      <c r="F157" s="11" t="n">
        <v>14700</v>
      </c>
      <c r="G157" s="11">
        <f>ROUND(E157*F157, 0)</f>
        <v/>
      </c>
      <c r="H157" s="1" t="inlineStr">
        <is>
          <t>Min 03 Báo giá cạnh tranh (Khoản 2 Điều 16 NĐ 24/2024/NĐ-CP)</t>
        </is>
      </c>
    </row>
    <row r="158">
      <c r="A158" s="1" t="n">
        <v>152</v>
      </c>
      <c r="B158" s="1" t="inlineStr">
        <is>
          <t>VL_152</t>
        </is>
      </c>
      <c r="C158" s="1" t="inlineStr">
        <is>
          <t>Polyseed</t>
        </is>
      </c>
      <c r="D158" s="1" t="inlineStr">
        <is>
          <t>Viên</t>
        </is>
      </c>
      <c r="E158" s="24" t="n">
        <v>2.4</v>
      </c>
      <c r="F158" s="11" t="n">
        <v>14700</v>
      </c>
      <c r="G158" s="11">
        <f>ROUND(E158*F158, 0)</f>
        <v/>
      </c>
      <c r="H158" s="1" t="inlineStr">
        <is>
          <t>Min 03 Báo giá cạnh tranh (Khoản 2 Điều 16 NĐ 24/2024/NĐ-CP)</t>
        </is>
      </c>
    </row>
    <row r="159">
      <c r="A159" s="1" t="n">
        <v>153</v>
      </c>
      <c r="B159" s="1" t="inlineStr">
        <is>
          <t>VL_153</t>
        </is>
      </c>
      <c r="C159" s="1" t="inlineStr">
        <is>
          <t>SPADNS (C16H9O11N2S3Na3)</t>
        </is>
      </c>
      <c r="D159" s="1" t="inlineStr">
        <is>
          <t>gam</t>
        </is>
      </c>
      <c r="E159" s="24" t="n">
        <v>4</v>
      </c>
      <c r="F159" s="11" t="n">
        <v>1180</v>
      </c>
      <c r="G159" s="11">
        <f>ROUND(E159*F159, 0)</f>
        <v/>
      </c>
      <c r="H159" s="1" t="inlineStr">
        <is>
          <t>Min 03 Báo giá cạnh tranh (Khoản 2 Điều 16 NĐ 24/2024/NĐ-CP)</t>
        </is>
      </c>
    </row>
    <row r="160">
      <c r="A160" s="1" t="n">
        <v>154</v>
      </c>
      <c r="B160" s="1" t="inlineStr">
        <is>
          <t>VL_154</t>
        </is>
      </c>
      <c r="C160" s="1" t="inlineStr">
        <is>
          <t>Silicagel</t>
        </is>
      </c>
      <c r="D160" s="1" t="inlineStr">
        <is>
          <t>gam</t>
        </is>
      </c>
      <c r="E160" s="24" t="n">
        <v>3640</v>
      </c>
      <c r="F160" s="11" t="n">
        <v>1180</v>
      </c>
      <c r="G160" s="11">
        <f>ROUND(E160*F160, 0)</f>
        <v/>
      </c>
      <c r="H160" s="1" t="inlineStr">
        <is>
          <t>Min 03 Báo giá cạnh tranh (Khoản 2 Điều 16 NĐ 24/2024/NĐ-CP)</t>
        </is>
      </c>
    </row>
    <row r="161">
      <c r="A161" s="1" t="n">
        <v>155</v>
      </c>
      <c r="B161" s="1" t="inlineStr">
        <is>
          <t>VL_155</t>
        </is>
      </c>
      <c r="C161" s="1" t="inlineStr">
        <is>
          <t>SnCl2.2H2O</t>
        </is>
      </c>
      <c r="D161" s="1" t="inlineStr">
        <is>
          <t>gam</t>
        </is>
      </c>
      <c r="E161" s="24" t="n">
        <v>18</v>
      </c>
      <c r="F161" s="11" t="n">
        <v>1180</v>
      </c>
      <c r="G161" s="11">
        <f>ROUND(E161*F161, 0)</f>
        <v/>
      </c>
      <c r="H161" s="1" t="inlineStr">
        <is>
          <t>Min 03 Báo giá cạnh tranh (Khoản 2 Điều 16 NĐ 24/2024/NĐ-CP)</t>
        </is>
      </c>
    </row>
    <row r="162">
      <c r="A162" s="1" t="n">
        <v>156</v>
      </c>
      <c r="B162" s="1" t="inlineStr">
        <is>
          <t>VL_156</t>
        </is>
      </c>
      <c r="C162" s="1" t="inlineStr">
        <is>
          <t>Sulfaniamide</t>
        </is>
      </c>
      <c r="D162" s="1" t="inlineStr">
        <is>
          <t>gam</t>
        </is>
      </c>
      <c r="E162" s="24" t="n">
        <v>8.800000000000001</v>
      </c>
      <c r="F162" s="11" t="n">
        <v>1180</v>
      </c>
      <c r="G162" s="11">
        <f>ROUND(E162*F162, 0)</f>
        <v/>
      </c>
      <c r="H162" s="1" t="inlineStr">
        <is>
          <t>Min 03 Báo giá cạnh tranh (Khoản 2 Điều 16 NĐ 24/2024/NĐ-CP)</t>
        </is>
      </c>
    </row>
    <row r="163">
      <c r="A163" s="1" t="n">
        <v>157</v>
      </c>
      <c r="B163" s="1" t="inlineStr">
        <is>
          <t>VL_157</t>
        </is>
      </c>
      <c r="C163" s="1" t="inlineStr">
        <is>
          <t>Sổ công tác</t>
        </is>
      </c>
      <c r="D163" s="1" t="inlineStr">
        <is>
          <t>Cuốn</t>
        </is>
      </c>
      <c r="E163" s="24" t="n">
        <v>0.08</v>
      </c>
      <c r="F163" s="11" t="n">
        <v>14700</v>
      </c>
      <c r="G163" s="11">
        <f>ROUND(E163*F163, 0)</f>
        <v/>
      </c>
      <c r="H163" s="1" t="inlineStr">
        <is>
          <t>Min 03 Báo giá cạnh tranh (Khoản 2 Điều 16 NĐ 24/2024/NĐ-CP)</t>
        </is>
      </c>
    </row>
    <row r="164">
      <c r="A164" s="1" t="n">
        <v>158</v>
      </c>
      <c r="B164" s="1" t="inlineStr">
        <is>
          <t>VL_158</t>
        </is>
      </c>
      <c r="C164" s="1" t="inlineStr">
        <is>
          <t>Sổ công tác</t>
        </is>
      </c>
      <c r="D164" s="1" t="inlineStr">
        <is>
          <t>cuốn</t>
        </is>
      </c>
      <c r="E164" s="24" t="n">
        <v>15.016</v>
      </c>
      <c r="F164" s="11" t="n">
        <v>14700</v>
      </c>
      <c r="G164" s="11">
        <f>ROUND(E164*F164, 0)</f>
        <v/>
      </c>
      <c r="H164" s="1" t="inlineStr">
        <is>
          <t>Min 03 Báo giá cạnh tranh (Khoản 2 Điều 16 NĐ 24/2024/NĐ-CP)</t>
        </is>
      </c>
    </row>
    <row r="165">
      <c r="A165" s="1" t="n">
        <v>159</v>
      </c>
      <c r="B165" s="1" t="inlineStr">
        <is>
          <t>VL_159</t>
        </is>
      </c>
      <c r="C165" s="1" t="inlineStr">
        <is>
          <t>Than hoạt tính</t>
        </is>
      </c>
      <c r="D165" s="1" t="inlineStr">
        <is>
          <t>kg</t>
        </is>
      </c>
      <c r="E165" s="24" t="n">
        <v>0.04</v>
      </c>
      <c r="F165" s="11" t="n">
        <v>1180</v>
      </c>
      <c r="G165" s="11">
        <f>ROUND(E165*F165, 0)</f>
        <v/>
      </c>
      <c r="H165" s="1" t="inlineStr">
        <is>
          <t>Min 03 Báo giá cạnh tranh (Khoản 2 Điều 16 NĐ 24/2024/NĐ-CP)</t>
        </is>
      </c>
    </row>
    <row r="166">
      <c r="A166" s="1" t="n">
        <v>160</v>
      </c>
      <c r="B166" s="1" t="inlineStr">
        <is>
          <t>VL_160</t>
        </is>
      </c>
      <c r="C166" s="1" t="inlineStr">
        <is>
          <t>Thùng đựng chai lấy mẫu</t>
        </is>
      </c>
      <c r="D166" s="1" t="inlineStr">
        <is>
          <t>Hộp</t>
        </is>
      </c>
      <c r="E166" s="24" t="n">
        <v>0.036</v>
      </c>
      <c r="F166" s="11" t="n">
        <v>14700</v>
      </c>
      <c r="G166" s="11">
        <f>ROUND(E166*F166, 0)</f>
        <v/>
      </c>
      <c r="H166" s="1" t="inlineStr">
        <is>
          <t>Min 03 Báo giá cạnh tranh (Khoản 2 Điều 16 NĐ 24/2024/NĐ-CP)</t>
        </is>
      </c>
    </row>
    <row r="167">
      <c r="A167" s="1" t="n">
        <v>161</v>
      </c>
      <c r="B167" s="1" t="inlineStr">
        <is>
          <t>VL_161</t>
        </is>
      </c>
      <c r="C167" s="1" t="inlineStr">
        <is>
          <t>Toluen</t>
        </is>
      </c>
      <c r="D167" s="1" t="inlineStr">
        <is>
          <t>Lít</t>
        </is>
      </c>
      <c r="E167" s="24" t="n">
        <v>1.08</v>
      </c>
      <c r="F167" s="11" t="n">
        <v>390000</v>
      </c>
      <c r="G167" s="11">
        <f>ROUND(E167*F167, 0)</f>
        <v/>
      </c>
      <c r="H167" s="1" t="inlineStr">
        <is>
          <t>KQLCNT EVN Vĩnh Tân 4 IB2600096765 (Trước thuế = Giá VAT 8% / 1.08)</t>
        </is>
      </c>
    </row>
    <row r="168">
      <c r="A168" s="1" t="n">
        <v>162</v>
      </c>
      <c r="B168" s="1" t="inlineStr">
        <is>
          <t>VL_162</t>
        </is>
      </c>
      <c r="C168" s="1" t="inlineStr">
        <is>
          <t>Túi nilon</t>
        </is>
      </c>
      <c r="D168" s="1" t="inlineStr">
        <is>
          <t>cái</t>
        </is>
      </c>
      <c r="E168" s="24" t="n">
        <v>41.02</v>
      </c>
      <c r="F168" s="11" t="n">
        <v>14700</v>
      </c>
      <c r="G168" s="11">
        <f>ROUND(E168*F168, 0)</f>
        <v/>
      </c>
      <c r="H168" s="1" t="inlineStr">
        <is>
          <t>Min 03 Báo giá cạnh tranh (Khoản 2 Điều 16 NĐ 24/2024/NĐ-CP)</t>
        </is>
      </c>
    </row>
    <row r="169">
      <c r="A169" s="1" t="n">
        <v>163</v>
      </c>
      <c r="B169" s="1" t="inlineStr">
        <is>
          <t>VL_163</t>
        </is>
      </c>
      <c r="C169" s="1" t="inlineStr">
        <is>
          <t>Xenlulo</t>
        </is>
      </c>
      <c r="D169" s="1" t="inlineStr">
        <is>
          <t>gam</t>
        </is>
      </c>
      <c r="E169" s="24" t="n">
        <v>0.36</v>
      </c>
      <c r="F169" s="11" t="n">
        <v>1180</v>
      </c>
      <c r="G169" s="11">
        <f>ROUND(E169*F169, 0)</f>
        <v/>
      </c>
      <c r="H169" s="1" t="inlineStr">
        <is>
          <t>Min 03 Báo giá cạnh tranh (Khoản 2 Điều 16 NĐ 24/2024/NĐ-CP)</t>
        </is>
      </c>
    </row>
    <row r="170">
      <c r="A170" s="1" t="n">
        <v>164</v>
      </c>
      <c r="B170" s="1" t="inlineStr">
        <is>
          <t>VL_164</t>
        </is>
      </c>
      <c r="C170" s="1" t="inlineStr">
        <is>
          <t>Zn(CH3COO)2</t>
        </is>
      </c>
      <c r="D170" s="1" t="inlineStr">
        <is>
          <t>gam</t>
        </is>
      </c>
      <c r="E170" s="24" t="n">
        <v>24</v>
      </c>
      <c r="F170" s="11" t="n">
        <v>1180</v>
      </c>
      <c r="G170" s="11">
        <f>ROUND(E170*F170, 0)</f>
        <v/>
      </c>
      <c r="H170" s="1" t="inlineStr">
        <is>
          <t>Min 03 Báo giá cạnh tranh (Khoản 2 Điều 16 NĐ 24/2024/NĐ-CP)</t>
        </is>
      </c>
    </row>
    <row r="171">
      <c r="A171" s="1" t="n">
        <v>165</v>
      </c>
      <c r="B171" s="1" t="inlineStr">
        <is>
          <t>VL_165</t>
        </is>
      </c>
      <c r="C171" s="1" t="inlineStr">
        <is>
          <t>ZrOCl2.8.H2O</t>
        </is>
      </c>
      <c r="D171" s="1" t="inlineStr">
        <is>
          <t>gam</t>
        </is>
      </c>
      <c r="E171" s="24" t="n">
        <v>2</v>
      </c>
      <c r="F171" s="11" t="n">
        <v>1180</v>
      </c>
      <c r="G171" s="11">
        <f>ROUND(E171*F171, 0)</f>
        <v/>
      </c>
      <c r="H171" s="1" t="inlineStr">
        <is>
          <t>Min 03 Báo giá cạnh tranh (Khoản 2 Điều 16 NĐ 24/2024/NĐ-CP)</t>
        </is>
      </c>
    </row>
    <row r="172">
      <c r="A172" s="1" t="n">
        <v>166</v>
      </c>
      <c r="B172" s="1" t="inlineStr">
        <is>
          <t>VL_166</t>
        </is>
      </c>
      <c r="C172" s="1" t="inlineStr">
        <is>
          <t>hộp</t>
        </is>
      </c>
      <c r="D172" s="1" t="inlineStr">
        <is>
          <t>0,010</t>
        </is>
      </c>
      <c r="E172" s="24" t="n">
        <v>0</v>
      </c>
      <c r="F172" s="11" t="n">
        <v>14700</v>
      </c>
      <c r="G172" s="11">
        <f>ROUND(E172*F172, 0)</f>
        <v/>
      </c>
      <c r="H172" s="1" t="inlineStr">
        <is>
          <t>Min 03 Báo giá cạnh tranh (Khoản 2 Điều 16 NĐ 24/2024/NĐ-CP)</t>
        </is>
      </c>
    </row>
    <row r="173">
      <c r="A173" s="1" t="n">
        <v>167</v>
      </c>
      <c r="B173" s="1" t="inlineStr">
        <is>
          <t>VL_167</t>
        </is>
      </c>
      <c r="C173" s="1" t="inlineStr">
        <is>
          <t>n-Butanol</t>
        </is>
      </c>
      <c r="D173" s="1" t="inlineStr">
        <is>
          <t>ml</t>
        </is>
      </c>
      <c r="E173" s="24" t="n">
        <v>3.36</v>
      </c>
      <c r="F173" s="11" t="n">
        <v>274</v>
      </c>
      <c r="G173" s="11">
        <f>ROUND(E173*F173, 0)</f>
        <v/>
      </c>
      <c r="H173" s="1" t="inlineStr">
        <is>
          <t>Min 03 Báo giá cạnh tranh (Khoản 2 Điều 16 NĐ 24/2024/NĐ-CP)</t>
        </is>
      </c>
    </row>
    <row r="174">
      <c r="A174" s="1" t="n">
        <v>168</v>
      </c>
      <c r="B174" s="1" t="inlineStr">
        <is>
          <t>VL_168</t>
        </is>
      </c>
      <c r="C174" s="1" t="inlineStr">
        <is>
          <t>n-Hexan</t>
        </is>
      </c>
      <c r="D174" s="1" t="inlineStr">
        <is>
          <t>Lít</t>
        </is>
      </c>
      <c r="E174" s="24" t="n">
        <v>0.18</v>
      </c>
      <c r="F174" s="11" t="n">
        <v>191100</v>
      </c>
      <c r="G174" s="11">
        <f>ROUND(E174*F174, 0)</f>
        <v/>
      </c>
      <c r="H174" s="1" t="inlineStr">
        <is>
          <t>Min 03 Báo giá cạnh tranh (Khoản 2 Điều 16 NĐ 24/2024/NĐ-CP)</t>
        </is>
      </c>
    </row>
    <row r="175">
      <c r="A175" s="1" t="n">
        <v>169</v>
      </c>
      <c r="B175" s="1" t="inlineStr">
        <is>
          <t>VL_169</t>
        </is>
      </c>
      <c r="C175" s="1" t="inlineStr">
        <is>
          <t>n-Hexan</t>
        </is>
      </c>
      <c r="D175" s="1" t="inlineStr">
        <is>
          <t>ml</t>
        </is>
      </c>
      <c r="E175" s="24" t="n">
        <v>840</v>
      </c>
      <c r="F175" s="11" t="n">
        <v>235</v>
      </c>
      <c r="G175" s="11">
        <f>ROUND(E175*F175, 0)</f>
        <v/>
      </c>
      <c r="H175" s="1" t="inlineStr">
        <is>
          <t>Min 03 Báo giá cạnh tranh (Khoản 2 Điều 16 NĐ 24/2024/NĐ-CP)</t>
        </is>
      </c>
    </row>
    <row r="176">
      <c r="A176" s="1" t="n">
        <v>170</v>
      </c>
      <c r="B176" s="1" t="inlineStr">
        <is>
          <t>VL_170</t>
        </is>
      </c>
      <c r="C176" s="1" t="inlineStr">
        <is>
          <t>Đá khô</t>
        </is>
      </c>
      <c r="D176" s="1" t="inlineStr">
        <is>
          <t>túi</t>
        </is>
      </c>
      <c r="E176" s="24" t="n">
        <v>691</v>
      </c>
      <c r="F176" s="11" t="n">
        <v>14700</v>
      </c>
      <c r="G176" s="11">
        <f>ROUND(E176*F176, 0)</f>
        <v/>
      </c>
      <c r="H176" s="1" t="inlineStr">
        <is>
          <t>Min 03 Báo giá cạnh tranh (Khoản 2 Điều 16 NĐ 24/2024/NĐ-CP)</t>
        </is>
      </c>
    </row>
    <row r="177">
      <c r="A177" s="1" t="n">
        <v>171</v>
      </c>
      <c r="B177" s="1" t="inlineStr">
        <is>
          <t>VL_171</t>
        </is>
      </c>
      <c r="C177" s="1" t="inlineStr">
        <is>
          <t>Đĩa CD</t>
        </is>
      </c>
      <c r="D177" s="1" t="inlineStr">
        <is>
          <t>cái</t>
        </is>
      </c>
      <c r="E177" s="24" t="n">
        <v>42</v>
      </c>
      <c r="F177" s="11" t="n">
        <v>14700</v>
      </c>
      <c r="G177" s="11">
        <f>ROUND(E177*F177, 0)</f>
        <v/>
      </c>
      <c r="H177" s="1" t="inlineStr">
        <is>
          <t>Min 03 Báo giá cạnh tranh (Khoản 2 Điều 16 NĐ 24/2024/NĐ-CP)</t>
        </is>
      </c>
    </row>
    <row r="178">
      <c r="A178" s="1" t="n">
        <v>172</v>
      </c>
      <c r="B178" s="1" t="inlineStr">
        <is>
          <t>VL_172</t>
        </is>
      </c>
      <c r="C178" s="1" t="inlineStr">
        <is>
          <t>Ống chuẩn AgNO3 0,1N</t>
        </is>
      </c>
      <c r="D178" s="1" t="inlineStr">
        <is>
          <t>ống</t>
        </is>
      </c>
      <c r="E178" s="24" t="n">
        <v>0.24</v>
      </c>
      <c r="F178" s="11" t="n">
        <v>31360</v>
      </c>
      <c r="G178" s="11">
        <f>ROUND(E178*F178, 0)</f>
        <v/>
      </c>
      <c r="H178" s="1" t="inlineStr">
        <is>
          <t>Min 03 Báo giá cạnh tranh (Khoản 2 Điều 16 NĐ 24/2024/NĐ-CP)</t>
        </is>
      </c>
    </row>
    <row r="179">
      <c r="A179" s="1" t="n">
        <v>173</v>
      </c>
      <c r="B179" s="1" t="inlineStr">
        <is>
          <t>VL_173</t>
        </is>
      </c>
      <c r="C179" s="1" t="inlineStr">
        <is>
          <t>Ống chuẩn K2C2O7 0.1N</t>
        </is>
      </c>
      <c r="D179" s="1" t="inlineStr">
        <is>
          <t>ống</t>
        </is>
      </c>
      <c r="E179" s="24" t="n">
        <v>0.4</v>
      </c>
      <c r="F179" s="11" t="n">
        <v>441000</v>
      </c>
      <c r="G179" s="11">
        <f>ROUND(E179*F179, 0)</f>
        <v/>
      </c>
      <c r="H179" s="1" t="inlineStr">
        <is>
          <t>Min 03 Báo giá cạnh tranh (Khoản 2 Điều 16 NĐ 24/2024/NĐ-CP)</t>
        </is>
      </c>
    </row>
    <row r="180">
      <c r="A180" s="1" t="n">
        <v>174</v>
      </c>
      <c r="B180" s="1" t="inlineStr">
        <is>
          <t>VL_KHAC</t>
        </is>
      </c>
      <c r="C180" s="1" t="inlineStr">
        <is>
          <t>Vật liệu phụ khác (8% vật liệu chính theo Khoản 4.4 TT20)</t>
        </is>
      </c>
      <c r="D180" s="1" t="inlineStr">
        <is>
          <t>%</t>
        </is>
      </c>
      <c r="E180" s="1" t="inlineStr">
        <is>
          <t>8.0%</t>
        </is>
      </c>
      <c r="F180" s="11" t="inlineStr"/>
      <c r="G180" s="11">
        <f>ROUND(SUM(G7:G179)*'Hệ số'!$C$11, 0)</f>
        <v/>
      </c>
      <c r="H180" s="1" t="inlineStr">
        <is>
          <t>Hệ số 8% theo Khoản 4.4 TT20</t>
        </is>
      </c>
    </row>
    <row r="181">
      <c r="A181" s="25" t="inlineStr"/>
      <c r="B181" s="25" t="inlineStr"/>
      <c r="C181" s="25" t="inlineStr">
        <is>
          <t>CỘNG CHI PHÍ VẬT LIỆU:</t>
        </is>
      </c>
      <c r="D181" s="25" t="inlineStr"/>
      <c r="E181" s="25" t="inlineStr"/>
      <c r="F181" s="26" t="inlineStr"/>
      <c r="G181" s="26">
        <f>SUM(G7:G180)</f>
        <v/>
      </c>
      <c r="H181" s="25" t="inlineStr">
        <is>
          <t>Tổng chi phí vật liệu (VL)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NHÂN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TT 20/2017/TT-BTNMT và QĐ 80/2026/QĐ-UBND 22 ngày/tháng)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nhóm chức danh lao động</t>
        </is>
      </c>
      <c r="D6" s="8" t="inlineStr">
        <is>
          <t>Đơn vị</t>
        </is>
      </c>
      <c r="E6" s="8" t="inlineStr">
        <is>
          <t>Tổng số ngày công (SUMIF)</t>
        </is>
      </c>
      <c r="F6" s="8" t="inlineStr">
        <is>
          <t>Đơn giá ngày công (/22 ngày)</t>
        </is>
      </c>
      <c r="G6" s="8" t="inlineStr">
        <is>
          <t>Thành tiền nhân công (VNĐ)</t>
        </is>
      </c>
      <c r="H6" s="8" t="inlineStr">
        <is>
          <t>Căn cứ pháp lý lương</t>
        </is>
      </c>
    </row>
    <row r="7">
      <c r="A7" s="1" t="n">
        <v>1</v>
      </c>
      <c r="B7" s="1" t="inlineStr">
        <is>
          <t>NC_LDKT</t>
        </is>
      </c>
      <c r="C7" s="1" t="inlineStr">
        <is>
          <t>Lao động kỹ thuật (Kỹ sư/QTVTNMT - Bậc 4-5/7)</t>
        </is>
      </c>
      <c r="D7" s="1" t="inlineStr">
        <is>
          <t>công</t>
        </is>
      </c>
      <c r="E7" s="24">
        <f>ROUND(SUMIF('Hao phí VT'!$B$6:$B$536, B7, 'Hao phí VT'!$L$6:$L$536), 4)</f>
        <v/>
      </c>
      <c r="F7" s="11">
        <f>'Lương nhân công'!$E$8</f>
        <v/>
      </c>
      <c r="G7" s="11">
        <f>ROUND(E7*F7, 0)</f>
        <v/>
      </c>
      <c r="H7" s="1" t="inlineStr">
        <is>
          <t>TTLT 56/2015 &amp; QĐ 80/2026 chia 22 ngày</t>
        </is>
      </c>
    </row>
    <row r="8">
      <c r="A8" s="1" t="n">
        <v>2</v>
      </c>
      <c r="B8" s="1" t="inlineStr">
        <is>
          <t>NC_LDPT</t>
        </is>
      </c>
      <c r="C8" s="1" t="inlineStr">
        <is>
          <t>Lao động phổ thông (Phụ việc hiện trường / vận chuyển)</t>
        </is>
      </c>
      <c r="D8" s="1" t="inlineStr">
        <is>
          <t>công</t>
        </is>
      </c>
      <c r="E8" s="24">
        <f>ROUND(SUMIF('Hao phí VT'!$B$6:$B$536, B8, 'Hao phí VT'!$L$6:$L$536), 4)</f>
        <v/>
      </c>
      <c r="F8" s="11">
        <f>'Lương nhân công'!$E$9</f>
        <v/>
      </c>
      <c r="G8" s="11">
        <f>ROUND(E8*F8, 0)</f>
        <v/>
      </c>
      <c r="H8" s="1" t="inlineStr">
        <is>
          <t>TTLT 56/2015 &amp; QĐ 80/2026 chia 22 ngày</t>
        </is>
      </c>
    </row>
    <row r="9">
      <c r="A9" s="25" t="inlineStr"/>
      <c r="B9" s="25" t="inlineStr"/>
      <c r="C9" s="25" t="inlineStr">
        <is>
          <t>CỘNG CHI PHÍ NHÂN CÔNG:</t>
        </is>
      </c>
      <c r="D9" s="25" t="inlineStr"/>
      <c r="E9" s="27">
        <f>ROUND(E7+E8, 4)</f>
        <v/>
      </c>
      <c r="F9" s="26" t="inlineStr"/>
      <c r="G9" s="26">
        <f>G7+G8</f>
        <v/>
      </c>
      <c r="H9" s="25" t="inlineStr">
        <is>
          <t>Tổng chi phí nhân công (NC)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VÀ CHÊNH LỆCH CÔNG CỤ DỤNG CỤ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3 &amp; Mục 4.2: 22 ca/tháng + 10% CCDC phụ)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công cụ dụng cụ</t>
        </is>
      </c>
      <c r="D6" s="8" t="inlineStr">
        <is>
          <t>Đơn vị</t>
        </is>
      </c>
      <c r="E6" s="8" t="inlineStr">
        <is>
          <t>Tổng số ca sử dụng</t>
        </is>
      </c>
      <c r="F6" s="8" t="inlineStr">
        <is>
          <t>Đơn giá 1 ca CCDC (22 ca/tháng)</t>
        </is>
      </c>
      <c r="G6" s="8" t="inlineStr">
        <is>
          <t>Thành tiền CCDC (VNĐ)</t>
        </is>
      </c>
      <c r="H6" s="8" t="inlineStr">
        <is>
          <t>Ghi chú định mức</t>
        </is>
      </c>
    </row>
    <row r="7">
      <c r="A7" s="1" t="n">
        <v>1</v>
      </c>
      <c r="B7" s="1" t="inlineStr">
        <is>
          <t>DC_001</t>
        </is>
      </c>
      <c r="C7" s="1" t="inlineStr">
        <is>
          <t>Acqui</t>
        </is>
      </c>
      <c r="D7" s="1" t="inlineStr">
        <is>
          <t>bộ</t>
        </is>
      </c>
      <c r="E7" s="24" t="n">
        <v>0.2333</v>
      </c>
      <c r="F7" s="11" t="n">
        <v>1458</v>
      </c>
      <c r="G7" s="11">
        <f>ROUND(E7*F7, 0)</f>
        <v/>
      </c>
      <c r="H7" s="1" t="inlineStr">
        <is>
          <t>Tra cứu nguyên giá mua mới trên Mua sắm công để tính đơn giá Ca</t>
        </is>
      </c>
    </row>
    <row r="8">
      <c r="A8" s="1" t="n">
        <v>2</v>
      </c>
      <c r="B8" s="1" t="inlineStr">
        <is>
          <t>DC_002</t>
        </is>
      </c>
      <c r="C8" s="1" t="inlineStr">
        <is>
          <t>Buret chuẩn độ</t>
        </is>
      </c>
      <c r="D8" s="1" t="inlineStr">
        <is>
          <t>cái</t>
        </is>
      </c>
      <c r="E8" s="24" t="n">
        <v>0.2333</v>
      </c>
      <c r="F8" s="11" t="n">
        <v>1458</v>
      </c>
      <c r="G8" s="11">
        <f>ROUND(E8*F8, 0)</f>
        <v/>
      </c>
      <c r="H8" s="1" t="inlineStr">
        <is>
          <t>Tra cứu nguyên giá mua mới trên Mua sắm công để tính đơn giá Ca</t>
        </is>
      </c>
    </row>
    <row r="9">
      <c r="A9" s="1" t="n">
        <v>3</v>
      </c>
      <c r="B9" s="1" t="inlineStr">
        <is>
          <t>DC_003</t>
        </is>
      </c>
      <c r="C9" s="1" t="inlineStr">
        <is>
          <t>Burret chuẩn độ tự động</t>
        </is>
      </c>
      <c r="D9" s="1" t="inlineStr">
        <is>
          <t>cái</t>
        </is>
      </c>
      <c r="E9" s="24" t="n">
        <v>0.15</v>
      </c>
      <c r="F9" s="11" t="n">
        <v>1458</v>
      </c>
      <c r="G9" s="11">
        <f>ROUND(E9*F9, 0)</f>
        <v/>
      </c>
      <c r="H9" s="1" t="inlineStr">
        <is>
          <t>Tra cứu nguyên giá mua mới trên Mua sắm công để tính đơn giá Ca</t>
        </is>
      </c>
    </row>
    <row r="10">
      <c r="A10" s="1" t="n">
        <v>4</v>
      </c>
      <c r="B10" s="1" t="inlineStr">
        <is>
          <t>DC_004</t>
        </is>
      </c>
      <c r="C10" s="1" t="inlineStr">
        <is>
          <t>Burret chuẩn độ tự động</t>
        </is>
      </c>
      <c r="D10" s="1" t="inlineStr">
        <is>
          <t>Cái</t>
        </is>
      </c>
      <c r="E10" s="24" t="n">
        <v>0.15</v>
      </c>
      <c r="F10" s="11" t="n">
        <v>1458</v>
      </c>
      <c r="G10" s="11">
        <f>ROUND(E10*F10, 0)</f>
        <v/>
      </c>
      <c r="H10" s="1" t="inlineStr">
        <is>
          <t>Tra cứu nguyên giá mua mới trên Mua sắm công để tính đơn giá Ca</t>
        </is>
      </c>
    </row>
    <row r="11">
      <c r="A11" s="1" t="n">
        <v>5</v>
      </c>
      <c r="B11" s="1" t="inlineStr">
        <is>
          <t>DC_005</t>
        </is>
      </c>
      <c r="C11" s="1" t="inlineStr">
        <is>
          <t>Bàn làm việc</t>
        </is>
      </c>
      <c r="D11" s="1" t="inlineStr">
        <is>
          <t>cái</t>
        </is>
      </c>
      <c r="E11" s="24" t="n">
        <v>0.5722</v>
      </c>
      <c r="F11" s="11" t="n">
        <v>243</v>
      </c>
      <c r="G11" s="11">
        <f>ROUND(E11*F11, 0)</f>
        <v/>
      </c>
      <c r="H11" s="1" t="inlineStr">
        <is>
          <t>Tra cứu nguyên giá mua mới trên Mua sắm công để tính đơn giá Ca</t>
        </is>
      </c>
    </row>
    <row r="12">
      <c r="A12" s="1" t="n">
        <v>6</v>
      </c>
      <c r="B12" s="1" t="inlineStr">
        <is>
          <t>DC_006</t>
        </is>
      </c>
      <c r="C12" s="1" t="inlineStr">
        <is>
          <t>Bàn làm việc</t>
        </is>
      </c>
      <c r="D12" s="1" t="inlineStr">
        <is>
          <t>Cái</t>
        </is>
      </c>
      <c r="E12" s="24" t="n">
        <v>0.025</v>
      </c>
      <c r="F12" s="11" t="n">
        <v>243</v>
      </c>
      <c r="G12" s="11">
        <f>ROUND(E12*F12, 0)</f>
        <v/>
      </c>
      <c r="H12" s="1" t="inlineStr">
        <is>
          <t>Tra cứu nguyên giá mua mới trên Mua sắm công để tính đơn giá Ca</t>
        </is>
      </c>
    </row>
    <row r="13">
      <c r="A13" s="1" t="n">
        <v>7</v>
      </c>
      <c r="B13" s="1" t="inlineStr">
        <is>
          <t>DC_007</t>
        </is>
      </c>
      <c r="C13" s="1" t="inlineStr">
        <is>
          <t>Bàn làm việc</t>
        </is>
      </c>
      <c r="D13" s="1" t="inlineStr">
        <is>
          <t>đôi</t>
        </is>
      </c>
      <c r="E13" s="24" t="n">
        <v>0.0083</v>
      </c>
      <c r="F13" s="11" t="n">
        <v>243</v>
      </c>
      <c r="G13" s="11">
        <f>ROUND(E13*F13, 0)</f>
        <v/>
      </c>
      <c r="H13" s="1" t="inlineStr">
        <is>
          <t>Tra cứu nguyên giá mua mới trên Mua sắm công để tính đơn giá Ca</t>
        </is>
      </c>
    </row>
    <row r="14">
      <c r="A14" s="1" t="n">
        <v>8</v>
      </c>
      <c r="B14" s="1" t="inlineStr">
        <is>
          <t>DC_008</t>
        </is>
      </c>
      <c r="C14" s="1" t="inlineStr">
        <is>
          <t>Bình chưng cất</t>
        </is>
      </c>
      <c r="D14" s="1" t="inlineStr">
        <is>
          <t>cái</t>
        </is>
      </c>
      <c r="E14" s="24" t="n">
        <v>0.3333</v>
      </c>
      <c r="F14" s="11" t="n">
        <v>1500</v>
      </c>
      <c r="G14" s="11">
        <f>ROUND(E14*F14, 0)</f>
        <v/>
      </c>
      <c r="H14" s="1" t="inlineStr">
        <is>
          <t>Tra cứu nguyên giá mua mới trên Mua sắm công để tính đơn giá Ca</t>
        </is>
      </c>
    </row>
    <row r="15">
      <c r="A15" s="1" t="n">
        <v>9</v>
      </c>
      <c r="B15" s="1" t="inlineStr">
        <is>
          <t>DC_009</t>
        </is>
      </c>
      <c r="C15" s="1" t="inlineStr">
        <is>
          <t>Bình nhỏ giọt</t>
        </is>
      </c>
      <c r="D15" s="1" t="inlineStr">
        <is>
          <t>cái</t>
        </is>
      </c>
      <c r="E15" s="24" t="n">
        <v>1.8</v>
      </c>
      <c r="F15" s="11" t="n">
        <v>9000</v>
      </c>
      <c r="G15" s="11">
        <f>ROUND(E15*F15, 0)</f>
        <v/>
      </c>
      <c r="H15" s="1" t="inlineStr">
        <is>
          <t>Tra cứu nguyên giá mua mới trên Mua sắm công để tính đơn giá Ca</t>
        </is>
      </c>
    </row>
    <row r="16">
      <c r="A16" s="1" t="n">
        <v>10</v>
      </c>
      <c r="B16" s="1" t="inlineStr">
        <is>
          <t>DC_010</t>
        </is>
      </c>
      <c r="C16" s="1" t="inlineStr">
        <is>
          <t>Bình nhựa 0,5 lít</t>
        </is>
      </c>
      <c r="D16" s="1" t="inlineStr">
        <is>
          <t>cái</t>
        </is>
      </c>
      <c r="E16" s="24" t="n">
        <v>2.9</v>
      </c>
      <c r="F16" s="11" t="n">
        <v>1500</v>
      </c>
      <c r="G16" s="11">
        <f>ROUND(E16*F16, 0)</f>
        <v/>
      </c>
      <c r="H16" s="1" t="inlineStr">
        <is>
          <t>Tra cứu nguyên giá mua mới trên Mua sắm công để tính đơn giá Ca</t>
        </is>
      </c>
    </row>
    <row r="17">
      <c r="A17" s="1" t="n">
        <v>11</v>
      </c>
      <c r="B17" s="1" t="inlineStr">
        <is>
          <t>DC_011</t>
        </is>
      </c>
      <c r="C17" s="1" t="inlineStr">
        <is>
          <t>Bình nhựa 2 lít</t>
        </is>
      </c>
      <c r="D17" s="1" t="inlineStr">
        <is>
          <t>cái</t>
        </is>
      </c>
      <c r="E17" s="24" t="n">
        <v>5.6333</v>
      </c>
      <c r="F17" s="11" t="n">
        <v>1500</v>
      </c>
      <c r="G17" s="11">
        <f>ROUND(E17*F17, 0)</f>
        <v/>
      </c>
      <c r="H17" s="1" t="inlineStr">
        <is>
          <t>Tra cứu nguyên giá mua mới trên Mua sắm công để tính đơn giá Ca</t>
        </is>
      </c>
    </row>
    <row r="18">
      <c r="A18" s="1" t="n">
        <v>12</v>
      </c>
      <c r="B18" s="1" t="inlineStr">
        <is>
          <t>DC_012</t>
        </is>
      </c>
      <c r="C18" s="1" t="inlineStr">
        <is>
          <t>Bình nhựa 2 lít</t>
        </is>
      </c>
      <c r="D18" s="1" t="inlineStr">
        <is>
          <t>Cái</t>
        </is>
      </c>
      <c r="E18" s="24" t="n">
        <v>0.3</v>
      </c>
      <c r="F18" s="11" t="n">
        <v>1500</v>
      </c>
      <c r="G18" s="11">
        <f>ROUND(E18*F18, 0)</f>
        <v/>
      </c>
      <c r="H18" s="1" t="inlineStr">
        <is>
          <t>Tra cứu nguyên giá mua mới trên Mua sắm công để tính đơn giá Ca</t>
        </is>
      </c>
    </row>
    <row r="19">
      <c r="A19" s="1" t="n">
        <v>13</v>
      </c>
      <c r="B19" s="1" t="inlineStr">
        <is>
          <t>DC_013</t>
        </is>
      </c>
      <c r="C19" s="1" t="inlineStr">
        <is>
          <t>Bình nhựa 5 lít</t>
        </is>
      </c>
      <c r="D19" s="1" t="inlineStr">
        <is>
          <t>cái</t>
        </is>
      </c>
      <c r="E19" s="24" t="n">
        <v>4.6667</v>
      </c>
      <c r="F19" s="11" t="n">
        <v>1500</v>
      </c>
      <c r="G19" s="11">
        <f>ROUND(E19*F19, 0)</f>
        <v/>
      </c>
      <c r="H19" s="1" t="inlineStr">
        <is>
          <t>Tra cứu nguyên giá mua mới trên Mua sắm công để tính đơn giá Ca</t>
        </is>
      </c>
    </row>
    <row r="20">
      <c r="A20" s="1" t="n">
        <v>14</v>
      </c>
      <c r="B20" s="1" t="inlineStr">
        <is>
          <t>DC_014</t>
        </is>
      </c>
      <c r="C20" s="1" t="inlineStr">
        <is>
          <t>Bình nhựa 5 lít</t>
        </is>
      </c>
      <c r="D20" s="1" t="inlineStr">
        <is>
          <t>Cái</t>
        </is>
      </c>
      <c r="E20" s="24" t="n">
        <v>0.3</v>
      </c>
      <c r="F20" s="11" t="n">
        <v>1500</v>
      </c>
      <c r="G20" s="11">
        <f>ROUND(E20*F20, 0)</f>
        <v/>
      </c>
      <c r="H20" s="1" t="inlineStr">
        <is>
          <t>Tra cứu nguyên giá mua mới trên Mua sắm công để tính đơn giá Ca</t>
        </is>
      </c>
    </row>
    <row r="21">
      <c r="A21" s="1" t="n">
        <v>15</v>
      </c>
      <c r="B21" s="1" t="inlineStr">
        <is>
          <t>DC_015</t>
        </is>
      </c>
      <c r="C21" s="1" t="inlineStr">
        <is>
          <t>Bình tam giác</t>
        </is>
      </c>
      <c r="D21" s="1" t="inlineStr">
        <is>
          <t>cái</t>
        </is>
      </c>
      <c r="E21" s="24" t="n">
        <v>0.5667</v>
      </c>
      <c r="F21" s="11" t="n">
        <v>1500</v>
      </c>
      <c r="G21" s="11">
        <f>ROUND(E21*F21, 0)</f>
        <v/>
      </c>
      <c r="H21" s="1" t="inlineStr">
        <is>
          <t>Tra cứu nguyên giá mua mới trên Mua sắm công để tính đơn giá Ca</t>
        </is>
      </c>
    </row>
    <row r="22">
      <c r="A22" s="1" t="n">
        <v>16</v>
      </c>
      <c r="B22" s="1" t="inlineStr">
        <is>
          <t>DC_016</t>
        </is>
      </c>
      <c r="C22" s="1" t="inlineStr">
        <is>
          <t>Bình tam giác 250ml</t>
        </is>
      </c>
      <c r="D22" s="1" t="inlineStr">
        <is>
          <t>cái</t>
        </is>
      </c>
      <c r="E22" s="24" t="n">
        <v>4.1333</v>
      </c>
      <c r="F22" s="11" t="n">
        <v>1500</v>
      </c>
      <c r="G22" s="11">
        <f>ROUND(E22*F22, 0)</f>
        <v/>
      </c>
      <c r="H22" s="1" t="inlineStr">
        <is>
          <t>Tra cứu nguyên giá mua mới trên Mua sắm công để tính đơn giá Ca</t>
        </is>
      </c>
    </row>
    <row r="23">
      <c r="A23" s="1" t="n">
        <v>17</v>
      </c>
      <c r="B23" s="1" t="inlineStr">
        <is>
          <t>DC_017</t>
        </is>
      </c>
      <c r="C23" s="1" t="inlineStr">
        <is>
          <t>Bình tam giác 500ml</t>
        </is>
      </c>
      <c r="D23" s="1" t="inlineStr">
        <is>
          <t>cái</t>
        </is>
      </c>
      <c r="E23" s="24" t="n">
        <v>0.3333</v>
      </c>
      <c r="F23" s="11" t="n">
        <v>1500</v>
      </c>
      <c r="G23" s="11">
        <f>ROUND(E23*F23, 0)</f>
        <v/>
      </c>
      <c r="H23" s="1" t="inlineStr">
        <is>
          <t>Tra cứu nguyên giá mua mới trên Mua sắm công để tính đơn giá Ca</t>
        </is>
      </c>
    </row>
    <row r="24">
      <c r="A24" s="1" t="n">
        <v>18</v>
      </c>
      <c r="B24" s="1" t="inlineStr">
        <is>
          <t>DC_018</t>
        </is>
      </c>
      <c r="C24" s="1" t="inlineStr">
        <is>
          <t>Bình tia</t>
        </is>
      </c>
      <c r="D24" s="1" t="inlineStr">
        <is>
          <t>cái</t>
        </is>
      </c>
      <c r="E24" s="24" t="n">
        <v>12.15</v>
      </c>
      <c r="F24" s="11" t="n">
        <v>1500</v>
      </c>
      <c r="G24" s="11">
        <f>ROUND(E24*F24, 0)</f>
        <v/>
      </c>
      <c r="H24" s="1" t="inlineStr">
        <is>
          <t>Tra cứu nguyên giá mua mới trên Mua sắm công để tính đơn giá Ca</t>
        </is>
      </c>
    </row>
    <row r="25">
      <c r="A25" s="1" t="n">
        <v>19</v>
      </c>
      <c r="B25" s="1" t="inlineStr">
        <is>
          <t>DC_019</t>
        </is>
      </c>
      <c r="C25" s="1" t="inlineStr">
        <is>
          <t>Bình tia</t>
        </is>
      </c>
      <c r="D25" s="1" t="inlineStr">
        <is>
          <t>Cái</t>
        </is>
      </c>
      <c r="E25" s="24" t="n">
        <v>0.3</v>
      </c>
      <c r="F25" s="11" t="n">
        <v>1500</v>
      </c>
      <c r="G25" s="11">
        <f>ROUND(E25*F25, 0)</f>
        <v/>
      </c>
      <c r="H25" s="1" t="inlineStr">
        <is>
          <t>Tra cứu nguyên giá mua mới trên Mua sắm công để tính đơn giá Ca</t>
        </is>
      </c>
    </row>
    <row r="26">
      <c r="A26" s="1" t="n">
        <v>20</v>
      </c>
      <c r="B26" s="1" t="inlineStr">
        <is>
          <t>DC_020</t>
        </is>
      </c>
      <c r="C26" s="1" t="inlineStr">
        <is>
          <t>Bình định mức 1000ml</t>
        </is>
      </c>
      <c r="D26" s="1" t="inlineStr">
        <is>
          <t>cái</t>
        </is>
      </c>
      <c r="E26" s="24" t="n">
        <v>4.2667</v>
      </c>
      <c r="F26" s="11" t="n">
        <v>1500</v>
      </c>
      <c r="G26" s="11">
        <f>ROUND(E26*F26, 0)</f>
        <v/>
      </c>
      <c r="H26" s="1" t="inlineStr">
        <is>
          <t>Tra cứu nguyên giá mua mới trên Mua sắm công để tính đơn giá Ca</t>
        </is>
      </c>
    </row>
    <row r="27">
      <c r="A27" s="1" t="n">
        <v>21</v>
      </c>
      <c r="B27" s="1" t="inlineStr">
        <is>
          <t>DC_021</t>
        </is>
      </c>
      <c r="C27" s="1" t="inlineStr">
        <is>
          <t>Bình định mức 100ml</t>
        </is>
      </c>
      <c r="D27" s="1" t="inlineStr">
        <is>
          <t>cái</t>
        </is>
      </c>
      <c r="E27" s="24" t="n">
        <v>1.9</v>
      </c>
      <c r="F27" s="11" t="n">
        <v>1500</v>
      </c>
      <c r="G27" s="11">
        <f>ROUND(E27*F27, 0)</f>
        <v/>
      </c>
      <c r="H27" s="1" t="inlineStr">
        <is>
          <t>Tra cứu nguyên giá mua mới trên Mua sắm công để tính đơn giá Ca</t>
        </is>
      </c>
    </row>
    <row r="28">
      <c r="A28" s="1" t="n">
        <v>22</v>
      </c>
      <c r="B28" s="1" t="inlineStr">
        <is>
          <t>DC_022</t>
        </is>
      </c>
      <c r="C28" s="1" t="inlineStr">
        <is>
          <t>Bình định mức 100ml</t>
        </is>
      </c>
      <c r="D28" s="1" t="inlineStr">
        <is>
          <t>Cái</t>
        </is>
      </c>
      <c r="E28" s="24" t="n">
        <v>0.3</v>
      </c>
      <c r="F28" s="11" t="n">
        <v>1500</v>
      </c>
      <c r="G28" s="11">
        <f>ROUND(E28*F28, 0)</f>
        <v/>
      </c>
      <c r="H28" s="1" t="inlineStr">
        <is>
          <t>Tra cứu nguyên giá mua mới trên Mua sắm công để tính đơn giá Ca</t>
        </is>
      </c>
    </row>
    <row r="29">
      <c r="A29" s="1" t="n">
        <v>23</v>
      </c>
      <c r="B29" s="1" t="inlineStr">
        <is>
          <t>DC_023</t>
        </is>
      </c>
      <c r="C29" s="1" t="inlineStr">
        <is>
          <t>Bình định mức 250ml</t>
        </is>
      </c>
      <c r="D29" s="1" t="inlineStr">
        <is>
          <t>cái</t>
        </is>
      </c>
      <c r="E29" s="24" t="n">
        <v>1.4</v>
      </c>
      <c r="F29" s="11" t="n">
        <v>1500</v>
      </c>
      <c r="G29" s="11">
        <f>ROUND(E29*F29, 0)</f>
        <v/>
      </c>
      <c r="H29" s="1" t="inlineStr">
        <is>
          <t>Tra cứu nguyên giá mua mới trên Mua sắm công để tính đơn giá Ca</t>
        </is>
      </c>
    </row>
    <row r="30">
      <c r="A30" s="1" t="n">
        <v>24</v>
      </c>
      <c r="B30" s="1" t="inlineStr">
        <is>
          <t>DC_024</t>
        </is>
      </c>
      <c r="C30" s="1" t="inlineStr">
        <is>
          <t>Bình định mức 25ml</t>
        </is>
      </c>
      <c r="D30" s="1" t="inlineStr">
        <is>
          <t>cái</t>
        </is>
      </c>
      <c r="E30" s="24" t="n">
        <v>3.4667</v>
      </c>
      <c r="F30" s="11" t="n">
        <v>1500</v>
      </c>
      <c r="G30" s="11">
        <f>ROUND(E30*F30, 0)</f>
        <v/>
      </c>
      <c r="H30" s="1" t="inlineStr">
        <is>
          <t>Tra cứu nguyên giá mua mới trên Mua sắm công để tính đơn giá Ca</t>
        </is>
      </c>
    </row>
    <row r="31">
      <c r="A31" s="1" t="n">
        <v>25</v>
      </c>
      <c r="B31" s="1" t="inlineStr">
        <is>
          <t>DC_025</t>
        </is>
      </c>
      <c r="C31" s="1" t="inlineStr">
        <is>
          <t>Bình định mức 50ml</t>
        </is>
      </c>
      <c r="D31" s="1" t="inlineStr">
        <is>
          <t>cái</t>
        </is>
      </c>
      <c r="E31" s="24" t="n">
        <v>4.9667</v>
      </c>
      <c r="F31" s="11" t="n">
        <v>1500</v>
      </c>
      <c r="G31" s="11">
        <f>ROUND(E31*F31, 0)</f>
        <v/>
      </c>
      <c r="H31" s="1" t="inlineStr">
        <is>
          <t>Tra cứu nguyên giá mua mới trên Mua sắm công để tính đơn giá Ca</t>
        </is>
      </c>
    </row>
    <row r="32">
      <c r="A32" s="1" t="n">
        <v>26</v>
      </c>
      <c r="B32" s="1" t="inlineStr">
        <is>
          <t>DC_026</t>
        </is>
      </c>
      <c r="C32" s="1" t="inlineStr">
        <is>
          <t>Bình định mức 50ml</t>
        </is>
      </c>
      <c r="D32" s="1" t="inlineStr">
        <is>
          <t>Cái</t>
        </is>
      </c>
      <c r="E32" s="24" t="n">
        <v>0.3</v>
      </c>
      <c r="F32" s="11" t="n">
        <v>1500</v>
      </c>
      <c r="G32" s="11">
        <f>ROUND(E32*F32, 0)</f>
        <v/>
      </c>
      <c r="H32" s="1" t="inlineStr">
        <is>
          <t>Tra cứu nguyên giá mua mới trên Mua sắm công để tính đơn giá Ca</t>
        </is>
      </c>
    </row>
    <row r="33">
      <c r="A33" s="1" t="n">
        <v>27</v>
      </c>
      <c r="B33" s="1" t="inlineStr">
        <is>
          <t>DC_027</t>
        </is>
      </c>
      <c r="C33" s="1" t="inlineStr">
        <is>
          <t>Bản đồ địa hình</t>
        </is>
      </c>
      <c r="D33" s="1" t="inlineStr">
        <is>
          <t>cái</t>
        </is>
      </c>
      <c r="E33" s="24" t="n">
        <v>11.4</v>
      </c>
      <c r="F33" s="11" t="n">
        <v>5833</v>
      </c>
      <c r="G33" s="11">
        <f>ROUND(E33*F33, 0)</f>
        <v/>
      </c>
      <c r="H33" s="1" t="inlineStr">
        <is>
          <t>Tra cứu nguyên giá mua mới trên Mua sắm công để tính đơn giá Ca</t>
        </is>
      </c>
    </row>
    <row r="34">
      <c r="A34" s="1" t="n">
        <v>28</v>
      </c>
      <c r="B34" s="1" t="inlineStr">
        <is>
          <t>DC_028</t>
        </is>
      </c>
      <c r="C34" s="1" t="inlineStr">
        <is>
          <t>Bếp điện</t>
        </is>
      </c>
      <c r="D34" s="1" t="inlineStr">
        <is>
          <t>cái</t>
        </is>
      </c>
      <c r="E34" s="24" t="n">
        <v>0.1167</v>
      </c>
      <c r="F34" s="11" t="n">
        <v>1458</v>
      </c>
      <c r="G34" s="11">
        <f>ROUND(E34*F34, 0)</f>
        <v/>
      </c>
      <c r="H34" s="1" t="inlineStr">
        <is>
          <t>Tra cứu nguyên giá mua mới trên Mua sắm công để tính đơn giá Ca</t>
        </is>
      </c>
    </row>
    <row r="35">
      <c r="A35" s="1" t="n">
        <v>29</v>
      </c>
      <c r="B35" s="1" t="inlineStr">
        <is>
          <t>DC_029</t>
        </is>
      </c>
      <c r="C35" s="1" t="inlineStr">
        <is>
          <t>Bộ dây nối</t>
        </is>
      </c>
      <c r="D35" s="1" t="inlineStr">
        <is>
          <t>bộ</t>
        </is>
      </c>
      <c r="E35" s="24" t="n">
        <v>0.05</v>
      </c>
      <c r="F35" s="11" t="n">
        <v>6250</v>
      </c>
      <c r="G35" s="11">
        <f>ROUND(E35*F35, 0)</f>
        <v/>
      </c>
      <c r="H35" s="1" t="inlineStr">
        <is>
          <t>Tra cứu nguyên giá mua mới trên Mua sắm công để tính đơn giá Ca</t>
        </is>
      </c>
    </row>
    <row r="36">
      <c r="A36" s="1" t="n">
        <v>30</v>
      </c>
      <c r="B36" s="1" t="inlineStr">
        <is>
          <t>DC_030</t>
        </is>
      </c>
      <c r="C36" s="1" t="inlineStr">
        <is>
          <t>Bộ lưu giữ filter</t>
        </is>
      </c>
      <c r="D36" s="1" t="inlineStr">
        <is>
          <t>bộ</t>
        </is>
      </c>
      <c r="E36" s="24" t="n">
        <v>0.01</v>
      </c>
      <c r="F36" s="11" t="n">
        <v>1250</v>
      </c>
      <c r="G36" s="11">
        <f>ROUND(E36*F36, 0)</f>
        <v/>
      </c>
      <c r="H36" s="1" t="inlineStr">
        <is>
          <t>Tra cứu nguyên giá mua mới trên Mua sắm công để tính đơn giá Ca</t>
        </is>
      </c>
    </row>
    <row r="37">
      <c r="A37" s="1" t="n">
        <v>31</v>
      </c>
      <c r="B37" s="1" t="inlineStr">
        <is>
          <t>DC_031</t>
        </is>
      </c>
      <c r="C37" s="1" t="inlineStr">
        <is>
          <t>Bộ lọc bụi</t>
        </is>
      </c>
      <c r="D37" s="1" t="inlineStr">
        <is>
          <t>bộ</t>
        </is>
      </c>
      <c r="E37" s="24" t="n">
        <v>0.4667</v>
      </c>
      <c r="F37" s="11" t="n">
        <v>12500</v>
      </c>
      <c r="G37" s="11">
        <f>ROUND(E37*F37, 0)</f>
        <v/>
      </c>
      <c r="H37" s="1" t="inlineStr">
        <is>
          <t>Tra cứu nguyên giá mua mới trên Mua sắm công để tính đơn giá Ca</t>
        </is>
      </c>
    </row>
    <row r="38">
      <c r="A38" s="1" t="n">
        <v>32</v>
      </c>
      <c r="B38" s="1" t="inlineStr">
        <is>
          <t>DC_032</t>
        </is>
      </c>
      <c r="C38" s="1" t="inlineStr">
        <is>
          <t>Bộ lọc khí lưu huỳnh</t>
        </is>
      </c>
      <c r="D38" s="1" t="inlineStr">
        <is>
          <t>bộ</t>
        </is>
      </c>
      <c r="E38" s="24" t="n">
        <v>0.1</v>
      </c>
      <c r="F38" s="11" t="n">
        <v>12500</v>
      </c>
      <c r="G38" s="11">
        <f>ROUND(E38*F38, 0)</f>
        <v/>
      </c>
      <c r="H38" s="1" t="inlineStr">
        <is>
          <t>Tra cứu nguyên giá mua mới trên Mua sắm công để tính đơn giá Ca</t>
        </is>
      </c>
    </row>
    <row r="39">
      <c r="A39" s="1" t="n">
        <v>33</v>
      </c>
      <c r="B39" s="1" t="inlineStr">
        <is>
          <t>DC_033</t>
        </is>
      </c>
      <c r="C39" s="1" t="inlineStr">
        <is>
          <t>Bộ lọc tạp chất cản trở</t>
        </is>
      </c>
      <c r="D39" s="1" t="inlineStr">
        <is>
          <t>bộ</t>
        </is>
      </c>
      <c r="E39" s="24" t="n">
        <v>0.3667</v>
      </c>
      <c r="F39" s="11" t="n">
        <v>12500</v>
      </c>
      <c r="G39" s="11">
        <f>ROUND(E39*F39, 0)</f>
        <v/>
      </c>
      <c r="H39" s="1" t="inlineStr">
        <is>
          <t>Tra cứu nguyên giá mua mới trên Mua sắm công để tính đơn giá Ca</t>
        </is>
      </c>
    </row>
    <row r="40">
      <c r="A40" s="1" t="n">
        <v>34</v>
      </c>
      <c r="B40" s="1" t="inlineStr">
        <is>
          <t>DC_034</t>
        </is>
      </c>
      <c r="C40" s="1" t="inlineStr">
        <is>
          <t>Bộ sục khí</t>
        </is>
      </c>
      <c r="D40" s="1" t="inlineStr">
        <is>
          <t>bộ</t>
        </is>
      </c>
      <c r="E40" s="24" t="n">
        <v>0.0583</v>
      </c>
      <c r="F40" s="11" t="n">
        <v>3125</v>
      </c>
      <c r="G40" s="11">
        <f>ROUND(E40*F40, 0)</f>
        <v/>
      </c>
      <c r="H40" s="1" t="inlineStr">
        <is>
          <t>Tra cứu nguyên giá mua mới trên Mua sắm công để tính đơn giá Ca</t>
        </is>
      </c>
    </row>
    <row r="41">
      <c r="A41" s="1" t="n">
        <v>35</v>
      </c>
      <c r="B41" s="1" t="inlineStr">
        <is>
          <t>DC_035</t>
        </is>
      </c>
      <c r="C41" s="1" t="inlineStr">
        <is>
          <t>Chai BOD</t>
        </is>
      </c>
      <c r="D41" s="1" t="inlineStr">
        <is>
          <t>cái</t>
        </is>
      </c>
      <c r="E41" s="24" t="n">
        <v>0.2333</v>
      </c>
      <c r="F41" s="11" t="n">
        <v>2917</v>
      </c>
      <c r="G41" s="11">
        <f>ROUND(E41*F41, 0)</f>
        <v/>
      </c>
      <c r="H41" s="1" t="inlineStr">
        <is>
          <t>Tra cứu nguyên giá mua mới trên Mua sắm công để tính đơn giá Ca</t>
        </is>
      </c>
    </row>
    <row r="42">
      <c r="A42" s="1" t="n">
        <v>36</v>
      </c>
      <c r="B42" s="1" t="inlineStr">
        <is>
          <t>DC_036</t>
        </is>
      </c>
      <c r="C42" s="1" t="inlineStr">
        <is>
          <t>Chai NO2</t>
        </is>
      </c>
      <c r="D42" s="1" t="inlineStr">
        <is>
          <t>cái</t>
        </is>
      </c>
      <c r="E42" s="24" t="n">
        <v>0.1667</v>
      </c>
      <c r="F42" s="11" t="n">
        <v>2917</v>
      </c>
      <c r="G42" s="11">
        <f>ROUND(E42*F42, 0)</f>
        <v/>
      </c>
      <c r="H42" s="1" t="inlineStr">
        <is>
          <t>Tra cứu nguyên giá mua mới trên Mua sắm công để tính đơn giá Ca</t>
        </is>
      </c>
    </row>
    <row r="43">
      <c r="A43" s="1" t="n">
        <v>37</v>
      </c>
      <c r="B43" s="1" t="inlineStr">
        <is>
          <t>DC_037</t>
        </is>
      </c>
      <c r="C43" s="1" t="inlineStr">
        <is>
          <t>Chai SO2</t>
        </is>
      </c>
      <c r="D43" s="1" t="inlineStr">
        <is>
          <t>cái</t>
        </is>
      </c>
      <c r="E43" s="24" t="n">
        <v>0.3333</v>
      </c>
      <c r="F43" s="11" t="n">
        <v>5833</v>
      </c>
      <c r="G43" s="11">
        <f>ROUND(E43*F43, 0)</f>
        <v/>
      </c>
      <c r="H43" s="1" t="inlineStr">
        <is>
          <t>Tra cứu nguyên giá mua mới trên Mua sắm công để tính đơn giá Ca</t>
        </is>
      </c>
    </row>
    <row r="44">
      <c r="A44" s="1" t="n">
        <v>38</v>
      </c>
      <c r="B44" s="1" t="inlineStr">
        <is>
          <t>DC_038</t>
        </is>
      </c>
      <c r="C44" s="1" t="inlineStr">
        <is>
          <t>Chai bảo quản dung dịch</t>
        </is>
      </c>
      <c r="D44" s="1" t="inlineStr">
        <is>
          <t>cái</t>
        </is>
      </c>
      <c r="E44" s="24" t="n">
        <v>0.2333</v>
      </c>
      <c r="F44" s="11" t="n">
        <v>2917</v>
      </c>
      <c r="G44" s="11">
        <f>ROUND(E44*F44, 0)</f>
        <v/>
      </c>
      <c r="H44" s="1" t="inlineStr">
        <is>
          <t>Tra cứu nguyên giá mua mới trên Mua sắm công để tính đơn giá Ca</t>
        </is>
      </c>
    </row>
    <row r="45">
      <c r="A45" s="1" t="n">
        <v>39</v>
      </c>
      <c r="B45" s="1" t="inlineStr">
        <is>
          <t>DC_039</t>
        </is>
      </c>
      <c r="C45" s="1" t="inlineStr">
        <is>
          <t>Chai chứa mẫu 100ml</t>
        </is>
      </c>
      <c r="D45" s="1" t="inlineStr">
        <is>
          <t>cái</t>
        </is>
      </c>
      <c r="E45" s="24" t="n">
        <v>0.2333</v>
      </c>
      <c r="F45" s="11" t="n">
        <v>2917</v>
      </c>
      <c r="G45" s="11">
        <f>ROUND(E45*F45, 0)</f>
        <v/>
      </c>
      <c r="H45" s="1" t="inlineStr">
        <is>
          <t>Tra cứu nguyên giá mua mới trên Mua sắm công để tính đơn giá Ca</t>
        </is>
      </c>
    </row>
    <row r="46">
      <c r="A46" s="1" t="n">
        <v>40</v>
      </c>
      <c r="B46" s="1" t="inlineStr">
        <is>
          <t>DC_040</t>
        </is>
      </c>
      <c r="C46" s="1" t="inlineStr">
        <is>
          <t>Chai nhựa 0,5 lít</t>
        </is>
      </c>
      <c r="D46" s="1" t="inlineStr">
        <is>
          <t>cái</t>
        </is>
      </c>
      <c r="E46" s="24" t="n">
        <v>1.4333</v>
      </c>
      <c r="F46" s="11" t="n">
        <v>2917</v>
      </c>
      <c r="G46" s="11">
        <f>ROUND(E46*F46, 0)</f>
        <v/>
      </c>
      <c r="H46" s="1" t="inlineStr">
        <is>
          <t>Tra cứu nguyên giá mua mới trên Mua sắm công để tính đơn giá Ca</t>
        </is>
      </c>
    </row>
    <row r="47">
      <c r="A47" s="1" t="n">
        <v>41</v>
      </c>
      <c r="B47" s="1" t="inlineStr">
        <is>
          <t>DC_041</t>
        </is>
      </c>
      <c r="C47" s="1" t="inlineStr">
        <is>
          <t>Chai nhựa 0,5 lít</t>
        </is>
      </c>
      <c r="D47" s="1" t="inlineStr">
        <is>
          <t>Cái</t>
        </is>
      </c>
      <c r="E47" s="24" t="n">
        <v>0.3</v>
      </c>
      <c r="F47" s="11" t="n">
        <v>2917</v>
      </c>
      <c r="G47" s="11">
        <f>ROUND(E47*F47, 0)</f>
        <v/>
      </c>
      <c r="H47" s="1" t="inlineStr">
        <is>
          <t>Tra cứu nguyên giá mua mới trên Mua sắm công để tính đơn giá Ca</t>
        </is>
      </c>
    </row>
    <row r="48">
      <c r="A48" s="1" t="n">
        <v>42</v>
      </c>
      <c r="B48" s="1" t="inlineStr">
        <is>
          <t>DC_042</t>
        </is>
      </c>
      <c r="C48" s="1" t="inlineStr">
        <is>
          <t>Chai đựng hóa chất</t>
        </is>
      </c>
      <c r="D48" s="1" t="inlineStr">
        <is>
          <t>cái</t>
        </is>
      </c>
      <c r="E48" s="24" t="n">
        <v>11.1667</v>
      </c>
      <c r="F48" s="11" t="n">
        <v>2917</v>
      </c>
      <c r="G48" s="11">
        <f>ROUND(E48*F48, 0)</f>
        <v/>
      </c>
      <c r="H48" s="1" t="inlineStr">
        <is>
          <t>Tra cứu nguyên giá mua mới trên Mua sắm công để tính đơn giá Ca</t>
        </is>
      </c>
    </row>
    <row r="49">
      <c r="A49" s="1" t="n">
        <v>43</v>
      </c>
      <c r="B49" s="1" t="inlineStr">
        <is>
          <t>DC_043</t>
        </is>
      </c>
      <c r="C49" s="1" t="inlineStr">
        <is>
          <t>Chai đựng hóa chất</t>
        </is>
      </c>
      <c r="D49" s="1" t="inlineStr">
        <is>
          <t>Cái</t>
        </is>
      </c>
      <c r="E49" s="24" t="n">
        <v>0.3333</v>
      </c>
      <c r="F49" s="11" t="n">
        <v>2917</v>
      </c>
      <c r="G49" s="11">
        <f>ROUND(E49*F49, 0)</f>
        <v/>
      </c>
      <c r="H49" s="1" t="inlineStr">
        <is>
          <t>Tra cứu nguyên giá mua mới trên Mua sắm công để tính đơn giá Ca</t>
        </is>
      </c>
    </row>
    <row r="50">
      <c r="A50" s="1" t="n">
        <v>44</v>
      </c>
      <c r="B50" s="1" t="inlineStr">
        <is>
          <t>DC_044</t>
        </is>
      </c>
      <c r="C50" s="1" t="inlineStr">
        <is>
          <t>Chai đựng mẫu</t>
        </is>
      </c>
      <c r="D50" s="1" t="inlineStr">
        <is>
          <t>cái</t>
        </is>
      </c>
      <c r="E50" s="24" t="n">
        <v>7.8417</v>
      </c>
      <c r="F50" s="11" t="n">
        <v>2917</v>
      </c>
      <c r="G50" s="11">
        <f>ROUND(E50*F50, 0)</f>
        <v/>
      </c>
      <c r="H50" s="1" t="inlineStr">
        <is>
          <t>Tra cứu nguyên giá mua mới trên Mua sắm công để tính đơn giá Ca</t>
        </is>
      </c>
    </row>
    <row r="51">
      <c r="A51" s="1" t="n">
        <v>45</v>
      </c>
      <c r="B51" s="1" t="inlineStr">
        <is>
          <t>DC_045</t>
        </is>
      </c>
      <c r="C51" s="1" t="inlineStr">
        <is>
          <t>Chai đựng mẫu</t>
        </is>
      </c>
      <c r="D51" s="1" t="inlineStr">
        <is>
          <t>cái</t>
        </is>
      </c>
      <c r="E51" s="24" t="n">
        <v>0.2</v>
      </c>
      <c r="F51" s="11" t="n">
        <v>2917</v>
      </c>
      <c r="G51" s="11">
        <f>ROUND(E51*F51, 0)</f>
        <v/>
      </c>
      <c r="H51" s="1" t="inlineStr">
        <is>
          <t>Tra cứu nguyên giá mua mới trên Mua sắm công để tính đơn giá Ca</t>
        </is>
      </c>
    </row>
    <row r="52">
      <c r="A52" s="1" t="n">
        <v>46</v>
      </c>
      <c r="B52" s="1" t="inlineStr">
        <is>
          <t>DC_046</t>
        </is>
      </c>
      <c r="C52" s="1" t="inlineStr">
        <is>
          <t>Chai đựng mẫu</t>
        </is>
      </c>
      <c r="D52" s="1" t="inlineStr">
        <is>
          <t>cai</t>
        </is>
      </c>
      <c r="E52" s="24" t="n">
        <v>0.2</v>
      </c>
      <c r="F52" s="11" t="n">
        <v>2917</v>
      </c>
      <c r="G52" s="11">
        <f>ROUND(E52*F52, 0)</f>
        <v/>
      </c>
      <c r="H52" s="1" t="inlineStr">
        <is>
          <t>Tra cứu nguyên giá mua mới trên Mua sắm công để tính đơn giá Ca</t>
        </is>
      </c>
    </row>
    <row r="53">
      <c r="A53" s="1" t="n">
        <v>47</v>
      </c>
      <c r="B53" s="1" t="inlineStr">
        <is>
          <t>DC_047</t>
        </is>
      </c>
      <c r="C53" s="1" t="inlineStr">
        <is>
          <t>Chai đựng mẫu vi sinh</t>
        </is>
      </c>
      <c r="D53" s="1" t="inlineStr">
        <is>
          <t>cái</t>
        </is>
      </c>
      <c r="E53" s="24" t="n">
        <v>0.2333</v>
      </c>
      <c r="F53" s="11" t="n">
        <v>2917</v>
      </c>
      <c r="G53" s="11">
        <f>ROUND(E53*F53, 0)</f>
        <v/>
      </c>
      <c r="H53" s="1" t="inlineStr">
        <is>
          <t>Tra cứu nguyên giá mua mới trên Mua sắm công để tính đơn giá Ca</t>
        </is>
      </c>
    </row>
    <row r="54">
      <c r="A54" s="1" t="n">
        <v>48</v>
      </c>
      <c r="B54" s="1" t="inlineStr">
        <is>
          <t>DC_048</t>
        </is>
      </c>
      <c r="C54" s="1" t="inlineStr">
        <is>
          <t>Chụp đầu đo</t>
        </is>
      </c>
      <c r="D54" s="1" t="inlineStr">
        <is>
          <t>cái</t>
        </is>
      </c>
      <c r="E54" s="24" t="n">
        <v>0.3333</v>
      </c>
      <c r="F54" s="11" t="n">
        <v>5833</v>
      </c>
      <c r="G54" s="11">
        <f>ROUND(E54*F54, 0)</f>
        <v/>
      </c>
      <c r="H54" s="1" t="inlineStr">
        <is>
          <t>Tra cứu nguyên giá mua mới trên Mua sắm công để tính đơn giá Ca</t>
        </is>
      </c>
    </row>
    <row r="55">
      <c r="A55" s="1" t="n">
        <v>49</v>
      </c>
      <c r="B55" s="1" t="inlineStr">
        <is>
          <t>DC_049</t>
        </is>
      </c>
      <c r="C55" s="1" t="inlineStr">
        <is>
          <t>Cuvet 1cm</t>
        </is>
      </c>
      <c r="D55" s="1" t="inlineStr">
        <is>
          <t>cái</t>
        </is>
      </c>
      <c r="E55" s="24" t="n">
        <v>0.85</v>
      </c>
      <c r="F55" s="11" t="n">
        <v>1458</v>
      </c>
      <c r="G55" s="11">
        <f>ROUND(E55*F55, 0)</f>
        <v/>
      </c>
      <c r="H55" s="1" t="inlineStr">
        <is>
          <t>Tra cứu nguyên giá mua mới trên Mua sắm công để tính đơn giá Ca</t>
        </is>
      </c>
    </row>
    <row r="56">
      <c r="A56" s="1" t="n">
        <v>50</v>
      </c>
      <c r="B56" s="1" t="inlineStr">
        <is>
          <t>DC_050</t>
        </is>
      </c>
      <c r="C56" s="1" t="inlineStr">
        <is>
          <t>Cuvet Graphit</t>
        </is>
      </c>
      <c r="D56" s="1" t="inlineStr">
        <is>
          <t>cái</t>
        </is>
      </c>
      <c r="E56" s="24" t="n">
        <v>3.6</v>
      </c>
      <c r="F56" s="11" t="n">
        <v>17500</v>
      </c>
      <c r="G56" s="11">
        <f>ROUND(E56*F56, 0)</f>
        <v/>
      </c>
      <c r="H56" s="1" t="inlineStr">
        <is>
          <t>Tra cứu nguyên giá mua mới trên Mua sắm công để tính đơn giá Ca</t>
        </is>
      </c>
    </row>
    <row r="57">
      <c r="A57" s="1" t="n">
        <v>51</v>
      </c>
      <c r="B57" s="1" t="inlineStr">
        <is>
          <t>DC_051</t>
        </is>
      </c>
      <c r="C57" s="1" t="inlineStr">
        <is>
          <t>Cuvet thạch anh cho FIAS</t>
        </is>
      </c>
      <c r="D57" s="1" t="inlineStr">
        <is>
          <t>cái</t>
        </is>
      </c>
      <c r="E57" s="24" t="n">
        <v>0.3</v>
      </c>
      <c r="F57" s="11" t="n">
        <v>1458</v>
      </c>
      <c r="G57" s="11">
        <f>ROUND(E57*F57, 0)</f>
        <v/>
      </c>
      <c r="H57" s="1" t="inlineStr">
        <is>
          <t>Tra cứu nguyên giá mua mới trên Mua sắm công để tính đơn giá Ca</t>
        </is>
      </c>
    </row>
    <row r="58">
      <c r="A58" s="1" t="n">
        <v>52</v>
      </c>
      <c r="B58" s="1" t="inlineStr">
        <is>
          <t>DC_052</t>
        </is>
      </c>
      <c r="C58" s="1" t="inlineStr">
        <is>
          <t>Cái lọc</t>
        </is>
      </c>
      <c r="D58" s="1" t="inlineStr">
        <is>
          <t>cái</t>
        </is>
      </c>
      <c r="E58" s="24" t="n">
        <v>2</v>
      </c>
      <c r="F58" s="11" t="n">
        <v>17500</v>
      </c>
      <c r="G58" s="11">
        <f>ROUND(E58*F58, 0)</f>
        <v/>
      </c>
      <c r="H58" s="1" t="inlineStr">
        <is>
          <t>Tra cứu nguyên giá mua mới trên Mua sắm công để tính đơn giá Ca</t>
        </is>
      </c>
    </row>
    <row r="59">
      <c r="A59" s="1" t="n">
        <v>53</v>
      </c>
      <c r="B59" s="1" t="inlineStr">
        <is>
          <t>DC_053</t>
        </is>
      </c>
      <c r="C59" s="1" t="inlineStr">
        <is>
          <t>Công tác phân tích độ rung trong phòng thí nghiệm (2ĐR)</t>
        </is>
      </c>
      <c r="D59" s="1" t="inlineStr"/>
      <c r="E59" s="24" t="n">
        <v>0.0833</v>
      </c>
      <c r="F59" s="11" t="n">
        <v>1458</v>
      </c>
      <c r="G59" s="11">
        <f>ROUND(E59*F59, 0)</f>
        <v/>
      </c>
      <c r="H59" s="1" t="inlineStr">
        <is>
          <t>Tra cứu nguyên giá mua mới trên Mua sắm công để tính đơn giá Ca</t>
        </is>
      </c>
    </row>
    <row r="60">
      <c r="A60" s="1" t="n">
        <v>54</v>
      </c>
      <c r="B60" s="1" t="inlineStr">
        <is>
          <t>DC_054</t>
        </is>
      </c>
      <c r="C60" s="1" t="inlineStr">
        <is>
          <t>Cốc cân</t>
        </is>
      </c>
      <c r="D60" s="1" t="inlineStr">
        <is>
          <t>cái</t>
        </is>
      </c>
      <c r="E60" s="24" t="n">
        <v>0.2333</v>
      </c>
      <c r="F60" s="11" t="n">
        <v>1500</v>
      </c>
      <c r="G60" s="11">
        <f>ROUND(E60*F60, 0)</f>
        <v/>
      </c>
      <c r="H60" s="1" t="inlineStr">
        <is>
          <t>Tra cứu nguyên giá mua mới trên Mua sắm công để tính đơn giá Ca</t>
        </is>
      </c>
    </row>
    <row r="61">
      <c r="A61" s="1" t="n">
        <v>55</v>
      </c>
      <c r="B61" s="1" t="inlineStr">
        <is>
          <t>DC_055</t>
        </is>
      </c>
      <c r="C61" s="1" t="inlineStr">
        <is>
          <t>Cốc thủy tinh</t>
        </is>
      </c>
      <c r="D61" s="1" t="inlineStr">
        <is>
          <t>cái</t>
        </is>
      </c>
      <c r="E61" s="24" t="n">
        <v>1.3</v>
      </c>
      <c r="F61" s="11" t="n">
        <v>1500</v>
      </c>
      <c r="G61" s="11">
        <f>ROUND(E61*F61, 0)</f>
        <v/>
      </c>
      <c r="H61" s="1" t="inlineStr">
        <is>
          <t>Tra cứu nguyên giá mua mới trên Mua sắm công để tính đơn giá Ca</t>
        </is>
      </c>
    </row>
    <row r="62">
      <c r="A62" s="1" t="n">
        <v>56</v>
      </c>
      <c r="B62" s="1" t="inlineStr">
        <is>
          <t>DC_056</t>
        </is>
      </c>
      <c r="C62" s="1" t="inlineStr">
        <is>
          <t>Cốc thủy tinh 250ml</t>
        </is>
      </c>
      <c r="D62" s="1" t="inlineStr">
        <is>
          <t>cái</t>
        </is>
      </c>
      <c r="E62" s="24" t="n">
        <v>4.4667</v>
      </c>
      <c r="F62" s="11" t="n">
        <v>1500</v>
      </c>
      <c r="G62" s="11">
        <f>ROUND(E62*F62, 0)</f>
        <v/>
      </c>
      <c r="H62" s="1" t="inlineStr">
        <is>
          <t>Tra cứu nguyên giá mua mới trên Mua sắm công để tính đơn giá Ca</t>
        </is>
      </c>
    </row>
    <row r="63">
      <c r="A63" s="1" t="n">
        <v>57</v>
      </c>
      <c r="B63" s="1" t="inlineStr">
        <is>
          <t>DC_057</t>
        </is>
      </c>
      <c r="C63" s="1" t="inlineStr">
        <is>
          <t>Cốc đo</t>
        </is>
      </c>
      <c r="D63" s="1" t="inlineStr">
        <is>
          <t>cái</t>
        </is>
      </c>
      <c r="E63" s="24" t="n">
        <v>1.9667</v>
      </c>
      <c r="F63" s="11" t="n">
        <v>3000</v>
      </c>
      <c r="G63" s="11">
        <f>ROUND(E63*F63, 0)</f>
        <v/>
      </c>
      <c r="H63" s="1" t="inlineStr">
        <is>
          <t>Tra cứu nguyên giá mua mới trên Mua sắm công để tính đơn giá Ca</t>
        </is>
      </c>
    </row>
    <row r="64">
      <c r="A64" s="1" t="n">
        <v>58</v>
      </c>
      <c r="B64" s="1" t="inlineStr">
        <is>
          <t>DC_058</t>
        </is>
      </c>
      <c r="C64" s="1" t="inlineStr">
        <is>
          <t>Cột sắc ký</t>
        </is>
      </c>
      <c r="D64" s="1" t="inlineStr">
        <is>
          <t>cái</t>
        </is>
      </c>
      <c r="E64" s="24" t="n">
        <v>0.0833</v>
      </c>
      <c r="F64" s="11" t="n">
        <v>1458</v>
      </c>
      <c r="G64" s="11">
        <f>ROUND(E64*F64, 0)</f>
        <v/>
      </c>
      <c r="H64" s="1" t="inlineStr">
        <is>
          <t>Tra cứu nguyên giá mua mới trên Mua sắm công để tính đơn giá Ca</t>
        </is>
      </c>
    </row>
    <row r="65">
      <c r="A65" s="1" t="n">
        <v>59</v>
      </c>
      <c r="B65" s="1" t="inlineStr">
        <is>
          <t>DC_059</t>
        </is>
      </c>
      <c r="C65" s="1" t="inlineStr">
        <is>
          <t>Cột tách mao quản</t>
        </is>
      </c>
      <c r="D65" s="1" t="inlineStr">
        <is>
          <t>cái</t>
        </is>
      </c>
      <c r="E65" s="24" t="n">
        <v>0.0833</v>
      </c>
      <c r="F65" s="11" t="n">
        <v>1458</v>
      </c>
      <c r="G65" s="11">
        <f>ROUND(E65*F65, 0)</f>
        <v/>
      </c>
      <c r="H65" s="1" t="inlineStr">
        <is>
          <t>Tra cứu nguyên giá mua mới trên Mua sắm công để tính đơn giá Ca</t>
        </is>
      </c>
    </row>
    <row r="66">
      <c r="A66" s="1" t="n">
        <v>60</v>
      </c>
      <c r="B66" s="1" t="inlineStr">
        <is>
          <t>DC_060</t>
        </is>
      </c>
      <c r="C66" s="1" t="inlineStr">
        <is>
          <t>Dây nối</t>
        </is>
      </c>
      <c r="D66" s="1" t="inlineStr">
        <is>
          <t>cái</t>
        </is>
      </c>
      <c r="E66" s="24" t="n">
        <v>0.05</v>
      </c>
      <c r="F66" s="11" t="n">
        <v>1458</v>
      </c>
      <c r="G66" s="11">
        <f>ROUND(E66*F66, 0)</f>
        <v/>
      </c>
      <c r="H66" s="1" t="inlineStr">
        <is>
          <t>Tra cứu nguyên giá mua mới trên Mua sắm công để tính đơn giá Ca</t>
        </is>
      </c>
    </row>
    <row r="67">
      <c r="A67" s="1" t="n">
        <v>61</v>
      </c>
      <c r="B67" s="1" t="inlineStr">
        <is>
          <t>DC_061</t>
        </is>
      </c>
      <c r="C67" s="1" t="inlineStr">
        <is>
          <t>Dây điện đôi dài 50m</t>
        </is>
      </c>
      <c r="D67" s="1" t="inlineStr">
        <is>
          <t>dây</t>
        </is>
      </c>
      <c r="E67" s="24" t="n">
        <v>0.1389</v>
      </c>
      <c r="F67" s="11" t="n">
        <v>486</v>
      </c>
      <c r="G67" s="11">
        <f>ROUND(E67*F67, 0)</f>
        <v/>
      </c>
      <c r="H67" s="1" t="inlineStr">
        <is>
          <t>Tra cứu nguyên giá mua mới trên Mua sắm công để tính đơn giá Ca</t>
        </is>
      </c>
    </row>
    <row r="68">
      <c r="A68" s="1" t="n">
        <v>62</v>
      </c>
      <c r="B68" s="1" t="inlineStr">
        <is>
          <t>DC_062</t>
        </is>
      </c>
      <c r="C68" s="1" t="inlineStr">
        <is>
          <t>Ghế tựa</t>
        </is>
      </c>
      <c r="D68" s="1" t="inlineStr">
        <is>
          <t>cái</t>
        </is>
      </c>
      <c r="E68" s="24" t="n">
        <v>0.5722</v>
      </c>
      <c r="F68" s="11" t="n">
        <v>243</v>
      </c>
      <c r="G68" s="11">
        <f>ROUND(E68*F68, 0)</f>
        <v/>
      </c>
      <c r="H68" s="1" t="inlineStr">
        <is>
          <t>Tra cứu nguyên giá mua mới trên Mua sắm công để tính đơn giá Ca</t>
        </is>
      </c>
    </row>
    <row r="69">
      <c r="A69" s="1" t="n">
        <v>63</v>
      </c>
      <c r="B69" s="1" t="inlineStr">
        <is>
          <t>DC_063</t>
        </is>
      </c>
      <c r="C69" s="1" t="inlineStr">
        <is>
          <t>Ghế tựa</t>
        </is>
      </c>
      <c r="D69" s="1" t="inlineStr">
        <is>
          <t>Cái</t>
        </is>
      </c>
      <c r="E69" s="24" t="n">
        <v>0.025</v>
      </c>
      <c r="F69" s="11" t="n">
        <v>243</v>
      </c>
      <c r="G69" s="11">
        <f>ROUND(E69*F69, 0)</f>
        <v/>
      </c>
      <c r="H69" s="1" t="inlineStr">
        <is>
          <t>Tra cứu nguyên giá mua mới trên Mua sắm công để tính đơn giá Ca</t>
        </is>
      </c>
    </row>
    <row r="70">
      <c r="A70" s="1" t="n">
        <v>64</v>
      </c>
      <c r="B70" s="1" t="inlineStr">
        <is>
          <t>DC_064</t>
        </is>
      </c>
      <c r="C70" s="1" t="inlineStr">
        <is>
          <t>Ghế tựa</t>
        </is>
      </c>
      <c r="D70" s="1" t="inlineStr">
        <is>
          <t>bộ</t>
        </is>
      </c>
      <c r="E70" s="24" t="n">
        <v>0.0083</v>
      </c>
      <c r="F70" s="11" t="n">
        <v>243</v>
      </c>
      <c r="G70" s="11">
        <f>ROUND(E70*F70, 0)</f>
        <v/>
      </c>
      <c r="H70" s="1" t="inlineStr">
        <is>
          <t>Tra cứu nguyên giá mua mới trên Mua sắm công để tính đơn giá Ca</t>
        </is>
      </c>
    </row>
    <row r="71">
      <c r="A71" s="1" t="n">
        <v>65</v>
      </c>
      <c r="B71" s="1" t="inlineStr">
        <is>
          <t>DC_065</t>
        </is>
      </c>
      <c r="C71" s="1" t="inlineStr">
        <is>
          <t>Gim bấm</t>
        </is>
      </c>
      <c r="D71" s="1" t="inlineStr">
        <is>
          <t>hộp</t>
        </is>
      </c>
      <c r="E71" s="24" t="n">
        <v>2</v>
      </c>
      <c r="F71" s="11" t="n">
        <v>17500</v>
      </c>
      <c r="G71" s="11">
        <f>ROUND(E71*F71, 0)</f>
        <v/>
      </c>
      <c r="H71" s="1" t="inlineStr">
        <is>
          <t>Tra cứu nguyên giá mua mới trên Mua sắm công để tính đơn giá Ca</t>
        </is>
      </c>
    </row>
    <row r="72">
      <c r="A72" s="1" t="n">
        <v>66</v>
      </c>
      <c r="B72" s="1" t="inlineStr">
        <is>
          <t>DC_066</t>
        </is>
      </c>
      <c r="C72" s="1" t="inlineStr">
        <is>
          <t>Gim bấm</t>
        </is>
      </c>
      <c r="D72" s="1" t="inlineStr">
        <is>
          <t>bộ</t>
        </is>
      </c>
      <c r="E72" s="24" t="n">
        <v>0.6</v>
      </c>
      <c r="F72" s="11" t="n">
        <v>17500</v>
      </c>
      <c r="G72" s="11">
        <f>ROUND(E72*F72, 0)</f>
        <v/>
      </c>
      <c r="H72" s="1" t="inlineStr">
        <is>
          <t>Tra cứu nguyên giá mua mới trên Mua sắm công để tính đơn giá Ca</t>
        </is>
      </c>
    </row>
    <row r="73">
      <c r="A73" s="1" t="n">
        <v>67</v>
      </c>
      <c r="B73" s="1" t="inlineStr">
        <is>
          <t>DC_067</t>
        </is>
      </c>
      <c r="C73" s="1" t="inlineStr">
        <is>
          <t>Gim kẹp giấy</t>
        </is>
      </c>
      <c r="D73" s="1" t="inlineStr">
        <is>
          <t>hộp</t>
        </is>
      </c>
      <c r="E73" s="24" t="n">
        <v>2</v>
      </c>
      <c r="F73" s="11" t="n">
        <v>17500</v>
      </c>
      <c r="G73" s="11">
        <f>ROUND(E73*F73, 0)</f>
        <v/>
      </c>
      <c r="H73" s="1" t="inlineStr">
        <is>
          <t>Tra cứu nguyên giá mua mới trên Mua sắm công để tính đơn giá Ca</t>
        </is>
      </c>
    </row>
    <row r="74">
      <c r="A74" s="1" t="n">
        <v>68</v>
      </c>
      <c r="B74" s="1" t="inlineStr">
        <is>
          <t>DC_068</t>
        </is>
      </c>
      <c r="C74" s="1" t="inlineStr">
        <is>
          <t>Gim kẹp giấy</t>
        </is>
      </c>
      <c r="D74" s="1" t="inlineStr">
        <is>
          <t>Hộp</t>
        </is>
      </c>
      <c r="E74" s="24" t="n">
        <v>0.6</v>
      </c>
      <c r="F74" s="11" t="n">
        <v>17500</v>
      </c>
      <c r="G74" s="11">
        <f>ROUND(E74*F74, 0)</f>
        <v/>
      </c>
      <c r="H74" s="1" t="inlineStr">
        <is>
          <t>Tra cứu nguyên giá mua mới trên Mua sắm công để tính đơn giá Ca</t>
        </is>
      </c>
    </row>
    <row r="75">
      <c r="A75" s="1" t="n">
        <v>69</v>
      </c>
      <c r="B75" s="1" t="inlineStr">
        <is>
          <t>DC_069</t>
        </is>
      </c>
      <c r="C75" s="1" t="inlineStr">
        <is>
          <t>Giầy BHLĐ</t>
        </is>
      </c>
      <c r="D75" s="1" t="inlineStr">
        <is>
          <t>đôi</t>
        </is>
      </c>
      <c r="E75" s="24" t="n">
        <v>7.8167</v>
      </c>
      <c r="F75" s="11" t="n">
        <v>1458</v>
      </c>
      <c r="G75" s="11">
        <f>ROUND(E75*F75, 0)</f>
        <v/>
      </c>
      <c r="H75" s="1" t="inlineStr">
        <is>
          <t>Tra cứu nguyên giá mua mới trên Mua sắm công để tính đơn giá Ca</t>
        </is>
      </c>
    </row>
    <row r="76">
      <c r="A76" s="1" t="n">
        <v>70</v>
      </c>
      <c r="B76" s="1" t="inlineStr">
        <is>
          <t>DC_070</t>
        </is>
      </c>
      <c r="C76" s="1" t="inlineStr">
        <is>
          <t>Giầy BHLĐ</t>
        </is>
      </c>
      <c r="D76" s="1" t="inlineStr">
        <is>
          <t>Đôi</t>
        </is>
      </c>
      <c r="E76" s="24" t="n">
        <v>0.4</v>
      </c>
      <c r="F76" s="11" t="n">
        <v>1458</v>
      </c>
      <c r="G76" s="11">
        <f>ROUND(E76*F76, 0)</f>
        <v/>
      </c>
      <c r="H76" s="1" t="inlineStr">
        <is>
          <t>Tra cứu nguyên giá mua mới trên Mua sắm công để tính đơn giá Ca</t>
        </is>
      </c>
    </row>
    <row r="77">
      <c r="A77" s="1" t="n">
        <v>71</v>
      </c>
      <c r="B77" s="1" t="inlineStr">
        <is>
          <t>DC_071</t>
        </is>
      </c>
      <c r="C77" s="1" t="inlineStr">
        <is>
          <t>Găng tay chống nóng</t>
        </is>
      </c>
      <c r="D77" s="1" t="inlineStr">
        <is>
          <t>đôi</t>
        </is>
      </c>
      <c r="E77" s="24" t="n">
        <v>1.5333</v>
      </c>
      <c r="F77" s="11" t="n">
        <v>3000</v>
      </c>
      <c r="G77" s="11">
        <f>ROUND(E77*F77, 0)</f>
        <v/>
      </c>
      <c r="H77" s="1" t="inlineStr">
        <is>
          <t>Tra cứu nguyên giá mua mới trên Mua sắm công để tính đơn giá Ca</t>
        </is>
      </c>
    </row>
    <row r="78">
      <c r="A78" s="1" t="n">
        <v>72</v>
      </c>
      <c r="B78" s="1" t="inlineStr">
        <is>
          <t>DC_072</t>
        </is>
      </c>
      <c r="C78" s="1" t="inlineStr">
        <is>
          <t>Găng tay y tế</t>
        </is>
      </c>
      <c r="D78" s="1" t="inlineStr">
        <is>
          <t>hộp</t>
        </is>
      </c>
      <c r="E78" s="24" t="n">
        <v>282</v>
      </c>
      <c r="F78" s="11" t="n">
        <v>58333</v>
      </c>
      <c r="G78" s="11">
        <f>ROUND(E78*F78, 0)</f>
        <v/>
      </c>
      <c r="H78" s="1" t="inlineStr">
        <is>
          <t>Tra cứu nguyên giá mua mới trên Mua sắm công để tính đơn giá Ca</t>
        </is>
      </c>
    </row>
    <row r="79">
      <c r="A79" s="1" t="n">
        <v>73</v>
      </c>
      <c r="B79" s="1" t="inlineStr">
        <is>
          <t>DC_073</t>
        </is>
      </c>
      <c r="C79" s="1" t="inlineStr">
        <is>
          <t>Hệ thống làm mát</t>
        </is>
      </c>
      <c r="D79" s="1" t="inlineStr">
        <is>
          <t>bộ</t>
        </is>
      </c>
      <c r="E79" s="24" t="n">
        <v>0.0333</v>
      </c>
      <c r="F79" s="11" t="n">
        <v>500</v>
      </c>
      <c r="G79" s="11">
        <f>ROUND(E79*F79, 0)</f>
        <v/>
      </c>
      <c r="H79" s="1" t="inlineStr">
        <is>
          <t>Tra cứu nguyên giá mua mới trên Mua sắm công để tính đơn giá Ca</t>
        </is>
      </c>
    </row>
    <row r="80">
      <c r="A80" s="1" t="n">
        <v>74</v>
      </c>
      <c r="B80" s="1" t="inlineStr">
        <is>
          <t>DC_074</t>
        </is>
      </c>
      <c r="C80" s="1" t="inlineStr">
        <is>
          <t>Hộp gia nhiệt</t>
        </is>
      </c>
      <c r="D80" s="1" t="inlineStr">
        <is>
          <t>hộp</t>
        </is>
      </c>
      <c r="E80" s="24" t="n">
        <v>0.0333</v>
      </c>
      <c r="F80" s="11" t="n">
        <v>972</v>
      </c>
      <c r="G80" s="11">
        <f>ROUND(E80*F80, 0)</f>
        <v/>
      </c>
      <c r="H80" s="1" t="inlineStr">
        <is>
          <t>Tra cứu nguyên giá mua mới trên Mua sắm công để tính đơn giá Ca</t>
        </is>
      </c>
    </row>
    <row r="81">
      <c r="A81" s="1" t="n">
        <v>75</v>
      </c>
      <c r="B81" s="1" t="inlineStr">
        <is>
          <t>DC_075</t>
        </is>
      </c>
      <c r="C81" s="1" t="inlineStr">
        <is>
          <t>Hộp đựng mẫu</t>
        </is>
      </c>
      <c r="D81" s="1" t="inlineStr">
        <is>
          <t>chiếc</t>
        </is>
      </c>
      <c r="E81" s="24" t="n">
        <v>4.8</v>
      </c>
      <c r="F81" s="11" t="n">
        <v>17500</v>
      </c>
      <c r="G81" s="11">
        <f>ROUND(E81*F81, 0)</f>
        <v/>
      </c>
      <c r="H81" s="1" t="inlineStr">
        <is>
          <t>Tra cứu nguyên giá mua mới trên Mua sắm công để tính đơn giá Ca</t>
        </is>
      </c>
    </row>
    <row r="82">
      <c r="A82" s="1" t="n">
        <v>76</v>
      </c>
      <c r="B82" s="1" t="inlineStr">
        <is>
          <t>DC_076</t>
        </is>
      </c>
      <c r="C82" s="1" t="inlineStr">
        <is>
          <t>Hộp đựng mẫu</t>
        </is>
      </c>
      <c r="D82" s="1" t="inlineStr">
        <is>
          <t>cái</t>
        </is>
      </c>
      <c r="E82" s="24" t="n">
        <v>2</v>
      </c>
      <c r="F82" s="11" t="n">
        <v>17500</v>
      </c>
      <c r="G82" s="11">
        <f>ROUND(E82*F82, 0)</f>
        <v/>
      </c>
      <c r="H82" s="1" t="inlineStr">
        <is>
          <t>Tra cứu nguyên giá mua mới trên Mua sắm công để tính đơn giá Ca</t>
        </is>
      </c>
    </row>
    <row r="83">
      <c r="A83" s="1" t="n">
        <v>77</v>
      </c>
      <c r="B83" s="1" t="inlineStr">
        <is>
          <t>DC_077</t>
        </is>
      </c>
      <c r="C83" s="1" t="inlineStr">
        <is>
          <t>Khẩu trang phòng độc</t>
        </is>
      </c>
      <c r="D83" s="1" t="inlineStr">
        <is>
          <t>đôi</t>
        </is>
      </c>
      <c r="E83" s="24" t="n">
        <v>1.5333</v>
      </c>
      <c r="F83" s="11" t="n">
        <v>5833</v>
      </c>
      <c r="G83" s="11">
        <f>ROUND(E83*F83, 0)</f>
        <v/>
      </c>
      <c r="H83" s="1" t="inlineStr">
        <is>
          <t>Tra cứu nguyên giá mua mới trên Mua sắm công để tính đơn giá Ca</t>
        </is>
      </c>
    </row>
    <row r="84">
      <c r="A84" s="1" t="n">
        <v>78</v>
      </c>
      <c r="B84" s="1" t="inlineStr">
        <is>
          <t>DC_078</t>
        </is>
      </c>
      <c r="C84" s="1" t="inlineStr">
        <is>
          <t>Khẩu trang y tế</t>
        </is>
      </c>
      <c r="D84" s="1" t="inlineStr">
        <is>
          <t>hộp</t>
        </is>
      </c>
      <c r="E84" s="24" t="n">
        <v>272.6667</v>
      </c>
      <c r="F84" s="11" t="n">
        <v>58333</v>
      </c>
      <c r="G84" s="11">
        <f>ROUND(E84*F84, 0)</f>
        <v/>
      </c>
      <c r="H84" s="1" t="inlineStr">
        <is>
          <t>Tra cứu nguyên giá mua mới trên Mua sắm công để tính đơn giá Ca</t>
        </is>
      </c>
    </row>
    <row r="85">
      <c r="A85" s="1" t="n">
        <v>79</v>
      </c>
      <c r="B85" s="1" t="inlineStr">
        <is>
          <t>DC_079</t>
        </is>
      </c>
      <c r="C85" s="1" t="inlineStr">
        <is>
          <t>Kết nối đầu đo</t>
        </is>
      </c>
      <c r="D85" s="1" t="inlineStr">
        <is>
          <t>cái</t>
        </is>
      </c>
      <c r="E85" s="24" t="n">
        <v>0.3333</v>
      </c>
      <c r="F85" s="11" t="n">
        <v>5833</v>
      </c>
      <c r="G85" s="11">
        <f>ROUND(E85*F85, 0)</f>
        <v/>
      </c>
      <c r="H85" s="1" t="inlineStr">
        <is>
          <t>Tra cứu nguyên giá mua mới trên Mua sắm công để tính đơn giá Ca</t>
        </is>
      </c>
    </row>
    <row r="86">
      <c r="A86" s="1" t="n">
        <v>80</v>
      </c>
      <c r="B86" s="1" t="inlineStr">
        <is>
          <t>DC_080</t>
        </is>
      </c>
      <c r="C86" s="1" t="inlineStr">
        <is>
          <t>Micropipet 10ml</t>
        </is>
      </c>
      <c r="D86" s="1" t="inlineStr">
        <is>
          <t>cái</t>
        </is>
      </c>
      <c r="E86" s="24" t="n">
        <v>0.5667</v>
      </c>
      <c r="F86" s="11" t="n">
        <v>2917</v>
      </c>
      <c r="G86" s="11">
        <f>ROUND(E86*F86, 0)</f>
        <v/>
      </c>
      <c r="H86" s="1" t="inlineStr">
        <is>
          <t>Tra cứu nguyên giá mua mới trên Mua sắm công để tính đơn giá Ca</t>
        </is>
      </c>
    </row>
    <row r="87">
      <c r="A87" s="1" t="n">
        <v>81</v>
      </c>
      <c r="B87" s="1" t="inlineStr">
        <is>
          <t>DC_081</t>
        </is>
      </c>
      <c r="C87" s="1" t="inlineStr">
        <is>
          <t>Micropipet 1ml</t>
        </is>
      </c>
      <c r="D87" s="1" t="inlineStr">
        <is>
          <t>cái</t>
        </is>
      </c>
      <c r="E87" s="24" t="n">
        <v>3.2333</v>
      </c>
      <c r="F87" s="11" t="n">
        <v>2917</v>
      </c>
      <c r="G87" s="11">
        <f>ROUND(E87*F87, 0)</f>
        <v/>
      </c>
      <c r="H87" s="1" t="inlineStr">
        <is>
          <t>Tra cứu nguyên giá mua mới trên Mua sắm công để tính đơn giá Ca</t>
        </is>
      </c>
    </row>
    <row r="88">
      <c r="A88" s="1" t="n">
        <v>82</v>
      </c>
      <c r="B88" s="1" t="inlineStr">
        <is>
          <t>DC_082</t>
        </is>
      </c>
      <c r="C88" s="1" t="inlineStr">
        <is>
          <t>Micropipet 5ml</t>
        </is>
      </c>
      <c r="D88" s="1" t="inlineStr">
        <is>
          <t>cái</t>
        </is>
      </c>
      <c r="E88" s="24" t="n">
        <v>1.6667</v>
      </c>
      <c r="F88" s="11" t="n">
        <v>2917</v>
      </c>
      <c r="G88" s="11">
        <f>ROUND(E88*F88, 0)</f>
        <v/>
      </c>
      <c r="H88" s="1" t="inlineStr">
        <is>
          <t>Tra cứu nguyên giá mua mới trên Mua sắm công để tính đơn giá Ca</t>
        </is>
      </c>
    </row>
    <row r="89">
      <c r="A89" s="1" t="n">
        <v>83</v>
      </c>
      <c r="B89" s="1" t="inlineStr">
        <is>
          <t>DC_083</t>
        </is>
      </c>
      <c r="C89" s="1" t="inlineStr">
        <is>
          <t>Micropipet 5ml</t>
        </is>
      </c>
      <c r="D89" s="1" t="inlineStr">
        <is>
          <t>Cái</t>
        </is>
      </c>
      <c r="E89" s="24" t="n">
        <v>0.2333</v>
      </c>
      <c r="F89" s="11" t="n">
        <v>2917</v>
      </c>
      <c r="G89" s="11">
        <f>ROUND(E89*F89, 0)</f>
        <v/>
      </c>
      <c r="H89" s="1" t="inlineStr">
        <is>
          <t>Tra cứu nguyên giá mua mới trên Mua sắm công để tính đơn giá Ca</t>
        </is>
      </c>
    </row>
    <row r="90">
      <c r="A90" s="1" t="n">
        <v>84</v>
      </c>
      <c r="B90" s="1" t="inlineStr">
        <is>
          <t>DC_084</t>
        </is>
      </c>
      <c r="C90" s="1" t="inlineStr">
        <is>
          <t>Màng lọc cho FIAS</t>
        </is>
      </c>
      <c r="D90" s="1" t="inlineStr">
        <is>
          <t>cái</t>
        </is>
      </c>
      <c r="E90" s="24" t="n">
        <v>1.8</v>
      </c>
      <c r="F90" s="11" t="n">
        <v>8750</v>
      </c>
      <c r="G90" s="11">
        <f>ROUND(E90*F90, 0)</f>
        <v/>
      </c>
      <c r="H90" s="1" t="inlineStr">
        <is>
          <t>Tra cứu nguyên giá mua mới trên Mua sắm công để tính đơn giá Ca</t>
        </is>
      </c>
    </row>
    <row r="91">
      <c r="A91" s="1" t="n">
        <v>85</v>
      </c>
      <c r="B91" s="1" t="inlineStr">
        <is>
          <t>DC_085</t>
        </is>
      </c>
      <c r="C91" s="1" t="inlineStr">
        <is>
          <t>Máy hút bụi 2kw</t>
        </is>
      </c>
      <c r="D91" s="1" t="inlineStr">
        <is>
          <t>cái</t>
        </is>
      </c>
      <c r="E91" s="24" t="n">
        <v>0.6967</v>
      </c>
      <c r="F91" s="11" t="n">
        <v>292</v>
      </c>
      <c r="G91" s="11">
        <f>ROUND(E91*F91, 0)</f>
        <v/>
      </c>
      <c r="H91" s="1" t="inlineStr">
        <is>
          <t>Tra cứu nguyên giá mua mới trên Mua sắm công để tính đơn giá Ca</t>
        </is>
      </c>
    </row>
    <row r="92">
      <c r="A92" s="1" t="n">
        <v>86</v>
      </c>
      <c r="B92" s="1" t="inlineStr">
        <is>
          <t>DC_086</t>
        </is>
      </c>
      <c r="C92" s="1" t="inlineStr">
        <is>
          <t>Máy hút bụi 2kw</t>
        </is>
      </c>
      <c r="D92" s="1" t="inlineStr">
        <is>
          <t>Cái</t>
        </is>
      </c>
      <c r="E92" s="24" t="n">
        <v>0.03</v>
      </c>
      <c r="F92" s="11" t="n">
        <v>292</v>
      </c>
      <c r="G92" s="11">
        <f>ROUND(E92*F92, 0)</f>
        <v/>
      </c>
      <c r="H92" s="1" t="inlineStr">
        <is>
          <t>Tra cứu nguyên giá mua mới trên Mua sắm công để tính đơn giá Ca</t>
        </is>
      </c>
    </row>
    <row r="93">
      <c r="A93" s="1" t="n">
        <v>87</v>
      </c>
      <c r="B93" s="1" t="inlineStr">
        <is>
          <t>DC_087</t>
        </is>
      </c>
      <c r="C93" s="1" t="inlineStr">
        <is>
          <t>Máy hút ẩm 1,5kw</t>
        </is>
      </c>
      <c r="D93" s="1" t="inlineStr">
        <is>
          <t>cái</t>
        </is>
      </c>
      <c r="E93" s="24" t="n">
        <v>1.1611</v>
      </c>
      <c r="F93" s="11" t="n">
        <v>486</v>
      </c>
      <c r="G93" s="11">
        <f>ROUND(E93*F93, 0)</f>
        <v/>
      </c>
      <c r="H93" s="1" t="inlineStr">
        <is>
          <t>Tra cứu nguyên giá mua mới trên Mua sắm công để tính đơn giá Ca</t>
        </is>
      </c>
    </row>
    <row r="94">
      <c r="A94" s="1" t="n">
        <v>88</v>
      </c>
      <c r="B94" s="1" t="inlineStr">
        <is>
          <t>DC_088</t>
        </is>
      </c>
      <c r="C94" s="1" t="inlineStr">
        <is>
          <t>Máy hút ẩm 1,5kw</t>
        </is>
      </c>
      <c r="D94" s="1" t="inlineStr">
        <is>
          <t>Cái</t>
        </is>
      </c>
      <c r="E94" s="24" t="n">
        <v>0.05</v>
      </c>
      <c r="F94" s="11" t="n">
        <v>486</v>
      </c>
      <c r="G94" s="11">
        <f>ROUND(E94*F94, 0)</f>
        <v/>
      </c>
      <c r="H94" s="1" t="inlineStr">
        <is>
          <t>Tra cứu nguyên giá mua mới trên Mua sắm công để tính đơn giá Ca</t>
        </is>
      </c>
    </row>
    <row r="95">
      <c r="A95" s="1" t="n">
        <v>89</v>
      </c>
      <c r="B95" s="1" t="inlineStr">
        <is>
          <t>DC_089</t>
        </is>
      </c>
      <c r="C95" s="1" t="inlineStr">
        <is>
          <t>Mũ cứng</t>
        </is>
      </c>
      <c r="D95" s="1" t="inlineStr">
        <is>
          <t>cái</t>
        </is>
      </c>
      <c r="E95" s="24" t="n">
        <v>31.2667</v>
      </c>
      <c r="F95" s="11" t="n">
        <v>4167</v>
      </c>
      <c r="G95" s="11">
        <f>ROUND(E95*F95, 0)</f>
        <v/>
      </c>
      <c r="H95" s="1" t="inlineStr">
        <is>
          <t>Tra cứu nguyên giá mua mới trên Mua sắm công để tính đơn giá Ca</t>
        </is>
      </c>
    </row>
    <row r="96">
      <c r="A96" s="1" t="n">
        <v>90</v>
      </c>
      <c r="B96" s="1" t="inlineStr">
        <is>
          <t>DC_090</t>
        </is>
      </c>
      <c r="C96" s="1" t="inlineStr">
        <is>
          <t>Mũ cứng</t>
        </is>
      </c>
      <c r="D96" s="1" t="inlineStr">
        <is>
          <t>Cái</t>
        </is>
      </c>
      <c r="E96" s="24" t="n">
        <v>1.6</v>
      </c>
      <c r="F96" s="11" t="n">
        <v>4167</v>
      </c>
      <c r="G96" s="11">
        <f>ROUND(E96*F96, 0)</f>
        <v/>
      </c>
      <c r="H96" s="1" t="inlineStr">
        <is>
          <t>Tra cứu nguyên giá mua mới trên Mua sắm công để tính đơn giá Ca</t>
        </is>
      </c>
    </row>
    <row r="97">
      <c r="A97" s="1" t="n">
        <v>91</v>
      </c>
      <c r="B97" s="1" t="inlineStr">
        <is>
          <t>DC_091</t>
        </is>
      </c>
      <c r="C97" s="1" t="inlineStr">
        <is>
          <t>Nhíp</t>
        </is>
      </c>
      <c r="D97" s="1" t="inlineStr">
        <is>
          <t>cái</t>
        </is>
      </c>
      <c r="E97" s="24" t="n">
        <v>0.1444</v>
      </c>
      <c r="F97" s="11" t="n">
        <v>486</v>
      </c>
      <c r="G97" s="11">
        <f>ROUND(E97*F97, 0)</f>
        <v/>
      </c>
      <c r="H97" s="1" t="inlineStr">
        <is>
          <t>Tra cứu nguyên giá mua mới trên Mua sắm công để tính đơn giá Ca</t>
        </is>
      </c>
    </row>
    <row r="98">
      <c r="A98" s="1" t="n">
        <v>92</v>
      </c>
      <c r="B98" s="1" t="inlineStr">
        <is>
          <t>DC_092</t>
        </is>
      </c>
      <c r="C98" s="1" t="inlineStr">
        <is>
          <t>Phễu chiết 1000ml</t>
        </is>
      </c>
      <c r="D98" s="1" t="inlineStr">
        <is>
          <t>cái</t>
        </is>
      </c>
      <c r="E98" s="24" t="n">
        <v>0.9</v>
      </c>
      <c r="F98" s="11" t="n">
        <v>1500</v>
      </c>
      <c r="G98" s="11">
        <f>ROUND(E98*F98, 0)</f>
        <v/>
      </c>
      <c r="H98" s="1" t="inlineStr">
        <is>
          <t>Tra cứu nguyên giá mua mới trên Mua sắm công để tính đơn giá Ca</t>
        </is>
      </c>
    </row>
    <row r="99">
      <c r="A99" s="1" t="n">
        <v>93</v>
      </c>
      <c r="B99" s="1" t="inlineStr">
        <is>
          <t>DC_093</t>
        </is>
      </c>
      <c r="C99" s="1" t="inlineStr">
        <is>
          <t>Phễu chiết 1000ml</t>
        </is>
      </c>
      <c r="D99" s="1" t="inlineStr">
        <is>
          <t>Cái</t>
        </is>
      </c>
      <c r="E99" s="24" t="n">
        <v>0.0667</v>
      </c>
      <c r="F99" s="11" t="n">
        <v>1500</v>
      </c>
      <c r="G99" s="11">
        <f>ROUND(E99*F99, 0)</f>
        <v/>
      </c>
      <c r="H99" s="1" t="inlineStr">
        <is>
          <t>Tra cứu nguyên giá mua mới trên Mua sắm công để tính đơn giá Ca</t>
        </is>
      </c>
    </row>
    <row r="100">
      <c r="A100" s="1" t="n">
        <v>94</v>
      </c>
      <c r="B100" s="1" t="inlineStr">
        <is>
          <t>DC_094</t>
        </is>
      </c>
      <c r="C100" s="1" t="inlineStr">
        <is>
          <t>Phễu lọc thủy tinh</t>
        </is>
      </c>
      <c r="D100" s="1" t="inlineStr">
        <is>
          <t>cái</t>
        </is>
      </c>
      <c r="E100" s="24" t="n">
        <v>0.4333</v>
      </c>
      <c r="F100" s="11" t="n">
        <v>1500</v>
      </c>
      <c r="G100" s="11">
        <f>ROUND(E100*F100, 0)</f>
        <v/>
      </c>
      <c r="H100" s="1" t="inlineStr">
        <is>
          <t>Tra cứu nguyên giá mua mới trên Mua sắm công để tính đơn giá Ca</t>
        </is>
      </c>
    </row>
    <row r="101">
      <c r="A101" s="1" t="n">
        <v>95</v>
      </c>
      <c r="B101" s="1" t="inlineStr">
        <is>
          <t>DC_095</t>
        </is>
      </c>
      <c r="C101" s="1" t="inlineStr">
        <is>
          <t>Pipet 10ml</t>
        </is>
      </c>
      <c r="D101" s="1" t="inlineStr">
        <is>
          <t>cái</t>
        </is>
      </c>
      <c r="E101" s="24" t="n">
        <v>4.4333</v>
      </c>
      <c r="F101" s="11" t="n">
        <v>2917</v>
      </c>
      <c r="G101" s="11">
        <f>ROUND(E101*F101, 0)</f>
        <v/>
      </c>
      <c r="H101" s="1" t="inlineStr">
        <is>
          <t>Tra cứu nguyên giá mua mới trên Mua sắm công để tính đơn giá Ca</t>
        </is>
      </c>
    </row>
    <row r="102">
      <c r="A102" s="1" t="n">
        <v>96</v>
      </c>
      <c r="B102" s="1" t="inlineStr">
        <is>
          <t>DC_096</t>
        </is>
      </c>
      <c r="C102" s="1" t="inlineStr">
        <is>
          <t>Pipet 10ml</t>
        </is>
      </c>
      <c r="D102" s="1" t="inlineStr">
        <is>
          <t>Cái</t>
        </is>
      </c>
      <c r="E102" s="24" t="n">
        <v>0.3</v>
      </c>
      <c r="F102" s="11" t="n">
        <v>2917</v>
      </c>
      <c r="G102" s="11">
        <f>ROUND(E102*F102, 0)</f>
        <v/>
      </c>
      <c r="H102" s="1" t="inlineStr">
        <is>
          <t>Tra cứu nguyên giá mua mới trên Mua sắm công để tính đơn giá Ca</t>
        </is>
      </c>
    </row>
    <row r="103">
      <c r="A103" s="1" t="n">
        <v>97</v>
      </c>
      <c r="B103" s="1" t="inlineStr">
        <is>
          <t>DC_097</t>
        </is>
      </c>
      <c r="C103" s="1" t="inlineStr">
        <is>
          <t>Pipet 5ml</t>
        </is>
      </c>
      <c r="D103" s="1" t="inlineStr">
        <is>
          <t>cái</t>
        </is>
      </c>
      <c r="E103" s="24" t="n">
        <v>0.8667</v>
      </c>
      <c r="F103" s="11" t="n">
        <v>2917</v>
      </c>
      <c r="G103" s="11">
        <f>ROUND(E103*F103, 0)</f>
        <v/>
      </c>
      <c r="H103" s="1" t="inlineStr">
        <is>
          <t>Tra cứu nguyên giá mua mới trên Mua sắm công để tính đơn giá Ca</t>
        </is>
      </c>
    </row>
    <row r="104">
      <c r="A104" s="1" t="n">
        <v>98</v>
      </c>
      <c r="B104" s="1" t="inlineStr">
        <is>
          <t>DC_098</t>
        </is>
      </c>
      <c r="C104" s="1" t="inlineStr">
        <is>
          <t>Quạt thông gió 40w</t>
        </is>
      </c>
      <c r="D104" s="1" t="inlineStr">
        <is>
          <t>cái</t>
        </is>
      </c>
      <c r="E104" s="24" t="n">
        <v>1.1611</v>
      </c>
      <c r="F104" s="11" t="n">
        <v>486</v>
      </c>
      <c r="G104" s="11">
        <f>ROUND(E104*F104, 0)</f>
        <v/>
      </c>
      <c r="H104" s="1" t="inlineStr">
        <is>
          <t>Tra cứu nguyên giá mua mới trên Mua sắm công để tính đơn giá Ca</t>
        </is>
      </c>
    </row>
    <row r="105">
      <c r="A105" s="1" t="n">
        <v>99</v>
      </c>
      <c r="B105" s="1" t="inlineStr">
        <is>
          <t>DC_099</t>
        </is>
      </c>
      <c r="C105" s="1" t="inlineStr">
        <is>
          <t>Quạt thông gió 40w</t>
        </is>
      </c>
      <c r="D105" s="1" t="inlineStr">
        <is>
          <t>Cái</t>
        </is>
      </c>
      <c r="E105" s="24" t="n">
        <v>0.05</v>
      </c>
      <c r="F105" s="11" t="n">
        <v>486</v>
      </c>
      <c r="G105" s="11">
        <f>ROUND(E105*F105, 0)</f>
        <v/>
      </c>
      <c r="H105" s="1" t="inlineStr">
        <is>
          <t>Tra cứu nguyên giá mua mới trên Mua sắm công để tính đơn giá Ca</t>
        </is>
      </c>
    </row>
    <row r="106">
      <c r="A106" s="1" t="n">
        <v>100</v>
      </c>
      <c r="B106" s="1" t="inlineStr">
        <is>
          <t>DC_100</t>
        </is>
      </c>
      <c r="C106" s="1" t="inlineStr">
        <is>
          <t>Quạt trần 100w</t>
        </is>
      </c>
      <c r="D106" s="1" t="inlineStr">
        <is>
          <t>cái</t>
        </is>
      </c>
      <c r="E106" s="24" t="n">
        <v>1.1444</v>
      </c>
      <c r="F106" s="11" t="n">
        <v>486</v>
      </c>
      <c r="G106" s="11">
        <f>ROUND(E106*F106, 0)</f>
        <v/>
      </c>
      <c r="H106" s="1" t="inlineStr">
        <is>
          <t>Tra cứu nguyên giá mua mới trên Mua sắm công để tính đơn giá Ca</t>
        </is>
      </c>
    </row>
    <row r="107">
      <c r="A107" s="1" t="n">
        <v>101</v>
      </c>
      <c r="B107" s="1" t="inlineStr">
        <is>
          <t>DC_101</t>
        </is>
      </c>
      <c r="C107" s="1" t="inlineStr">
        <is>
          <t>Quạt trần 100w</t>
        </is>
      </c>
      <c r="D107" s="1" t="inlineStr">
        <is>
          <t>Cái</t>
        </is>
      </c>
      <c r="E107" s="24" t="n">
        <v>0.05</v>
      </c>
      <c r="F107" s="11" t="n">
        <v>486</v>
      </c>
      <c r="G107" s="11">
        <f>ROUND(E107*F107, 0)</f>
        <v/>
      </c>
      <c r="H107" s="1" t="inlineStr">
        <is>
          <t>Tra cứu nguyên giá mua mới trên Mua sắm công để tính đơn giá Ca</t>
        </is>
      </c>
    </row>
    <row r="108">
      <c r="A108" s="1" t="n">
        <v>102</v>
      </c>
      <c r="B108" s="1" t="inlineStr">
        <is>
          <t>DC_102</t>
        </is>
      </c>
      <c r="C108" s="1" t="inlineStr">
        <is>
          <t>Quạt trần 100w</t>
        </is>
      </c>
      <c r="D108" s="1" t="inlineStr">
        <is>
          <t>đôi</t>
        </is>
      </c>
      <c r="E108" s="24" t="n">
        <v>0.0167</v>
      </c>
      <c r="F108" s="11" t="n">
        <v>486</v>
      </c>
      <c r="G108" s="11">
        <f>ROUND(E108*F108, 0)</f>
        <v/>
      </c>
      <c r="H108" s="1" t="inlineStr">
        <is>
          <t>Tra cứu nguyên giá mua mới trên Mua sắm công để tính đơn giá Ca</t>
        </is>
      </c>
    </row>
    <row r="109">
      <c r="A109" s="1" t="n">
        <v>103</v>
      </c>
      <c r="B109" s="1" t="inlineStr">
        <is>
          <t>DC_103</t>
        </is>
      </c>
      <c r="C109" s="1" t="inlineStr">
        <is>
          <t>Quần áo BHLĐ</t>
        </is>
      </c>
      <c r="D109" s="1" t="inlineStr">
        <is>
          <t>bộ</t>
        </is>
      </c>
      <c r="E109" s="24" t="n">
        <v>16.4333</v>
      </c>
      <c r="F109" s="11" t="n">
        <v>2083</v>
      </c>
      <c r="G109" s="11">
        <f>ROUND(E109*F109, 0)</f>
        <v/>
      </c>
      <c r="H109" s="1" t="inlineStr">
        <is>
          <t>Tra cứu nguyên giá mua mới trên Mua sắm công để tính đơn giá Ca</t>
        </is>
      </c>
    </row>
    <row r="110">
      <c r="A110" s="1" t="n">
        <v>104</v>
      </c>
      <c r="B110" s="1" t="inlineStr">
        <is>
          <t>DC_104</t>
        </is>
      </c>
      <c r="C110" s="1" t="inlineStr">
        <is>
          <t>Sensor CO</t>
        </is>
      </c>
      <c r="D110" s="1" t="inlineStr">
        <is>
          <t>cái</t>
        </is>
      </c>
      <c r="E110" s="24" t="n">
        <v>0.05</v>
      </c>
      <c r="F110" s="11" t="n">
        <v>1458</v>
      </c>
      <c r="G110" s="11">
        <f>ROUND(E110*F110, 0)</f>
        <v/>
      </c>
      <c r="H110" s="1" t="inlineStr">
        <is>
          <t>Tra cứu nguyên giá mua mới trên Mua sắm công để tính đơn giá Ca</t>
        </is>
      </c>
    </row>
    <row r="111">
      <c r="A111" s="1" t="n">
        <v>105</v>
      </c>
      <c r="B111" s="1" t="inlineStr">
        <is>
          <t>DC_105</t>
        </is>
      </c>
      <c r="C111" s="1" t="inlineStr">
        <is>
          <t>Sensor NO</t>
        </is>
      </c>
      <c r="D111" s="1" t="inlineStr">
        <is>
          <t>cái</t>
        </is>
      </c>
      <c r="E111" s="24" t="n">
        <v>0.0333</v>
      </c>
      <c r="F111" s="11" t="n">
        <v>1458</v>
      </c>
      <c r="G111" s="11">
        <f>ROUND(E111*F111, 0)</f>
        <v/>
      </c>
      <c r="H111" s="1" t="inlineStr">
        <is>
          <t>Tra cứu nguyên giá mua mới trên Mua sắm công để tính đơn giá Ca</t>
        </is>
      </c>
    </row>
    <row r="112">
      <c r="A112" s="1" t="n">
        <v>106</v>
      </c>
      <c r="B112" s="1" t="inlineStr">
        <is>
          <t>DC_106</t>
        </is>
      </c>
      <c r="C112" s="1" t="inlineStr">
        <is>
          <t>Sensor NOx</t>
        </is>
      </c>
      <c r="D112" s="1" t="inlineStr">
        <is>
          <t>cái</t>
        </is>
      </c>
      <c r="E112" s="24" t="n">
        <v>0.05</v>
      </c>
      <c r="F112" s="11" t="n">
        <v>1458</v>
      </c>
      <c r="G112" s="11">
        <f>ROUND(E112*F112, 0)</f>
        <v/>
      </c>
      <c r="H112" s="1" t="inlineStr">
        <is>
          <t>Tra cứu nguyên giá mua mới trên Mua sắm công để tính đơn giá Ca</t>
        </is>
      </c>
    </row>
    <row r="113">
      <c r="A113" s="1" t="n">
        <v>107</v>
      </c>
      <c r="B113" s="1" t="inlineStr">
        <is>
          <t>DC_107</t>
        </is>
      </c>
      <c r="C113" s="1" t="inlineStr">
        <is>
          <t>Sensor O2</t>
        </is>
      </c>
      <c r="D113" s="1" t="inlineStr">
        <is>
          <t>cái</t>
        </is>
      </c>
      <c r="E113" s="24" t="n">
        <v>0.05</v>
      </c>
      <c r="F113" s="11" t="n">
        <v>1458</v>
      </c>
      <c r="G113" s="11">
        <f>ROUND(E113*F113, 0)</f>
        <v/>
      </c>
      <c r="H113" s="1" t="inlineStr">
        <is>
          <t>Tra cứu nguyên giá mua mới trên Mua sắm công để tính đơn giá Ca</t>
        </is>
      </c>
    </row>
    <row r="114">
      <c r="A114" s="1" t="n">
        <v>108</v>
      </c>
      <c r="B114" s="1" t="inlineStr">
        <is>
          <t>DC_108</t>
        </is>
      </c>
      <c r="C114" s="1" t="inlineStr">
        <is>
          <t>Sensor SO2</t>
        </is>
      </c>
      <c r="D114" s="1" t="inlineStr">
        <is>
          <t>cái</t>
        </is>
      </c>
      <c r="E114" s="24" t="n">
        <v>0.05</v>
      </c>
      <c r="F114" s="11" t="n">
        <v>1458</v>
      </c>
      <c r="G114" s="11">
        <f>ROUND(E114*F114, 0)</f>
        <v/>
      </c>
      <c r="H114" s="1" t="inlineStr">
        <is>
          <t>Tra cứu nguyên giá mua mới trên Mua sắm công để tính đơn giá Ca</t>
        </is>
      </c>
    </row>
    <row r="115">
      <c r="A115" s="1" t="n">
        <v>109</v>
      </c>
      <c r="B115" s="1" t="inlineStr">
        <is>
          <t>DC_109</t>
        </is>
      </c>
      <c r="C115" s="1" t="inlineStr">
        <is>
          <t>Thiết bị lấy mẫu thể tích 2 lít</t>
        </is>
      </c>
      <c r="D115" s="1" t="inlineStr">
        <is>
          <t>cái</t>
        </is>
      </c>
      <c r="E115" s="24" t="n">
        <v>0.8104</v>
      </c>
      <c r="F115" s="11" t="n">
        <v>729</v>
      </c>
      <c r="G115" s="11">
        <f>ROUND(E115*F115, 0)</f>
        <v/>
      </c>
      <c r="H115" s="1" t="inlineStr">
        <is>
          <t>Tra cứu nguyên giá mua mới trên Mua sắm công để tính đơn giá Ca</t>
        </is>
      </c>
    </row>
    <row r="116">
      <c r="A116" s="1" t="n">
        <v>110</v>
      </c>
      <c r="B116" s="1" t="inlineStr">
        <is>
          <t>DC_110</t>
        </is>
      </c>
      <c r="C116" s="1" t="inlineStr">
        <is>
          <t>Thiết bị lấy mẫu thể tích 5 lít</t>
        </is>
      </c>
      <c r="D116" s="1" t="inlineStr">
        <is>
          <t>cái</t>
        </is>
      </c>
      <c r="E116" s="24" t="n">
        <v>0.8104</v>
      </c>
      <c r="F116" s="11" t="n">
        <v>729</v>
      </c>
      <c r="G116" s="11">
        <f>ROUND(E116*F116, 0)</f>
        <v/>
      </c>
      <c r="H116" s="1" t="inlineStr">
        <is>
          <t>Tra cứu nguyên giá mua mới trên Mua sắm công để tính đơn giá Ca</t>
        </is>
      </c>
    </row>
    <row r="117">
      <c r="A117" s="1" t="n">
        <v>111</v>
      </c>
      <c r="B117" s="1" t="inlineStr">
        <is>
          <t>DC_111</t>
        </is>
      </c>
      <c r="C117" s="1" t="inlineStr">
        <is>
          <t>Thùng đựng và bảo quản mẫu</t>
        </is>
      </c>
      <c r="D117" s="1" t="inlineStr">
        <is>
          <t>cái</t>
        </is>
      </c>
      <c r="E117" s="24" t="n">
        <v>16.2</v>
      </c>
      <c r="F117" s="11" t="n">
        <v>15000</v>
      </c>
      <c r="G117" s="11">
        <f>ROUND(E117*F117, 0)</f>
        <v/>
      </c>
      <c r="H117" s="1" t="inlineStr">
        <is>
          <t>Tra cứu nguyên giá mua mới trên Mua sắm công để tính đơn giá Ca</t>
        </is>
      </c>
    </row>
    <row r="118">
      <c r="A118" s="1" t="n">
        <v>112</v>
      </c>
      <c r="B118" s="1" t="inlineStr">
        <is>
          <t>DC_112</t>
        </is>
      </c>
      <c r="C118" s="1" t="inlineStr">
        <is>
          <t>Thùng đựng và bảo quản mẫu</t>
        </is>
      </c>
      <c r="D118" s="1" t="inlineStr">
        <is>
          <t>Cái</t>
        </is>
      </c>
      <c r="E118" s="24" t="n">
        <v>0.96</v>
      </c>
      <c r="F118" s="11" t="n">
        <v>15000</v>
      </c>
      <c r="G118" s="11">
        <f>ROUND(E118*F118, 0)</f>
        <v/>
      </c>
      <c r="H118" s="1" t="inlineStr">
        <is>
          <t>Tra cứu nguyên giá mua mới trên Mua sắm công để tính đơn giá Ca</t>
        </is>
      </c>
    </row>
    <row r="119">
      <c r="A119" s="1" t="n">
        <v>113</v>
      </c>
      <c r="B119" s="1" t="inlineStr">
        <is>
          <t>DC_113</t>
        </is>
      </c>
      <c r="C119" s="1" t="inlineStr">
        <is>
          <t>Tất sợi</t>
        </is>
      </c>
      <c r="D119" s="1" t="inlineStr">
        <is>
          <t>đôi</t>
        </is>
      </c>
      <c r="E119" s="24" t="n">
        <v>6.3667</v>
      </c>
      <c r="F119" s="11" t="n">
        <v>2917</v>
      </c>
      <c r="G119" s="11">
        <f>ROUND(E119*F119, 0)</f>
        <v/>
      </c>
      <c r="H119" s="1" t="inlineStr">
        <is>
          <t>Tra cứu nguyên giá mua mới trên Mua sắm công để tính đơn giá Ca</t>
        </is>
      </c>
    </row>
    <row r="120">
      <c r="A120" s="1" t="n">
        <v>114</v>
      </c>
      <c r="B120" s="1" t="inlineStr">
        <is>
          <t>DC_114</t>
        </is>
      </c>
      <c r="C120" s="1" t="inlineStr">
        <is>
          <t>Tất sợi</t>
        </is>
      </c>
      <c r="D120" s="1" t="inlineStr">
        <is>
          <t>Đôi</t>
        </is>
      </c>
      <c r="E120" s="24" t="n">
        <v>0.8</v>
      </c>
      <c r="F120" s="11" t="n">
        <v>2917</v>
      </c>
      <c r="G120" s="11">
        <f>ROUND(E120*F120, 0)</f>
        <v/>
      </c>
      <c r="H120" s="1" t="inlineStr">
        <is>
          <t>Tra cứu nguyên giá mua mới trên Mua sắm công để tính đơn giá Ca</t>
        </is>
      </c>
    </row>
    <row r="121">
      <c r="A121" s="1" t="n">
        <v>115</v>
      </c>
      <c r="B121" s="1" t="inlineStr">
        <is>
          <t>DC_115</t>
        </is>
      </c>
      <c r="C121" s="1" t="inlineStr">
        <is>
          <t>Tủ đựng tài liệu</t>
        </is>
      </c>
      <c r="D121" s="1" t="inlineStr">
        <is>
          <t>cái</t>
        </is>
      </c>
      <c r="E121" s="24" t="n">
        <v>0.5722</v>
      </c>
      <c r="F121" s="11" t="n">
        <v>243</v>
      </c>
      <c r="G121" s="11">
        <f>ROUND(E121*F121, 0)</f>
        <v/>
      </c>
      <c r="H121" s="1" t="inlineStr">
        <is>
          <t>Tra cứu nguyên giá mua mới trên Mua sắm công để tính đơn giá Ca</t>
        </is>
      </c>
    </row>
    <row r="122">
      <c r="A122" s="1" t="n">
        <v>116</v>
      </c>
      <c r="B122" s="1" t="inlineStr">
        <is>
          <t>DC_116</t>
        </is>
      </c>
      <c r="C122" s="1" t="inlineStr">
        <is>
          <t>Tủ đựng tài liệu</t>
        </is>
      </c>
      <c r="D122" s="1" t="inlineStr">
        <is>
          <t>Cái</t>
        </is>
      </c>
      <c r="E122" s="24" t="n">
        <v>0.025</v>
      </c>
      <c r="F122" s="11" t="n">
        <v>243</v>
      </c>
      <c r="G122" s="11">
        <f>ROUND(E122*F122, 0)</f>
        <v/>
      </c>
      <c r="H122" s="1" t="inlineStr">
        <is>
          <t>Tra cứu nguyên giá mua mới trên Mua sắm công để tính đơn giá Ca</t>
        </is>
      </c>
    </row>
    <row r="123">
      <c r="A123" s="1" t="n">
        <v>117</v>
      </c>
      <c r="B123" s="1" t="inlineStr">
        <is>
          <t>DC_117</t>
        </is>
      </c>
      <c r="C123" s="1" t="inlineStr">
        <is>
          <t>Tủ đựng tài liệu</t>
        </is>
      </c>
      <c r="D123" s="1" t="inlineStr">
        <is>
          <t>đôi</t>
        </is>
      </c>
      <c r="E123" s="24" t="n">
        <v>0.0083</v>
      </c>
      <c r="F123" s="11" t="n">
        <v>243</v>
      </c>
      <c r="G123" s="11">
        <f>ROUND(E123*F123, 0)</f>
        <v/>
      </c>
      <c r="H123" s="1" t="inlineStr">
        <is>
          <t>Tra cứu nguyên giá mua mới trên Mua sắm công để tính đơn giá Ca</t>
        </is>
      </c>
    </row>
    <row r="124">
      <c r="A124" s="1" t="n">
        <v>118</v>
      </c>
      <c r="B124" s="1" t="inlineStr">
        <is>
          <t>DC_118</t>
        </is>
      </c>
      <c r="C124" s="1" t="inlineStr">
        <is>
          <t>Van Dorn Sampler thể tích 2 lít</t>
        </is>
      </c>
      <c r="D124" s="1" t="inlineStr">
        <is>
          <t>cái</t>
        </is>
      </c>
      <c r="E124" s="24" t="n">
        <v>0.6938</v>
      </c>
      <c r="F124" s="11" t="n">
        <v>729</v>
      </c>
      <c r="G124" s="11">
        <f>ROUND(E124*F124, 0)</f>
        <v/>
      </c>
      <c r="H124" s="1" t="inlineStr">
        <is>
          <t>Tra cứu nguyên giá mua mới trên Mua sắm công để tính đơn giá Ca</t>
        </is>
      </c>
    </row>
    <row r="125">
      <c r="A125" s="1" t="n">
        <v>119</v>
      </c>
      <c r="B125" s="1" t="inlineStr">
        <is>
          <t>DC_119</t>
        </is>
      </c>
      <c r="C125" s="1" t="inlineStr">
        <is>
          <t>Van Dorn Sampler thể tích 5 lít</t>
        </is>
      </c>
      <c r="D125" s="1" t="inlineStr">
        <is>
          <t>cái</t>
        </is>
      </c>
      <c r="E125" s="24" t="n">
        <v>0.6938</v>
      </c>
      <c r="F125" s="11" t="n">
        <v>729</v>
      </c>
      <c r="G125" s="11">
        <f>ROUND(E125*F125, 0)</f>
        <v/>
      </c>
      <c r="H125" s="1" t="inlineStr">
        <is>
          <t>Tra cứu nguyên giá mua mới trên Mua sắm công để tính đơn giá Ca</t>
        </is>
      </c>
    </row>
    <row r="126">
      <c r="A126" s="1" t="n">
        <v>120</v>
      </c>
      <c r="B126" s="1" t="inlineStr">
        <is>
          <t>DC_120</t>
        </is>
      </c>
      <c r="C126" s="1" t="inlineStr">
        <is>
          <t>Xô chứa dung dịch sục khí</t>
        </is>
      </c>
      <c r="D126" s="1" t="inlineStr">
        <is>
          <t>cái</t>
        </is>
      </c>
      <c r="E126" s="24" t="n">
        <v>0.0583</v>
      </c>
      <c r="F126" s="11" t="n">
        <v>729</v>
      </c>
      <c r="G126" s="11">
        <f>ROUND(E126*F126, 0)</f>
        <v/>
      </c>
      <c r="H126" s="1" t="inlineStr">
        <is>
          <t>Tra cứu nguyên giá mua mới trên Mua sắm công để tính đơn giá Ca</t>
        </is>
      </c>
    </row>
    <row r="127">
      <c r="A127" s="1" t="n">
        <v>121</v>
      </c>
      <c r="B127" s="1" t="inlineStr">
        <is>
          <t>DC_121</t>
        </is>
      </c>
      <c r="C127" s="1" t="inlineStr">
        <is>
          <t>Áo blue</t>
        </is>
      </c>
      <c r="D127" s="1" t="inlineStr">
        <is>
          <t>cái</t>
        </is>
      </c>
      <c r="E127" s="24" t="n">
        <v>3.4667</v>
      </c>
      <c r="F127" s="11" t="n">
        <v>1042</v>
      </c>
      <c r="G127" s="11">
        <f>ROUND(E127*F127, 0)</f>
        <v/>
      </c>
      <c r="H127" s="1" t="inlineStr">
        <is>
          <t>Tra cứu nguyên giá mua mới trên Mua sắm công để tính đơn giá Ca</t>
        </is>
      </c>
    </row>
    <row r="128">
      <c r="A128" s="1" t="n">
        <v>122</v>
      </c>
      <c r="B128" s="1" t="inlineStr">
        <is>
          <t>DC_122</t>
        </is>
      </c>
      <c r="C128" s="1" t="inlineStr">
        <is>
          <t>Áo blue</t>
        </is>
      </c>
      <c r="D128" s="1" t="inlineStr">
        <is>
          <t>Cái</t>
        </is>
      </c>
      <c r="E128" s="24" t="n">
        <v>0.1167</v>
      </c>
      <c r="F128" s="11" t="n">
        <v>1042</v>
      </c>
      <c r="G128" s="11">
        <f>ROUND(E128*F128, 0)</f>
        <v/>
      </c>
      <c r="H128" s="1" t="inlineStr">
        <is>
          <t>Tra cứu nguyên giá mua mới trên Mua sắm công để tính đơn giá Ca</t>
        </is>
      </c>
    </row>
    <row r="129">
      <c r="A129" s="1" t="n">
        <v>123</v>
      </c>
      <c r="B129" s="1" t="inlineStr">
        <is>
          <t>DC_123</t>
        </is>
      </c>
      <c r="C129" s="1" t="inlineStr">
        <is>
          <t>Áo blue</t>
        </is>
      </c>
      <c r="D129" s="1" t="inlineStr">
        <is>
          <t>Bộ</t>
        </is>
      </c>
      <c r="E129" s="24" t="n">
        <v>0.05</v>
      </c>
      <c r="F129" s="11" t="n">
        <v>1042</v>
      </c>
      <c r="G129" s="11">
        <f>ROUND(E129*F129, 0)</f>
        <v/>
      </c>
      <c r="H129" s="1" t="inlineStr">
        <is>
          <t>Tra cứu nguyên giá mua mới trên Mua sắm công để tính đơn giá Ca</t>
        </is>
      </c>
    </row>
    <row r="130">
      <c r="A130" s="1" t="n">
        <v>124</v>
      </c>
      <c r="B130" s="1" t="inlineStr">
        <is>
          <t>DC_124</t>
        </is>
      </c>
      <c r="C130" s="1" t="inlineStr">
        <is>
          <t>Áo phao</t>
        </is>
      </c>
      <c r="D130" s="1" t="inlineStr">
        <is>
          <t>cái</t>
        </is>
      </c>
      <c r="E130" s="24" t="n">
        <v>3.6667</v>
      </c>
      <c r="F130" s="11" t="n">
        <v>1042</v>
      </c>
      <c r="G130" s="11">
        <f>ROUND(E130*F130, 0)</f>
        <v/>
      </c>
      <c r="H130" s="1" t="inlineStr">
        <is>
          <t>Tra cứu nguyên giá mua mới trên Mua sắm công để tính đơn giá Ca</t>
        </is>
      </c>
    </row>
    <row r="131">
      <c r="A131" s="1" t="n">
        <v>125</v>
      </c>
      <c r="B131" s="1" t="inlineStr">
        <is>
          <t>DC_125</t>
        </is>
      </c>
      <c r="C131" s="1" t="inlineStr">
        <is>
          <t>Ô che mưa, che nắng</t>
        </is>
      </c>
      <c r="D131" s="1" t="inlineStr">
        <is>
          <t>cái</t>
        </is>
      </c>
      <c r="E131" s="24" t="n">
        <v>3.0729</v>
      </c>
      <c r="F131" s="11" t="n">
        <v>729</v>
      </c>
      <c r="G131" s="11">
        <f>ROUND(E131*F131, 0)</f>
        <v/>
      </c>
      <c r="H131" s="1" t="inlineStr">
        <is>
          <t>Tra cứu nguyên giá mua mới trên Mua sắm công để tính đơn giá Ca</t>
        </is>
      </c>
    </row>
    <row r="132">
      <c r="A132" s="1" t="n">
        <v>126</v>
      </c>
      <c r="B132" s="1" t="inlineStr">
        <is>
          <t>DC_126</t>
        </is>
      </c>
      <c r="C132" s="1" t="inlineStr">
        <is>
          <t>Ô che mưa, che nắng</t>
        </is>
      </c>
      <c r="D132" s="1" t="inlineStr">
        <is>
          <t>Cái</t>
        </is>
      </c>
      <c r="E132" s="24" t="n">
        <v>0.2</v>
      </c>
      <c r="F132" s="11" t="n">
        <v>729</v>
      </c>
      <c r="G132" s="11">
        <f>ROUND(E132*F132, 0)</f>
        <v/>
      </c>
      <c r="H132" s="1" t="inlineStr">
        <is>
          <t>Tra cứu nguyên giá mua mới trên Mua sắm công để tính đơn giá Ca</t>
        </is>
      </c>
    </row>
    <row r="133">
      <c r="A133" s="1" t="n">
        <v>127</v>
      </c>
      <c r="B133" s="1" t="inlineStr">
        <is>
          <t>DC_127</t>
        </is>
      </c>
      <c r="C133" s="1" t="inlineStr">
        <is>
          <t>Đai bảo hiểm</t>
        </is>
      </c>
      <c r="D133" s="1" t="inlineStr">
        <is>
          <t>cái</t>
        </is>
      </c>
      <c r="E133" s="24" t="n">
        <v>11.8</v>
      </c>
      <c r="F133" s="11" t="n">
        <v>5833</v>
      </c>
      <c r="G133" s="11">
        <f>ROUND(E133*F133, 0)</f>
        <v/>
      </c>
      <c r="H133" s="1" t="inlineStr">
        <is>
          <t>Tra cứu nguyên giá mua mới trên Mua sắm công để tính đơn giá Ca</t>
        </is>
      </c>
    </row>
    <row r="134">
      <c r="A134" s="1" t="n">
        <v>128</v>
      </c>
      <c r="B134" s="1" t="inlineStr">
        <is>
          <t>DC_128</t>
        </is>
      </c>
      <c r="C134" s="1" t="inlineStr">
        <is>
          <t>Điện cực</t>
        </is>
      </c>
      <c r="D134" s="1" t="inlineStr">
        <is>
          <t>cái</t>
        </is>
      </c>
      <c r="E134" s="24" t="n">
        <v>0.1667</v>
      </c>
      <c r="F134" s="11" t="n">
        <v>2917</v>
      </c>
      <c r="G134" s="11">
        <f>ROUND(E134*F134, 0)</f>
        <v/>
      </c>
      <c r="H134" s="1" t="inlineStr">
        <is>
          <t>Tra cứu nguyên giá mua mới trên Mua sắm công để tính đơn giá Ca</t>
        </is>
      </c>
    </row>
    <row r="135">
      <c r="A135" s="1" t="n">
        <v>129</v>
      </c>
      <c r="B135" s="1" t="inlineStr">
        <is>
          <t>DC_129</t>
        </is>
      </c>
      <c r="C135" s="1" t="inlineStr">
        <is>
          <t>Điện cực pH</t>
        </is>
      </c>
      <c r="D135" s="1" t="inlineStr">
        <is>
          <t>cái</t>
        </is>
      </c>
      <c r="E135" s="24" t="n">
        <v>0.8167</v>
      </c>
      <c r="F135" s="11" t="n">
        <v>2917</v>
      </c>
      <c r="G135" s="11">
        <f>ROUND(E135*F135, 0)</f>
        <v/>
      </c>
      <c r="H135" s="1" t="inlineStr">
        <is>
          <t>Tra cứu nguyên giá mua mới trên Mua sắm công để tính đơn giá Ca</t>
        </is>
      </c>
    </row>
    <row r="136">
      <c r="A136" s="1" t="n">
        <v>130</v>
      </c>
      <c r="B136" s="1" t="inlineStr">
        <is>
          <t>DC_130</t>
        </is>
      </c>
      <c r="C136" s="1" t="inlineStr">
        <is>
          <t>Điện cực pH</t>
        </is>
      </c>
      <c r="D136" s="1" t="inlineStr">
        <is>
          <t>Cái</t>
        </is>
      </c>
      <c r="E136" s="24" t="n">
        <v>0.1333</v>
      </c>
      <c r="F136" s="11" t="n">
        <v>2917</v>
      </c>
      <c r="G136" s="11">
        <f>ROUND(E136*F136, 0)</f>
        <v/>
      </c>
      <c r="H136" s="1" t="inlineStr">
        <is>
          <t>Tra cứu nguyên giá mua mới trên Mua sắm công để tính đơn giá Ca</t>
        </is>
      </c>
    </row>
    <row r="137">
      <c r="A137" s="1" t="n">
        <v>131</v>
      </c>
      <c r="B137" s="1" t="inlineStr">
        <is>
          <t>DC_131</t>
        </is>
      </c>
      <c r="C137" s="1" t="inlineStr">
        <is>
          <t>Điện năng</t>
        </is>
      </c>
      <c r="D137" s="1" t="inlineStr">
        <is>
          <t>kw</t>
        </is>
      </c>
      <c r="E137" s="24" t="n">
        <v>3.4333</v>
      </c>
      <c r="F137" s="11" t="n">
        <v>1458</v>
      </c>
      <c r="G137" s="11">
        <f>ROUND(E137*F137, 0)</f>
        <v/>
      </c>
      <c r="H137" s="1" t="inlineStr">
        <is>
          <t>Tra cứu nguyên giá mua mới trên Mua sắm công để tính đơn giá Ca</t>
        </is>
      </c>
    </row>
    <row r="138">
      <c r="A138" s="1" t="n">
        <v>132</v>
      </c>
      <c r="B138" s="1" t="inlineStr">
        <is>
          <t>DC_132</t>
        </is>
      </c>
      <c r="C138" s="1" t="inlineStr">
        <is>
          <t>Điện năng</t>
        </is>
      </c>
      <c r="D138" s="1" t="inlineStr">
        <is>
          <t>Kw</t>
        </is>
      </c>
      <c r="E138" s="24" t="n">
        <v>0.15</v>
      </c>
      <c r="F138" s="11" t="n">
        <v>1458</v>
      </c>
      <c r="G138" s="11">
        <f>ROUND(E138*F138, 0)</f>
        <v/>
      </c>
      <c r="H138" s="1" t="inlineStr">
        <is>
          <t>Tra cứu nguyên giá mua mới trên Mua sắm công để tính đơn giá Ca</t>
        </is>
      </c>
    </row>
    <row r="139">
      <c r="A139" s="1" t="n">
        <v>133</v>
      </c>
      <c r="B139" s="1" t="inlineStr">
        <is>
          <t>DC_133</t>
        </is>
      </c>
      <c r="C139" s="1" t="inlineStr">
        <is>
          <t>Điện năng</t>
        </is>
      </c>
      <c r="D139" s="1" t="inlineStr">
        <is>
          <t>cái</t>
        </is>
      </c>
      <c r="E139" s="24" t="n">
        <v>0.05</v>
      </c>
      <c r="F139" s="11" t="n">
        <v>1458</v>
      </c>
      <c r="G139" s="11">
        <f>ROUND(E139*F139, 0)</f>
        <v/>
      </c>
      <c r="H139" s="1" t="inlineStr">
        <is>
          <t>Tra cứu nguyên giá mua mới trên Mua sắm công để tính đơn giá Ca</t>
        </is>
      </c>
    </row>
    <row r="140">
      <c r="A140" s="1" t="n">
        <v>134</v>
      </c>
      <c r="B140" s="1" t="inlineStr">
        <is>
          <t>DC_134</t>
        </is>
      </c>
      <c r="C140" s="1" t="inlineStr">
        <is>
          <t>Đèn D2</t>
        </is>
      </c>
      <c r="D140" s="1" t="inlineStr">
        <is>
          <t>cái</t>
        </is>
      </c>
      <c r="E140" s="24" t="n">
        <v>1.1167</v>
      </c>
      <c r="F140" s="11" t="n">
        <v>729</v>
      </c>
      <c r="G140" s="11">
        <f>ROUND(E140*F140, 0)</f>
        <v/>
      </c>
      <c r="H140" s="1" t="inlineStr">
        <is>
          <t>Tra cứu nguyên giá mua mới trên Mua sắm công để tính đơn giá Ca</t>
        </is>
      </c>
    </row>
    <row r="141">
      <c r="A141" s="1" t="n">
        <v>135</v>
      </c>
      <c r="B141" s="1" t="inlineStr">
        <is>
          <t>DC_135</t>
        </is>
      </c>
      <c r="C141" s="1" t="inlineStr">
        <is>
          <t>Đèn EDL</t>
        </is>
      </c>
      <c r="D141" s="1" t="inlineStr">
        <is>
          <t>cái</t>
        </is>
      </c>
      <c r="E141" s="24" t="n">
        <v>0.2667</v>
      </c>
      <c r="F141" s="11" t="n">
        <v>729</v>
      </c>
      <c r="G141" s="11">
        <f>ROUND(E141*F141, 0)</f>
        <v/>
      </c>
      <c r="H141" s="1" t="inlineStr">
        <is>
          <t>Tra cứu nguyên giá mua mới trên Mua sắm công để tính đơn giá Ca</t>
        </is>
      </c>
    </row>
    <row r="142">
      <c r="A142" s="1" t="n">
        <v>136</v>
      </c>
      <c r="B142" s="1" t="inlineStr">
        <is>
          <t>DC_136</t>
        </is>
      </c>
      <c r="C142" s="1" t="inlineStr">
        <is>
          <t>Đèn HCL</t>
        </is>
      </c>
      <c r="D142" s="1" t="inlineStr">
        <is>
          <t>cái</t>
        </is>
      </c>
      <c r="E142" s="24" t="n">
        <v>0.425</v>
      </c>
      <c r="F142" s="11" t="n">
        <v>729</v>
      </c>
      <c r="G142" s="11">
        <f>ROUND(E142*F142, 0)</f>
        <v/>
      </c>
      <c r="H142" s="1" t="inlineStr">
        <is>
          <t>Tra cứu nguyên giá mua mới trên Mua sắm công để tính đơn giá Ca</t>
        </is>
      </c>
    </row>
    <row r="143">
      <c r="A143" s="1" t="n">
        <v>137</v>
      </c>
      <c r="B143" s="1" t="inlineStr">
        <is>
          <t>DC_137</t>
        </is>
      </c>
      <c r="C143" s="1" t="inlineStr">
        <is>
          <t>Đèn Tungsten</t>
        </is>
      </c>
      <c r="D143" s="1" t="inlineStr">
        <is>
          <t>cái</t>
        </is>
      </c>
      <c r="E143" s="24" t="n">
        <v>1.1167</v>
      </c>
      <c r="F143" s="11" t="n">
        <v>729</v>
      </c>
      <c r="G143" s="11">
        <f>ROUND(E143*F143, 0)</f>
        <v/>
      </c>
      <c r="H143" s="1" t="inlineStr">
        <is>
          <t>Tra cứu nguyên giá mua mới trên Mua sắm công để tính đơn giá Ca</t>
        </is>
      </c>
    </row>
    <row r="144">
      <c r="A144" s="1" t="n">
        <v>138</v>
      </c>
      <c r="B144" s="1" t="inlineStr">
        <is>
          <t>DC_138</t>
        </is>
      </c>
      <c r="C144" s="1" t="inlineStr">
        <is>
          <t>Đèn neon 40w</t>
        </is>
      </c>
      <c r="D144" s="1" t="inlineStr">
        <is>
          <t>bộ</t>
        </is>
      </c>
      <c r="E144" s="24" t="n">
        <v>1.8167</v>
      </c>
      <c r="F144" s="11" t="n">
        <v>729</v>
      </c>
      <c r="G144" s="11">
        <f>ROUND(E144*F144, 0)</f>
        <v/>
      </c>
      <c r="H144" s="1" t="inlineStr">
        <is>
          <t>Tra cứu nguyên giá mua mới trên Mua sắm công để tính đơn giá Ca</t>
        </is>
      </c>
    </row>
    <row r="145">
      <c r="A145" s="1" t="n">
        <v>139</v>
      </c>
      <c r="B145" s="1" t="inlineStr">
        <is>
          <t>DC_139</t>
        </is>
      </c>
      <c r="C145" s="1" t="inlineStr">
        <is>
          <t>Đĩa cân</t>
        </is>
      </c>
      <c r="D145" s="1" t="inlineStr">
        <is>
          <t>cái</t>
        </is>
      </c>
      <c r="E145" s="24" t="n">
        <v>0.0867</v>
      </c>
      <c r="F145" s="11" t="n">
        <v>292</v>
      </c>
      <c r="G145" s="11">
        <f>ROUND(E145*F145, 0)</f>
        <v/>
      </c>
      <c r="H145" s="1" t="inlineStr">
        <is>
          <t>Tra cứu nguyên giá mua mới trên Mua sắm công để tính đơn giá Ca</t>
        </is>
      </c>
    </row>
    <row r="146">
      <c r="A146" s="1" t="n">
        <v>140</v>
      </c>
      <c r="B146" s="1" t="inlineStr">
        <is>
          <t>DC_140</t>
        </is>
      </c>
      <c r="C146" s="1" t="inlineStr">
        <is>
          <t>Đĩa thủy tinh</t>
        </is>
      </c>
      <c r="D146" s="1" t="inlineStr">
        <is>
          <t>cái</t>
        </is>
      </c>
      <c r="E146" s="24" t="n">
        <v>0.3333</v>
      </c>
      <c r="F146" s="11" t="n">
        <v>2917</v>
      </c>
      <c r="G146" s="11">
        <f>ROUND(E146*F146, 0)</f>
        <v/>
      </c>
      <c r="H146" s="1" t="inlineStr">
        <is>
          <t>Tra cứu nguyên giá mua mới trên Mua sắm công để tính đơn giá Ca</t>
        </is>
      </c>
    </row>
    <row r="147">
      <c r="A147" s="1" t="n">
        <v>141</v>
      </c>
      <c r="B147" s="1" t="inlineStr">
        <is>
          <t>DC_141</t>
        </is>
      </c>
      <c r="C147" s="1" t="inlineStr">
        <is>
          <t>Đũa thủy tinh</t>
        </is>
      </c>
      <c r="D147" s="1" t="inlineStr">
        <is>
          <t>cái</t>
        </is>
      </c>
      <c r="E147" s="24" t="n">
        <v>5.2667</v>
      </c>
      <c r="F147" s="11" t="n">
        <v>2917</v>
      </c>
      <c r="G147" s="11">
        <f>ROUND(E147*F147, 0)</f>
        <v/>
      </c>
      <c r="H147" s="1" t="inlineStr">
        <is>
          <t>Tra cứu nguyên giá mua mới trên Mua sắm công để tính đơn giá Ca</t>
        </is>
      </c>
    </row>
    <row r="148">
      <c r="A148" s="1" t="n">
        <v>142</v>
      </c>
      <c r="B148" s="1" t="inlineStr">
        <is>
          <t>DC_142</t>
        </is>
      </c>
      <c r="C148" s="1" t="inlineStr">
        <is>
          <t>Đũa thủy tinh</t>
        </is>
      </c>
      <c r="D148" s="1" t="inlineStr">
        <is>
          <t>cây</t>
        </is>
      </c>
      <c r="E148" s="24" t="n">
        <v>0.2333</v>
      </c>
      <c r="F148" s="11" t="n">
        <v>2917</v>
      </c>
      <c r="G148" s="11">
        <f>ROUND(E148*F148, 0)</f>
        <v/>
      </c>
      <c r="H148" s="1" t="inlineStr">
        <is>
          <t>Tra cứu nguyên giá mua mới trên Mua sắm công để tính đơn giá Ca</t>
        </is>
      </c>
    </row>
    <row r="149">
      <c r="A149" s="1" t="n">
        <v>143</v>
      </c>
      <c r="B149" s="1" t="inlineStr">
        <is>
          <t>DC_143</t>
        </is>
      </c>
      <c r="C149" s="1" t="inlineStr">
        <is>
          <t>Đầu cone 1ml</t>
        </is>
      </c>
      <c r="D149" s="1" t="inlineStr">
        <is>
          <t>cái</t>
        </is>
      </c>
      <c r="E149" s="24" t="n">
        <v>21.6</v>
      </c>
      <c r="F149" s="11" t="n">
        <v>17500</v>
      </c>
      <c r="G149" s="11">
        <f>ROUND(E149*F149, 0)</f>
        <v/>
      </c>
      <c r="H149" s="1" t="inlineStr">
        <is>
          <t>Tra cứu nguyên giá mua mới trên Mua sắm công để tính đơn giá Ca</t>
        </is>
      </c>
    </row>
    <row r="150">
      <c r="A150" s="1" t="n">
        <v>144</v>
      </c>
      <c r="B150" s="1" t="inlineStr">
        <is>
          <t>DC_144</t>
        </is>
      </c>
      <c r="C150" s="1" t="inlineStr">
        <is>
          <t>Đầu cone 5ml</t>
        </is>
      </c>
      <c r="D150" s="1" t="inlineStr">
        <is>
          <t>cái</t>
        </is>
      </c>
      <c r="E150" s="24" t="n">
        <v>9</v>
      </c>
      <c r="F150" s="11" t="n">
        <v>17500</v>
      </c>
      <c r="G150" s="11">
        <f>ROUND(E150*F150, 0)</f>
        <v/>
      </c>
      <c r="H150" s="1" t="inlineStr">
        <is>
          <t>Tra cứu nguyên giá mua mới trên Mua sắm công để tính đơn giá Ca</t>
        </is>
      </c>
    </row>
    <row r="151">
      <c r="A151" s="1" t="n">
        <v>145</v>
      </c>
      <c r="B151" s="1" t="inlineStr">
        <is>
          <t>DC_145</t>
        </is>
      </c>
      <c r="C151" s="1" t="inlineStr">
        <is>
          <t>Đầu cone 5ml</t>
        </is>
      </c>
      <c r="D151" s="1" t="inlineStr">
        <is>
          <t>Cái</t>
        </is>
      </c>
      <c r="E151" s="24" t="n">
        <v>1.8</v>
      </c>
      <c r="F151" s="11" t="n">
        <v>17500</v>
      </c>
      <c r="G151" s="11">
        <f>ROUND(E151*F151, 0)</f>
        <v/>
      </c>
      <c r="H151" s="1" t="inlineStr">
        <is>
          <t>Tra cứu nguyên giá mua mới trên Mua sắm công để tính đơn giá Ca</t>
        </is>
      </c>
    </row>
    <row r="152">
      <c r="A152" s="1" t="n">
        <v>146</v>
      </c>
      <c r="B152" s="1" t="inlineStr">
        <is>
          <t>DC_146</t>
        </is>
      </c>
      <c r="C152" s="1" t="inlineStr">
        <is>
          <t>Đầu lấy mẫu</t>
        </is>
      </c>
      <c r="D152" s="1" t="inlineStr">
        <is>
          <t>cái</t>
        </is>
      </c>
      <c r="E152" s="24" t="n">
        <v>0.52</v>
      </c>
      <c r="F152" s="11" t="n">
        <v>3500</v>
      </c>
      <c r="G152" s="11">
        <f>ROUND(E152*F152, 0)</f>
        <v/>
      </c>
      <c r="H152" s="1" t="inlineStr">
        <is>
          <t>Tra cứu nguyên giá mua mới trên Mua sắm công để tính đơn giá Ca</t>
        </is>
      </c>
    </row>
    <row r="153">
      <c r="A153" s="1" t="n">
        <v>147</v>
      </c>
      <c r="B153" s="1" t="inlineStr">
        <is>
          <t>DC_147</t>
        </is>
      </c>
      <c r="C153" s="1" t="inlineStr">
        <is>
          <t>Đầu điện cực</t>
        </is>
      </c>
      <c r="D153" s="1" t="inlineStr">
        <is>
          <t>cái</t>
        </is>
      </c>
      <c r="E153" s="24" t="n">
        <v>0.2333</v>
      </c>
      <c r="F153" s="11" t="n">
        <v>2917</v>
      </c>
      <c r="G153" s="11">
        <f>ROUND(E153*F153, 0)</f>
        <v/>
      </c>
      <c r="H153" s="1" t="inlineStr">
        <is>
          <t>Tra cứu nguyên giá mua mới trên Mua sắm công để tính đơn giá Ca</t>
        </is>
      </c>
    </row>
    <row r="154">
      <c r="A154" s="1" t="n">
        <v>148</v>
      </c>
      <c r="B154" s="1" t="inlineStr">
        <is>
          <t>DC_148</t>
        </is>
      </c>
      <c r="C154" s="1" t="inlineStr">
        <is>
          <t>Đầu đo</t>
        </is>
      </c>
      <c r="D154" s="1" t="inlineStr">
        <is>
          <t>cái</t>
        </is>
      </c>
      <c r="E154" s="24" t="n">
        <v>1.2</v>
      </c>
      <c r="F154" s="11" t="n">
        <v>2917</v>
      </c>
      <c r="G154" s="11">
        <f>ROUND(E154*F154, 0)</f>
        <v/>
      </c>
      <c r="H154" s="1" t="inlineStr">
        <is>
          <t>Tra cứu nguyên giá mua mới trên Mua sắm công để tính đơn giá Ca</t>
        </is>
      </c>
    </row>
    <row r="155">
      <c r="A155" s="1" t="n">
        <v>149</v>
      </c>
      <c r="B155" s="1" t="inlineStr">
        <is>
          <t>DC_149</t>
        </is>
      </c>
      <c r="C155" s="1" t="inlineStr">
        <is>
          <t>Ống chứa mẫu 15ml (có nắp)</t>
        </is>
      </c>
      <c r="D155" s="1" t="inlineStr">
        <is>
          <t>cái</t>
        </is>
      </c>
      <c r="E155" s="24" t="n">
        <v>1.1667</v>
      </c>
      <c r="F155" s="11" t="n">
        <v>1500</v>
      </c>
      <c r="G155" s="11">
        <f>ROUND(E155*F155, 0)</f>
        <v/>
      </c>
      <c r="H155" s="1" t="inlineStr">
        <is>
          <t>Tra cứu nguyên giá mua mới trên Mua sắm công để tính đơn giá Ca</t>
        </is>
      </c>
    </row>
    <row r="156">
      <c r="A156" s="1" t="n">
        <v>150</v>
      </c>
      <c r="B156" s="1" t="inlineStr">
        <is>
          <t>DC_150</t>
        </is>
      </c>
      <c r="C156" s="1" t="inlineStr">
        <is>
          <t>Ống hút</t>
        </is>
      </c>
      <c r="D156" s="1" t="inlineStr">
        <is>
          <t>cái</t>
        </is>
      </c>
      <c r="E156" s="24" t="n">
        <v>2.3333</v>
      </c>
      <c r="F156" s="11" t="n">
        <v>3000</v>
      </c>
      <c r="G156" s="11">
        <f>ROUND(E156*F156, 0)</f>
        <v/>
      </c>
      <c r="H156" s="1" t="inlineStr">
        <is>
          <t>Tra cứu nguyên giá mua mới trên Mua sắm công để tính đơn giá Ca</t>
        </is>
      </c>
    </row>
    <row r="157">
      <c r="A157" s="1" t="n">
        <v>151</v>
      </c>
      <c r="B157" s="1" t="inlineStr">
        <is>
          <t>DC_151</t>
        </is>
      </c>
      <c r="C157" s="1" t="inlineStr">
        <is>
          <t>Ống hấp thụ</t>
        </is>
      </c>
      <c r="D157" s="1" t="inlineStr">
        <is>
          <t>cái</t>
        </is>
      </c>
      <c r="E157" s="24" t="n">
        <v>0.3333</v>
      </c>
      <c r="F157" s="11" t="n">
        <v>1500</v>
      </c>
      <c r="G157" s="11">
        <f>ROUND(E157*F157, 0)</f>
        <v/>
      </c>
      <c r="H157" s="1" t="inlineStr">
        <is>
          <t>Tra cứu nguyên giá mua mới trên Mua sắm công để tính đơn giá Ca</t>
        </is>
      </c>
    </row>
    <row r="158">
      <c r="A158" s="1" t="n">
        <v>152</v>
      </c>
      <c r="B158" s="1" t="inlineStr">
        <is>
          <t>DC_152</t>
        </is>
      </c>
      <c r="C158" s="1" t="inlineStr">
        <is>
          <t>Ống lấy mẫu</t>
        </is>
      </c>
      <c r="D158" s="1" t="inlineStr">
        <is>
          <t>cái</t>
        </is>
      </c>
      <c r="E158" s="24" t="n">
        <v>0.0333</v>
      </c>
      <c r="F158" s="11" t="n">
        <v>500</v>
      </c>
      <c r="G158" s="11">
        <f>ROUND(E158*F158, 0)</f>
        <v/>
      </c>
      <c r="H158" s="1" t="inlineStr">
        <is>
          <t>Tra cứu nguyên giá mua mới trên Mua sắm công để tính đơn giá Ca</t>
        </is>
      </c>
    </row>
    <row r="159">
      <c r="A159" s="1" t="n">
        <v>153</v>
      </c>
      <c r="B159" s="1" t="inlineStr">
        <is>
          <t>DC_153</t>
        </is>
      </c>
      <c r="C159" s="1" t="inlineStr">
        <is>
          <t>Ống nghiệm</t>
        </is>
      </c>
      <c r="D159" s="1" t="inlineStr">
        <is>
          <t>cái</t>
        </is>
      </c>
      <c r="E159" s="24" t="n">
        <v>0.3333</v>
      </c>
      <c r="F159" s="11" t="n">
        <v>1500</v>
      </c>
      <c r="G159" s="11">
        <f>ROUND(E159*F159, 0)</f>
        <v/>
      </c>
      <c r="H159" s="1" t="inlineStr">
        <is>
          <t>Tra cứu nguyên giá mua mới trên Mua sắm công để tính đơn giá Ca</t>
        </is>
      </c>
    </row>
    <row r="160">
      <c r="A160" s="1" t="n">
        <v>154</v>
      </c>
      <c r="B160" s="1" t="inlineStr">
        <is>
          <t>DC_154</t>
        </is>
      </c>
      <c r="C160" s="1" t="inlineStr">
        <is>
          <t>Ống phá mẫu có nắp kín</t>
        </is>
      </c>
      <c r="D160" s="1" t="inlineStr">
        <is>
          <t>cái</t>
        </is>
      </c>
      <c r="E160" s="24" t="n">
        <v>0.3</v>
      </c>
      <c r="F160" s="11" t="n">
        <v>1500</v>
      </c>
      <c r="G160" s="11">
        <f>ROUND(E160*F160, 0)</f>
        <v/>
      </c>
      <c r="H160" s="1" t="inlineStr">
        <is>
          <t>Tra cứu nguyên giá mua mới trên Mua sắm công để tính đơn giá Ca</t>
        </is>
      </c>
    </row>
    <row r="161">
      <c r="A161" s="1" t="n">
        <v>155</v>
      </c>
      <c r="B161" s="1" t="inlineStr">
        <is>
          <t>DC_155</t>
        </is>
      </c>
      <c r="C161" s="1" t="inlineStr">
        <is>
          <t>Ống thép không rỉ</t>
        </is>
      </c>
      <c r="D161" s="1" t="inlineStr">
        <is>
          <t>cái</t>
        </is>
      </c>
      <c r="E161" s="24" t="n">
        <v>0.0833</v>
      </c>
      <c r="F161" s="11" t="n">
        <v>750</v>
      </c>
      <c r="G161" s="11">
        <f>ROUND(E161*F161, 0)</f>
        <v/>
      </c>
      <c r="H161" s="1" t="inlineStr">
        <is>
          <t>Tra cứu nguyên giá mua mới trên Mua sắm công để tính đơn giá Ca</t>
        </is>
      </c>
    </row>
    <row r="162">
      <c r="A162" s="1" t="n">
        <v>156</v>
      </c>
      <c r="B162" s="1" t="inlineStr">
        <is>
          <t>DC_156</t>
        </is>
      </c>
      <c r="C162" s="1" t="inlineStr">
        <is>
          <t>Ống đong 100ml</t>
        </is>
      </c>
      <c r="D162" s="1" t="inlineStr">
        <is>
          <t>cái</t>
        </is>
      </c>
      <c r="E162" s="24" t="n">
        <v>0.2333</v>
      </c>
      <c r="F162" s="11" t="n">
        <v>1500</v>
      </c>
      <c r="G162" s="11">
        <f>ROUND(E162*F162, 0)</f>
        <v/>
      </c>
      <c r="H162" s="1" t="inlineStr">
        <is>
          <t>Tra cứu nguyên giá mua mới trên Mua sắm công để tính đơn giá Ca</t>
        </is>
      </c>
    </row>
    <row r="163">
      <c r="A163" s="1" t="n">
        <v>157</v>
      </c>
      <c r="B163" s="1" t="inlineStr">
        <is>
          <t>DC_157</t>
        </is>
      </c>
      <c r="C163" s="1" t="inlineStr">
        <is>
          <t>Ống đong 250ml</t>
        </is>
      </c>
      <c r="D163" s="1" t="inlineStr">
        <is>
          <t>cái</t>
        </is>
      </c>
      <c r="E163" s="24" t="n">
        <v>0.5667</v>
      </c>
      <c r="F163" s="11" t="n">
        <v>1500</v>
      </c>
      <c r="G163" s="11">
        <f>ROUND(E163*F163, 0)</f>
        <v/>
      </c>
      <c r="H163" s="1" t="inlineStr">
        <is>
          <t>Tra cứu nguyên giá mua mới trên Mua sắm công để tính đơn giá Ca</t>
        </is>
      </c>
    </row>
    <row r="164">
      <c r="A164" s="1" t="n">
        <v>158</v>
      </c>
      <c r="B164" s="1" t="inlineStr">
        <is>
          <t>DC_158</t>
        </is>
      </c>
      <c r="C164" s="1" t="inlineStr">
        <is>
          <t>Ổ cắm điện có cầu chì</t>
        </is>
      </c>
      <c r="D164" s="1" t="inlineStr">
        <is>
          <t>cái</t>
        </is>
      </c>
      <c r="E164" s="24" t="n">
        <v>0.1389</v>
      </c>
      <c r="F164" s="11" t="n">
        <v>486</v>
      </c>
      <c r="G164" s="11">
        <f>ROUND(E164*F164, 0)</f>
        <v/>
      </c>
      <c r="H164" s="1" t="inlineStr">
        <is>
          <t>Tra cứu nguyên giá mua mới trên Mua sắm công để tính đơn giá Ca</t>
        </is>
      </c>
    </row>
    <row r="165">
      <c r="A165" s="1" t="n">
        <v>159</v>
      </c>
      <c r="B165" s="1" t="inlineStr">
        <is>
          <t>CCDC_PHU</t>
        </is>
      </c>
      <c r="C165" s="1" t="inlineStr">
        <is>
          <t>Dụng cụ phụ khác (10% CCDC chính)</t>
        </is>
      </c>
      <c r="D165" s="1" t="inlineStr">
        <is>
          <t>%</t>
        </is>
      </c>
      <c r="E165" s="1" t="inlineStr">
        <is>
          <t>10.0%</t>
        </is>
      </c>
      <c r="F165" s="11" t="inlineStr"/>
      <c r="G165" s="11">
        <f>ROUND(SUM(G7:G164)*'Hệ số'!$C$12, 0)</f>
        <v/>
      </c>
      <c r="H165" s="1" t="inlineStr">
        <is>
          <t>10% theo Khoản 4.2 Thông tư 20</t>
        </is>
      </c>
    </row>
    <row r="166">
      <c r="A166" s="25" t="inlineStr"/>
      <c r="B166" s="25" t="inlineStr"/>
      <c r="C166" s="25" t="inlineStr">
        <is>
          <t>CỘNG CHI PHÍ CÔNG CỤ DỤNG CỤ:</t>
        </is>
      </c>
      <c r="D166" s="25" t="inlineStr"/>
      <c r="E166" s="25" t="inlineStr"/>
      <c r="F166" s="26" t="inlineStr"/>
      <c r="G166" s="26">
        <f>SUM(G7:G165)</f>
        <v/>
      </c>
      <c r="H166" s="25" t="inlineStr">
        <is>
          <t>Tổng chi phí CCDC (DC)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MÁY THI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số 45/2013/TT-BTC &amp; Thông tư 20/2017/TT-BTNMT)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thiết bị đo chuyên dụng / Năng lượng</t>
        </is>
      </c>
      <c r="D6" s="8" t="inlineStr">
        <is>
          <t>Đơn vị</t>
        </is>
      </c>
      <c r="E6" s="8" t="inlineStr">
        <is>
          <t>Khối lượng tổng (ca / kWh)</t>
        </is>
      </c>
      <c r="F6" s="8" t="inlineStr">
        <is>
          <t>Đơn giá 1 ca máy / 1 kWh</t>
        </is>
      </c>
      <c r="G6" s="8" t="inlineStr">
        <is>
          <t>Thành tiền máy (VNĐ)</t>
        </is>
      </c>
      <c r="H6" s="8" t="inlineStr">
        <is>
          <t>Cơ sở xác định đơn giá</t>
        </is>
      </c>
    </row>
    <row r="7">
      <c r="A7" s="1" t="n">
        <v>1</v>
      </c>
      <c r="B7" s="1" t="inlineStr">
        <is>
          <t>TB_001</t>
        </is>
      </c>
      <c r="C7" s="1" t="inlineStr">
        <is>
          <t>Bơm chân không</t>
        </is>
      </c>
      <c r="D7" s="1" t="inlineStr">
        <is>
          <t>cái</t>
        </is>
      </c>
      <c r="E7" s="24" t="n">
        <v>4.8</v>
      </c>
      <c r="F7" s="11" t="n">
        <v>88800</v>
      </c>
      <c r="G7" s="11">
        <f>ROUND(E7*F7, 0)</f>
        <v/>
      </c>
      <c r="H7" s="1" t="inlineStr">
        <is>
          <t>Tra cứu nguyên giá trên Mua sắm công để tính khấu hao ca máy theo TT 45/2013 và TT 20/2017</t>
        </is>
      </c>
    </row>
    <row r="8">
      <c r="A8" s="1" t="n">
        <v>2</v>
      </c>
      <c r="B8" s="1" t="inlineStr">
        <is>
          <t>TB_002</t>
        </is>
      </c>
      <c r="C8" s="1" t="inlineStr">
        <is>
          <t>Bộ chuẩn lưu lượng</t>
        </is>
      </c>
      <c r="D8" s="1" t="inlineStr">
        <is>
          <t>bộ</t>
        </is>
      </c>
      <c r="E8" s="24" t="n">
        <v>2.4</v>
      </c>
      <c r="F8" s="11" t="n">
        <v>152400</v>
      </c>
      <c r="G8" s="11">
        <f>ROUND(E8*F8, 0)</f>
        <v/>
      </c>
      <c r="H8" s="1" t="inlineStr">
        <is>
          <t>Tra cứu nguyên giá trên Mua sắm công để tính khấu hao ca máy theo TT 45/2013 và TT 20/2017</t>
        </is>
      </c>
    </row>
    <row r="9">
      <c r="A9" s="1" t="n">
        <v>3</v>
      </c>
      <c r="B9" s="1" t="inlineStr">
        <is>
          <t>TB_003</t>
        </is>
      </c>
      <c r="C9" s="1" t="inlineStr">
        <is>
          <t>Bộ lưu giữ số liệu (Data logger)</t>
        </is>
      </c>
      <c r="D9" s="1" t="inlineStr">
        <is>
          <t>bộ</t>
        </is>
      </c>
      <c r="E9" s="24" t="n">
        <v>5</v>
      </c>
      <c r="F9" s="11" t="n">
        <v>160800</v>
      </c>
      <c r="G9" s="11">
        <f>ROUND(E9*F9, 0)</f>
        <v/>
      </c>
      <c r="H9" s="1" t="inlineStr">
        <is>
          <t>Tra cứu nguyên giá trên Mua sắm công để tính khấu hao ca máy theo TT 45/2013 và TT 20/2017</t>
        </is>
      </c>
    </row>
    <row r="10">
      <c r="A10" s="1" t="n">
        <v>4</v>
      </c>
      <c r="B10" s="1" t="inlineStr">
        <is>
          <t>TB_004</t>
        </is>
      </c>
      <c r="C10" s="1" t="inlineStr">
        <is>
          <t>Bộ lấy mẫu khí</t>
        </is>
      </c>
      <c r="D10" s="1" t="inlineStr">
        <is>
          <t>bộ</t>
        </is>
      </c>
      <c r="E10" s="24" t="n">
        <v>4</v>
      </c>
      <c r="F10" s="11" t="n">
        <v>448800</v>
      </c>
      <c r="G10" s="11">
        <f>ROUND(E10*F10, 0)</f>
        <v/>
      </c>
      <c r="H10" s="1" t="inlineStr">
        <is>
          <t>Tra cứu nguyên giá trên Mua sắm công để tính khấu hao ca máy theo TT 45/2013 và TT 20/2017</t>
        </is>
      </c>
    </row>
    <row r="11">
      <c r="A11" s="1" t="n">
        <v>5</v>
      </c>
      <c r="B11" s="1" t="inlineStr">
        <is>
          <t>TB_005</t>
        </is>
      </c>
      <c r="C11" s="1" t="inlineStr">
        <is>
          <t>Bộ lọc hút chân không</t>
        </is>
      </c>
      <c r="D11" s="1" t="inlineStr">
        <is>
          <t>bộ</t>
        </is>
      </c>
      <c r="E11" s="24" t="n">
        <v>1.6</v>
      </c>
      <c r="F11" s="11" t="n">
        <v>79560</v>
      </c>
      <c r="G11" s="11">
        <f>ROUND(E11*F11, 0)</f>
        <v/>
      </c>
      <c r="H11" s="1" t="inlineStr">
        <is>
          <t>Tra cứu nguyên giá trên Mua sắm công để tính khấu hao ca máy theo TT 45/2013 và TT 20/2017</t>
        </is>
      </c>
    </row>
    <row r="12">
      <c r="A12" s="1" t="n">
        <v>6</v>
      </c>
      <c r="B12" s="1" t="inlineStr">
        <is>
          <t>TB_006</t>
        </is>
      </c>
      <c r="C12" s="1" t="inlineStr">
        <is>
          <t>Bộ phân tích thủy ngân và asen MHS hoặc FIAS</t>
        </is>
      </c>
      <c r="D12" s="1" t="inlineStr">
        <is>
          <t>bộ</t>
        </is>
      </c>
      <c r="E12" s="24" t="n">
        <v>36.8</v>
      </c>
      <c r="F12" s="11" t="n">
        <v>82080</v>
      </c>
      <c r="G12" s="11">
        <f>ROUND(E12*F12, 0)</f>
        <v/>
      </c>
      <c r="H12" s="1" t="inlineStr">
        <is>
          <t>Tra cứu nguyên giá trên Mua sắm công để tính khấu hao ca máy theo TT 45/2013 và TT 20/2017</t>
        </is>
      </c>
    </row>
    <row r="13">
      <c r="A13" s="1" t="n">
        <v>7</v>
      </c>
      <c r="B13" s="1" t="inlineStr">
        <is>
          <t>TB_007</t>
        </is>
      </c>
      <c r="C13" s="1" t="inlineStr">
        <is>
          <t>Bộ tạo khí 0 (zezo)</t>
        </is>
      </c>
      <c r="D13" s="1" t="inlineStr">
        <is>
          <t>bộ</t>
        </is>
      </c>
      <c r="E13" s="24" t="n">
        <v>5</v>
      </c>
      <c r="F13" s="11" t="n">
        <v>144000</v>
      </c>
      <c r="G13" s="11">
        <f>ROUND(E13*F13, 0)</f>
        <v/>
      </c>
      <c r="H13" s="1" t="inlineStr">
        <is>
          <t>Tra cứu nguyên giá trên Mua sắm công để tính khấu hao ca máy theo TT 45/2013 và TT 20/2017</t>
        </is>
      </c>
    </row>
    <row r="14">
      <c r="A14" s="1" t="n">
        <v>8</v>
      </c>
      <c r="B14" s="1" t="inlineStr">
        <is>
          <t>TB_008</t>
        </is>
      </c>
      <c r="C14" s="1" t="inlineStr">
        <is>
          <t>Cân phân tích</t>
        </is>
      </c>
      <c r="D14" s="1" t="inlineStr">
        <is>
          <t>cái</t>
        </is>
      </c>
      <c r="E14" s="24" t="n">
        <v>152</v>
      </c>
      <c r="F14" s="11" t="n">
        <v>41808</v>
      </c>
      <c r="G14" s="11">
        <f>ROUND(E14*F14, 0)</f>
        <v/>
      </c>
      <c r="H14" s="1" t="inlineStr">
        <is>
          <t>Tra cứu nguyên giá trên Mua sắm công để tính khấu hao ca máy theo TT 45/2013 và TT 20/2017</t>
        </is>
      </c>
    </row>
    <row r="15">
      <c r="A15" s="1" t="n">
        <v>9</v>
      </c>
      <c r="B15" s="1" t="inlineStr">
        <is>
          <t>TB_009</t>
        </is>
      </c>
      <c r="C15" s="1" t="inlineStr">
        <is>
          <t>Hệ thống nạp mẫu khí</t>
        </is>
      </c>
      <c r="D15" s="1" t="inlineStr">
        <is>
          <t>bộ</t>
        </is>
      </c>
      <c r="E15" s="24" t="n">
        <v>7.2</v>
      </c>
      <c r="F15" s="11" t="n">
        <v>74520</v>
      </c>
      <c r="G15" s="11">
        <f>ROUND(E15*F15, 0)</f>
        <v/>
      </c>
      <c r="H15" s="1" t="inlineStr">
        <is>
          <t>Tra cứu nguyên giá trên Mua sắm công để tính khấu hao ca máy theo TT 45/2013 và TT 20/2017</t>
        </is>
      </c>
    </row>
    <row r="16">
      <c r="A16" s="1" t="n">
        <v>10</v>
      </c>
      <c r="B16" s="1" t="inlineStr">
        <is>
          <t>TB_010</t>
        </is>
      </c>
      <c r="C16" s="1" t="inlineStr">
        <is>
          <t>LAmax</t>
        </is>
      </c>
      <c r="D16" s="1" t="inlineStr">
        <is>
          <t>Như mục 2TO2a</t>
        </is>
      </c>
      <c r="E16" s="24" t="n">
        <v>0</v>
      </c>
      <c r="F16" s="11" t="n">
        <v>72000</v>
      </c>
      <c r="G16" s="11">
        <f>ROUND(E16*F16, 0)</f>
        <v/>
      </c>
      <c r="H16" s="1" t="inlineStr">
        <is>
          <t>Tra cứu nguyên giá trên Mua sắm công để tính khấu hao ca máy theo TT 45/2013 và TT 20/2017</t>
        </is>
      </c>
    </row>
    <row r="17">
      <c r="A17" s="1" t="n">
        <v>11</v>
      </c>
      <c r="B17" s="1" t="inlineStr">
        <is>
          <t>TB_011</t>
        </is>
      </c>
      <c r="C17" s="1" t="inlineStr">
        <is>
          <t>Lò chuyển hóa</t>
        </is>
      </c>
      <c r="D17" s="1" t="inlineStr">
        <is>
          <t>bộ</t>
        </is>
      </c>
      <c r="E17" s="24" t="n">
        <v>7.2</v>
      </c>
      <c r="F17" s="11" t="n">
        <v>77040</v>
      </c>
      <c r="G17" s="11">
        <f>ROUND(E17*F17, 0)</f>
        <v/>
      </c>
      <c r="H17" s="1" t="inlineStr">
        <is>
          <t>Tra cứu nguyên giá trên Mua sắm công để tính khấu hao ca máy theo TT 45/2013 và TT 20/2017</t>
        </is>
      </c>
    </row>
    <row r="18">
      <c r="A18" s="1" t="n">
        <v>12</v>
      </c>
      <c r="B18" s="1" t="inlineStr">
        <is>
          <t>TB_012</t>
        </is>
      </c>
      <c r="C18" s="1" t="inlineStr">
        <is>
          <t>Lò vi sóng</t>
        </is>
      </c>
      <c r="D18" s="1" t="inlineStr">
        <is>
          <t>cái</t>
        </is>
      </c>
      <c r="E18" s="24" t="n">
        <v>7.44</v>
      </c>
      <c r="F18" s="11" t="n">
        <v>73680</v>
      </c>
      <c r="G18" s="11">
        <f>ROUND(E18*F18, 0)</f>
        <v/>
      </c>
      <c r="H18" s="1" t="inlineStr">
        <is>
          <t>Tra cứu nguyên giá trên Mua sắm công để tính khấu hao ca máy theo TT 45/2013 và TT 20/2017</t>
        </is>
      </c>
    </row>
    <row r="19">
      <c r="A19" s="1" t="n">
        <v>13</v>
      </c>
      <c r="B19" s="1" t="inlineStr">
        <is>
          <t>TB_013</t>
        </is>
      </c>
      <c r="C19" s="1" t="inlineStr">
        <is>
          <t>Modul phân tích khí CO</t>
        </is>
      </c>
      <c r="D19" s="1" t="inlineStr">
        <is>
          <t>cái</t>
        </is>
      </c>
      <c r="E19" s="24" t="n">
        <v>5</v>
      </c>
      <c r="F19" s="11" t="n">
        <v>144000</v>
      </c>
      <c r="G19" s="11">
        <f>ROUND(E19*F19, 0)</f>
        <v/>
      </c>
      <c r="H19" s="1" t="inlineStr">
        <is>
          <t>Tra cứu nguyên giá trên Mua sắm công để tính khấu hao ca máy theo TT 45/2013 và TT 20/2017</t>
        </is>
      </c>
    </row>
    <row r="20">
      <c r="A20" s="1" t="n">
        <v>14</v>
      </c>
      <c r="B20" s="1" t="inlineStr">
        <is>
          <t>TB_014</t>
        </is>
      </c>
      <c r="C20" s="1" t="inlineStr">
        <is>
          <t>Máy chưng cất đạm tự động</t>
        </is>
      </c>
      <c r="D20" s="1" t="inlineStr">
        <is>
          <t>bộ</t>
        </is>
      </c>
      <c r="E20" s="24" t="n">
        <v>2.4</v>
      </c>
      <c r="F20" s="11" t="n">
        <v>81240</v>
      </c>
      <c r="G20" s="11">
        <f>ROUND(E20*F20, 0)</f>
        <v/>
      </c>
      <c r="H20" s="1" t="inlineStr">
        <is>
          <t>Tra cứu nguyên giá trên Mua sắm công để tính khấu hao ca máy theo TT 45/2013 và TT 20/2017</t>
        </is>
      </c>
    </row>
    <row r="21">
      <c r="A21" s="1" t="n">
        <v>15</v>
      </c>
      <c r="B21" s="1" t="inlineStr">
        <is>
          <t>TB_015</t>
        </is>
      </c>
      <c r="C21" s="1" t="inlineStr">
        <is>
          <t>Máy cất quay chân không</t>
        </is>
      </c>
      <c r="D21" s="1" t="inlineStr">
        <is>
          <t>bộ</t>
        </is>
      </c>
      <c r="E21" s="24" t="n">
        <v>2.8</v>
      </c>
      <c r="F21" s="11" t="n">
        <v>82920</v>
      </c>
      <c r="G21" s="11">
        <f>ROUND(E21*F21, 0)</f>
        <v/>
      </c>
      <c r="H21" s="1" t="inlineStr">
        <is>
          <t>Tra cứu nguyên giá trên Mua sắm công để tính khấu hao ca máy theo TT 45/2013 và TT 20/2017</t>
        </is>
      </c>
    </row>
    <row r="22">
      <c r="A22" s="1" t="n">
        <v>16</v>
      </c>
      <c r="B22" s="1" t="inlineStr">
        <is>
          <t>TB_016</t>
        </is>
      </c>
      <c r="C22" s="1" t="inlineStr">
        <is>
          <t>Máy khuấy từ</t>
        </is>
      </c>
      <c r="D22" s="1" t="inlineStr">
        <is>
          <t>cái</t>
        </is>
      </c>
      <c r="E22" s="24" t="n">
        <v>4.72</v>
      </c>
      <c r="F22" s="11" t="n">
        <v>144000</v>
      </c>
      <c r="G22" s="11">
        <f>ROUND(E22*F22, 0)</f>
        <v/>
      </c>
      <c r="H22" s="1" t="inlineStr">
        <is>
          <t>Tra cứu nguyên giá trên Mua sắm công để tính khấu hao ca máy theo TT 45/2013 và TT 20/2017</t>
        </is>
      </c>
    </row>
    <row r="23">
      <c r="A23" s="1" t="n">
        <v>17</v>
      </c>
      <c r="B23" s="1" t="inlineStr">
        <is>
          <t>TB_017</t>
        </is>
      </c>
      <c r="C23" s="1" t="inlineStr">
        <is>
          <t>Máy lắc xoay tròn</t>
        </is>
      </c>
      <c r="D23" s="1" t="inlineStr">
        <is>
          <t>bộ</t>
        </is>
      </c>
      <c r="E23" s="24" t="n">
        <v>20</v>
      </c>
      <c r="F23" s="11" t="n">
        <v>77040</v>
      </c>
      <c r="G23" s="11">
        <f>ROUND(E23*F23, 0)</f>
        <v/>
      </c>
      <c r="H23" s="1" t="inlineStr">
        <is>
          <t>Tra cứu nguyên giá trên Mua sắm công để tính khấu hao ca máy theo TT 45/2013 và TT 20/2017</t>
        </is>
      </c>
    </row>
    <row r="24">
      <c r="A24" s="1" t="n">
        <v>18</v>
      </c>
      <c r="B24" s="1" t="inlineStr">
        <is>
          <t>TB_018</t>
        </is>
      </c>
      <c r="C24" s="1" t="inlineStr">
        <is>
          <t>Máy lọc chân không</t>
        </is>
      </c>
      <c r="D24" s="1" t="inlineStr">
        <is>
          <t>bộ</t>
        </is>
      </c>
      <c r="E24" s="24" t="n">
        <v>1.8</v>
      </c>
      <c r="F24" s="11" t="n">
        <v>79560</v>
      </c>
      <c r="G24" s="11">
        <f>ROUND(E24*F24, 0)</f>
        <v/>
      </c>
      <c r="H24" s="1" t="inlineStr">
        <is>
          <t>Tra cứu nguyên giá trên Mua sắm công để tính khấu hao ca máy theo TT 45/2013 và TT 20/2017</t>
        </is>
      </c>
    </row>
    <row r="25">
      <c r="A25" s="1" t="n">
        <v>19</v>
      </c>
      <c r="B25" s="1" t="inlineStr">
        <is>
          <t>TB_019</t>
        </is>
      </c>
      <c r="C25" s="1" t="inlineStr">
        <is>
          <t>Máy phát điện 15 KVA 220V</t>
        </is>
      </c>
      <c r="D25" s="1" t="inlineStr">
        <is>
          <t>cái</t>
        </is>
      </c>
      <c r="E25" s="24" t="n">
        <v>6.2</v>
      </c>
      <c r="F25" s="11" t="n">
        <v>144000</v>
      </c>
      <c r="G25" s="11">
        <f>ROUND(E25*F25, 0)</f>
        <v/>
      </c>
      <c r="H25" s="1" t="inlineStr">
        <is>
          <t>Tra cứu nguyên giá trên Mua sắm công để tính khấu hao ca máy theo TT 45/2013 và TT 20/2017</t>
        </is>
      </c>
    </row>
    <row r="26">
      <c r="A26" s="1" t="n">
        <v>20</v>
      </c>
      <c r="B26" s="1" t="inlineStr">
        <is>
          <t>TB_020</t>
        </is>
      </c>
      <c r="C26" s="1" t="inlineStr">
        <is>
          <t>Máy phân tích quang phổ AAS</t>
        </is>
      </c>
      <c r="D26" s="1" t="inlineStr">
        <is>
          <t>cái</t>
        </is>
      </c>
      <c r="E26" s="24" t="n">
        <v>7.2</v>
      </c>
      <c r="F26" s="11" t="n">
        <v>362400</v>
      </c>
      <c r="G26" s="11">
        <f>ROUND(E26*F26, 0)</f>
        <v/>
      </c>
      <c r="H26" s="1" t="inlineStr">
        <is>
          <t>Tra cứu nguyên giá trên Mua sắm công để tính khấu hao ca máy theo TT 45/2013 và TT 20/2017</t>
        </is>
      </c>
    </row>
    <row r="27">
      <c r="A27" s="1" t="n">
        <v>21</v>
      </c>
      <c r="B27" s="1" t="inlineStr">
        <is>
          <t>TB_021</t>
        </is>
      </c>
      <c r="C27" s="1" t="inlineStr">
        <is>
          <t>Máy phân tích quang phổ AAS</t>
        </is>
      </c>
      <c r="D27" s="1" t="inlineStr">
        <is>
          <t>bộ</t>
        </is>
      </c>
      <c r="E27" s="24" t="n">
        <v>22</v>
      </c>
      <c r="F27" s="11" t="n">
        <v>362400</v>
      </c>
      <c r="G27" s="11">
        <f>ROUND(E27*F27, 0)</f>
        <v/>
      </c>
      <c r="H27" s="1" t="inlineStr">
        <is>
          <t>Tra cứu nguyên giá trên Mua sắm công để tính khấu hao ca máy theo TT 45/2013 và TT 20/2017</t>
        </is>
      </c>
    </row>
    <row r="28">
      <c r="A28" s="1" t="n">
        <v>22</v>
      </c>
      <c r="B28" s="1" t="inlineStr">
        <is>
          <t>TB_022</t>
        </is>
      </c>
      <c r="C28" s="1" t="inlineStr">
        <is>
          <t>Máy phân tích quang phổ AAS hoặc cực phổ</t>
        </is>
      </c>
      <c r="D28" s="1" t="inlineStr">
        <is>
          <t>bộ</t>
        </is>
      </c>
      <c r="E28" s="24" t="n">
        <v>22</v>
      </c>
      <c r="F28" s="11" t="n">
        <v>362400</v>
      </c>
      <c r="G28" s="11">
        <f>ROUND(E28*F28, 0)</f>
        <v/>
      </c>
      <c r="H28" s="1" t="inlineStr">
        <is>
          <t>Tra cứu nguyên giá trên Mua sắm công để tính khấu hao ca máy theo TT 45/2013 và TT 20/2017</t>
        </is>
      </c>
    </row>
    <row r="29">
      <c r="A29" s="1" t="n">
        <v>23</v>
      </c>
      <c r="B29" s="1" t="inlineStr">
        <is>
          <t>TB_023</t>
        </is>
      </c>
      <c r="C29" s="1" t="inlineStr">
        <is>
          <t>Máy phân tích sắc ký GC</t>
        </is>
      </c>
      <c r="D29" s="1" t="inlineStr">
        <is>
          <t>bộ</t>
        </is>
      </c>
      <c r="E29" s="24" t="n">
        <v>5</v>
      </c>
      <c r="F29" s="11" t="n">
        <v>866520</v>
      </c>
      <c r="G29" s="11">
        <f>ROUND(E29*F29, 0)</f>
        <v/>
      </c>
      <c r="H29" s="1" t="inlineStr">
        <is>
          <t>Tra cứu nguyên giá trên Mua sắm công để tính khấu hao ca máy theo TT 45/2013 và TT 20/2017</t>
        </is>
      </c>
    </row>
    <row r="30">
      <c r="A30" s="1" t="n">
        <v>24</v>
      </c>
      <c r="B30" s="1" t="inlineStr">
        <is>
          <t>TB_024</t>
        </is>
      </c>
      <c r="C30" s="1" t="inlineStr">
        <is>
          <t>Máy quang phổ UV-VIS</t>
        </is>
      </c>
      <c r="D30" s="1" t="inlineStr">
        <is>
          <t>cái</t>
        </is>
      </c>
      <c r="E30" s="24" t="n">
        <v>12.8</v>
      </c>
      <c r="F30" s="11" t="n">
        <v>321240</v>
      </c>
      <c r="G30" s="11">
        <f>ROUND(E30*F30, 0)</f>
        <v/>
      </c>
      <c r="H30" s="1" t="inlineStr">
        <is>
          <t>Tra cứu nguyên giá trên Mua sắm công để tính khấu hao ca máy theo TT 45/2013 và TT 20/2017</t>
        </is>
      </c>
    </row>
    <row r="31">
      <c r="A31" s="1" t="n">
        <v>25</v>
      </c>
      <c r="B31" s="1" t="inlineStr">
        <is>
          <t>TB_025</t>
        </is>
      </c>
      <c r="C31" s="1" t="inlineStr">
        <is>
          <t>Máy quang phổ UV-VIS</t>
        </is>
      </c>
      <c r="D31" s="1" t="inlineStr">
        <is>
          <t>bộ</t>
        </is>
      </c>
      <c r="E31" s="24" t="n">
        <v>20</v>
      </c>
      <c r="F31" s="11" t="n">
        <v>321240</v>
      </c>
      <c r="G31" s="11">
        <f>ROUND(E31*F31, 0)</f>
        <v/>
      </c>
      <c r="H31" s="1" t="inlineStr">
        <is>
          <t>Tra cứu nguyên giá trên Mua sắm công để tính khấu hao ca máy theo TT 45/2013 và TT 20/2017</t>
        </is>
      </c>
    </row>
    <row r="32">
      <c r="A32" s="1" t="n">
        <v>26</v>
      </c>
      <c r="B32" s="1" t="inlineStr">
        <is>
          <t>TB_026</t>
        </is>
      </c>
      <c r="C32" s="1" t="inlineStr">
        <is>
          <t>Máy tính xử lý số liệu</t>
        </is>
      </c>
      <c r="D32" s="1" t="inlineStr">
        <is>
          <t>bộ</t>
        </is>
      </c>
      <c r="E32" s="24" t="n">
        <v>1.696</v>
      </c>
      <c r="F32" s="11" t="n">
        <v>78720</v>
      </c>
      <c r="G32" s="11">
        <f>ROUND(E32*F32, 0)</f>
        <v/>
      </c>
      <c r="H32" s="1" t="inlineStr">
        <is>
          <t>Tra cứu nguyên giá trên Mua sắm công để tính khấu hao ca máy theo TT 45/2013 và TT 20/2017</t>
        </is>
      </c>
    </row>
    <row r="33">
      <c r="A33" s="1" t="n">
        <v>27</v>
      </c>
      <c r="B33" s="1" t="inlineStr">
        <is>
          <t>TB_027</t>
        </is>
      </c>
      <c r="C33" s="1" t="inlineStr">
        <is>
          <t>Máy tạo đa khí chuẩn</t>
        </is>
      </c>
      <c r="D33" s="1" t="inlineStr">
        <is>
          <t>cái</t>
        </is>
      </c>
      <c r="E33" s="24" t="n">
        <v>5</v>
      </c>
      <c r="F33" s="11" t="n">
        <v>144000</v>
      </c>
      <c r="G33" s="11">
        <f>ROUND(E33*F33, 0)</f>
        <v/>
      </c>
      <c r="H33" s="1" t="inlineStr">
        <is>
          <t>Tra cứu nguyên giá trên Mua sắm công để tính khấu hao ca máy theo TT 45/2013 và TT 20/2017</t>
        </is>
      </c>
    </row>
    <row r="34">
      <c r="A34" s="1" t="n">
        <v>28</v>
      </c>
      <c r="B34" s="1" t="inlineStr">
        <is>
          <t>TB_028</t>
        </is>
      </c>
      <c r="C34" s="1" t="inlineStr">
        <is>
          <t>Máy điều hòa nhiệt độ</t>
        </is>
      </c>
      <c r="D34" s="1" t="inlineStr">
        <is>
          <t>cái</t>
        </is>
      </c>
      <c r="E34" s="24" t="n">
        <v>58.16</v>
      </c>
      <c r="F34" s="11" t="n">
        <v>108960</v>
      </c>
      <c r="G34" s="11">
        <f>ROUND(E34*F34, 0)</f>
        <v/>
      </c>
      <c r="H34" s="1" t="inlineStr">
        <is>
          <t>Tra cứu nguyên giá trên Mua sắm công để tính khấu hao ca máy theo TT 45/2013 và TT 20/2017</t>
        </is>
      </c>
    </row>
    <row r="35">
      <c r="A35" s="1" t="n">
        <v>29</v>
      </c>
      <c r="B35" s="1" t="inlineStr">
        <is>
          <t>TB_029</t>
        </is>
      </c>
      <c r="C35" s="1" t="inlineStr">
        <is>
          <t>Máy điều hòa nhiệt độ</t>
        </is>
      </c>
      <c r="D35" s="1" t="inlineStr">
        <is>
          <t>Cái</t>
        </is>
      </c>
      <c r="E35" s="24" t="n">
        <v>2.412</v>
      </c>
      <c r="F35" s="11" t="n">
        <v>108960</v>
      </c>
      <c r="G35" s="11">
        <f>ROUND(E35*F35, 0)</f>
        <v/>
      </c>
      <c r="H35" s="1" t="inlineStr">
        <is>
          <t>Tra cứu nguyên giá trên Mua sắm công để tính khấu hao ca máy theo TT 45/2013 và TT 20/2017</t>
        </is>
      </c>
    </row>
    <row r="36">
      <c r="A36" s="1" t="n">
        <v>30</v>
      </c>
      <c r="B36" s="1" t="inlineStr">
        <is>
          <t>TB_030</t>
        </is>
      </c>
      <c r="C36" s="1" t="inlineStr">
        <is>
          <t>Máy định vị GPS cầm tay</t>
        </is>
      </c>
      <c r="D36" s="1" t="inlineStr">
        <is>
          <t>bộ</t>
        </is>
      </c>
      <c r="E36" s="24" t="n">
        <v>41.792</v>
      </c>
      <c r="F36" s="11" t="n">
        <v>144000</v>
      </c>
      <c r="G36" s="11">
        <f>ROUND(E36*F36, 0)</f>
        <v/>
      </c>
      <c r="H36" s="1" t="inlineStr">
        <is>
          <t>Tra cứu nguyên giá trên Mua sắm công để tính khấu hao ca máy theo TT 45/2013 và TT 20/2017</t>
        </is>
      </c>
    </row>
    <row r="37">
      <c r="A37" s="1" t="n">
        <v>31</v>
      </c>
      <c r="B37" s="1" t="inlineStr">
        <is>
          <t>TB_031</t>
        </is>
      </c>
      <c r="C37" s="1" t="inlineStr">
        <is>
          <t>Máy định vị GPS cầm tay</t>
        </is>
      </c>
      <c r="D37" s="1" t="inlineStr">
        <is>
          <t>cái</t>
        </is>
      </c>
      <c r="E37" s="24" t="n">
        <v>74.92</v>
      </c>
      <c r="F37" s="11" t="n">
        <v>180000</v>
      </c>
      <c r="G37" s="11">
        <f>ROUND(E37*F37, 0)</f>
        <v/>
      </c>
      <c r="H37" s="1" t="inlineStr">
        <is>
          <t>Tra cứu nguyên giá trên Mua sắm công để tính khấu hao ca máy theo TT 45/2013 và TT 20/2017</t>
        </is>
      </c>
    </row>
    <row r="38">
      <c r="A38" s="1" t="n">
        <v>32</v>
      </c>
      <c r="B38" s="1" t="inlineStr">
        <is>
          <t>TB_032</t>
        </is>
      </c>
      <c r="C38" s="1" t="inlineStr">
        <is>
          <t>Máy ảnh kỹ thuật số</t>
        </is>
      </c>
      <c r="D38" s="1" t="inlineStr">
        <is>
          <t>cái</t>
        </is>
      </c>
      <c r="E38" s="24" t="n">
        <v>17.76</v>
      </c>
      <c r="F38" s="11" t="n">
        <v>160800</v>
      </c>
      <c r="G38" s="11">
        <f>ROUND(E38*F38, 0)</f>
        <v/>
      </c>
      <c r="H38" s="1" t="inlineStr">
        <is>
          <t>Tra cứu nguyên giá trên Mua sắm công để tính khấu hao ca máy theo TT 45/2013 và TT 20/2017</t>
        </is>
      </c>
    </row>
    <row r="39">
      <c r="A39" s="1" t="n">
        <v>33</v>
      </c>
      <c r="B39" s="1" t="inlineStr">
        <is>
          <t>TB_033</t>
        </is>
      </c>
      <c r="C39" s="1" t="inlineStr">
        <is>
          <t>Nhiệt ẩm kế Asman</t>
        </is>
      </c>
      <c r="D39" s="1" t="inlineStr">
        <is>
          <t>cái</t>
        </is>
      </c>
      <c r="E39" s="24" t="n">
        <v>3.2</v>
      </c>
      <c r="F39" s="11" t="n">
        <v>144000</v>
      </c>
      <c r="G39" s="11">
        <f>ROUND(E39*F39, 0)</f>
        <v/>
      </c>
      <c r="H39" s="1" t="inlineStr">
        <is>
          <t>Tra cứu nguyên giá trên Mua sắm công để tính khấu hao ca máy theo TT 45/2013 và TT 20/2017</t>
        </is>
      </c>
    </row>
    <row r="40">
      <c r="A40" s="1" t="n">
        <v>34</v>
      </c>
      <c r="B40" s="1" t="inlineStr">
        <is>
          <t>TB_034</t>
        </is>
      </c>
      <c r="C40" s="1" t="inlineStr">
        <is>
          <t>Thiết bị chuyên dụng</t>
        </is>
      </c>
      <c r="D40" s="1" t="inlineStr">
        <is>
          <t>bộ</t>
        </is>
      </c>
      <c r="E40" s="24" t="n">
        <v>77.66</v>
      </c>
      <c r="F40" s="11" t="n">
        <v>180000</v>
      </c>
      <c r="G40" s="11">
        <f>ROUND(E40*F40, 0)</f>
        <v/>
      </c>
      <c r="H40" s="1" t="inlineStr">
        <is>
          <t>Tra cứu nguyên giá trên Mua sắm công để tính khấu hao ca máy theo TT 45/2013 và TT 20/2017</t>
        </is>
      </c>
    </row>
    <row r="41">
      <c r="A41" s="1" t="n">
        <v>35</v>
      </c>
      <c r="B41" s="1" t="inlineStr">
        <is>
          <t>TB_035</t>
        </is>
      </c>
      <c r="C41" s="1" t="inlineStr">
        <is>
          <t>Thiết bị chuyên dụng</t>
        </is>
      </c>
      <c r="D41" s="1" t="inlineStr">
        <is>
          <t>cái</t>
        </is>
      </c>
      <c r="E41" s="24" t="n">
        <v>29.4</v>
      </c>
      <c r="F41" s="11" t="n">
        <v>180000</v>
      </c>
      <c r="G41" s="11">
        <f>ROUND(E41*F41, 0)</f>
        <v/>
      </c>
      <c r="H41" s="1" t="inlineStr">
        <is>
          <t>Tra cứu nguyên giá trên Mua sắm công để tính khấu hao ca máy theo TT 45/2013 và TT 20/2017</t>
        </is>
      </c>
    </row>
    <row r="42">
      <c r="A42" s="1" t="n">
        <v>36</v>
      </c>
      <c r="B42" s="1" t="inlineStr">
        <is>
          <t>TB_036</t>
        </is>
      </c>
      <c r="C42" s="1" t="inlineStr">
        <is>
          <t>Thiết bị cất nước 2 lần</t>
        </is>
      </c>
      <c r="D42" s="1" t="inlineStr">
        <is>
          <t>bộ</t>
        </is>
      </c>
      <c r="E42" s="24" t="n">
        <v>152.48</v>
      </c>
      <c r="F42" s="11" t="n">
        <v>75024</v>
      </c>
      <c r="G42" s="11">
        <f>ROUND(E42*F42, 0)</f>
        <v/>
      </c>
      <c r="H42" s="1" t="inlineStr">
        <is>
          <t>Tra cứu nguyên giá trên Mua sắm công để tính khấu hao ca máy theo TT 45/2013 và TT 20/2017</t>
        </is>
      </c>
    </row>
    <row r="43">
      <c r="A43" s="1" t="n">
        <v>37</v>
      </c>
      <c r="B43" s="1" t="inlineStr">
        <is>
          <t>TB_037</t>
        </is>
      </c>
      <c r="C43" s="1" t="inlineStr">
        <is>
          <t>Thiết bị hiệu chuẩn lưu lượng</t>
        </is>
      </c>
      <c r="D43" s="1" t="inlineStr">
        <is>
          <t>bộ</t>
        </is>
      </c>
      <c r="E43" s="24" t="n">
        <v>22.4</v>
      </c>
      <c r="F43" s="11" t="n">
        <v>144000</v>
      </c>
      <c r="G43" s="11">
        <f>ROUND(E43*F43, 0)</f>
        <v/>
      </c>
      <c r="H43" s="1" t="inlineStr">
        <is>
          <t>Tra cứu nguyên giá trên Mua sắm công để tính khấu hao ca máy theo TT 45/2013 và TT 20/2017</t>
        </is>
      </c>
    </row>
    <row r="44">
      <c r="A44" s="1" t="n">
        <v>38</v>
      </c>
      <c r="B44" s="1" t="inlineStr">
        <is>
          <t>TB_038</t>
        </is>
      </c>
      <c r="C44" s="1" t="inlineStr">
        <is>
          <t>Thiết bị hiệu chuẩn lưu lượng</t>
        </is>
      </c>
      <c r="D44" s="1" t="inlineStr">
        <is>
          <t>Bộ</t>
        </is>
      </c>
      <c r="E44" s="24" t="n">
        <v>4.8</v>
      </c>
      <c r="F44" s="11" t="n">
        <v>144000</v>
      </c>
      <c r="G44" s="11">
        <f>ROUND(E44*F44, 0)</f>
        <v/>
      </c>
      <c r="H44" s="1" t="inlineStr">
        <is>
          <t>Tra cứu nguyên giá trên Mua sắm công để tính khấu hao ca máy theo TT 45/2013 và TT 20/2017</t>
        </is>
      </c>
    </row>
    <row r="45">
      <c r="A45" s="1" t="n">
        <v>39</v>
      </c>
      <c r="B45" s="1" t="inlineStr">
        <is>
          <t>TB_039</t>
        </is>
      </c>
      <c r="C45" s="1" t="inlineStr">
        <is>
          <t>Thiết bị lấy mẫu</t>
        </is>
      </c>
      <c r="D45" s="1" t="inlineStr">
        <is>
          <t>bộ</t>
        </is>
      </c>
      <c r="E45" s="24" t="n">
        <v>10.56</v>
      </c>
      <c r="F45" s="11" t="n">
        <v>144000</v>
      </c>
      <c r="G45" s="11">
        <f>ROUND(E45*F45, 0)</f>
        <v/>
      </c>
      <c r="H45" s="1" t="inlineStr">
        <is>
          <t>Tra cứu nguyên giá trên Mua sắm công để tính khấu hao ca máy theo TT 45/2013 và TT 20/2017</t>
        </is>
      </c>
    </row>
    <row r="46">
      <c r="A46" s="1" t="n">
        <v>40</v>
      </c>
      <c r="B46" s="1" t="inlineStr">
        <is>
          <t>TB_040</t>
        </is>
      </c>
      <c r="C46" s="1" t="inlineStr">
        <is>
          <t>Thiết bị lấy mẫu bụi</t>
        </is>
      </c>
      <c r="D46" s="1" t="inlineStr">
        <is>
          <t>bộ</t>
        </is>
      </c>
      <c r="E46" s="24" t="n">
        <v>5.6</v>
      </c>
      <c r="F46" s="11" t="n">
        <v>160800</v>
      </c>
      <c r="G46" s="11">
        <f>ROUND(E46*F46, 0)</f>
        <v/>
      </c>
      <c r="H46" s="1" t="inlineStr">
        <is>
          <t>Tra cứu nguyên giá trên Mua sắm công để tính khấu hao ca máy theo TT 45/2013 và TT 20/2017</t>
        </is>
      </c>
    </row>
    <row r="47">
      <c r="A47" s="1" t="n">
        <v>41</v>
      </c>
      <c r="B47" s="1" t="inlineStr">
        <is>
          <t>TB_041</t>
        </is>
      </c>
      <c r="C47" s="1" t="inlineStr">
        <is>
          <t>Thiết bị lấy mẫu khí</t>
        </is>
      </c>
      <c r="D47" s="1" t="inlineStr">
        <is>
          <t>bộ</t>
        </is>
      </c>
      <c r="E47" s="24" t="n">
        <v>4</v>
      </c>
      <c r="F47" s="11" t="n">
        <v>448800</v>
      </c>
      <c r="G47" s="11">
        <f>ROUND(E47*F47, 0)</f>
        <v/>
      </c>
      <c r="H47" s="1" t="inlineStr">
        <is>
          <t>Tra cứu nguyên giá trên Mua sắm công để tính khấu hao ca máy theo TT 45/2013 và TT 20/2017</t>
        </is>
      </c>
    </row>
    <row r="48">
      <c r="A48" s="1" t="n">
        <v>42</v>
      </c>
      <c r="B48" s="1" t="inlineStr">
        <is>
          <t>TB_042</t>
        </is>
      </c>
      <c r="C48" s="1" t="inlineStr">
        <is>
          <t>Thiết bị lấy mẫu khí NOx</t>
        </is>
      </c>
      <c r="D48" s="1" t="inlineStr">
        <is>
          <t>bộ</t>
        </is>
      </c>
      <c r="E48" s="24" t="n">
        <v>4.8</v>
      </c>
      <c r="F48" s="11" t="n">
        <v>432000</v>
      </c>
      <c r="G48" s="11">
        <f>ROUND(E48*F48, 0)</f>
        <v/>
      </c>
      <c r="H48" s="1" t="inlineStr">
        <is>
          <t>Tra cứu nguyên giá trên Mua sắm công để tính khấu hao ca máy theo TT 45/2013 và TT 20/2017</t>
        </is>
      </c>
    </row>
    <row r="49">
      <c r="A49" s="1" t="n">
        <v>43</v>
      </c>
      <c r="B49" s="1" t="inlineStr">
        <is>
          <t>TB_043</t>
        </is>
      </c>
      <c r="C49" s="1" t="inlineStr">
        <is>
          <t>Thiết bị lấy mẫu khí Oxy</t>
        </is>
      </c>
      <c r="D49" s="1" t="inlineStr">
        <is>
          <t>cái</t>
        </is>
      </c>
      <c r="E49" s="24" t="n">
        <v>0.216</v>
      </c>
      <c r="F49" s="11" t="n">
        <v>216000</v>
      </c>
      <c r="G49" s="11">
        <f>ROUND(E49*F49, 0)</f>
        <v/>
      </c>
      <c r="H49" s="1" t="inlineStr">
        <is>
          <t>Tra cứu nguyên giá trên Mua sắm công để tính khấu hao ca máy theo TT 45/2013 và TT 20/2017</t>
        </is>
      </c>
    </row>
    <row r="50">
      <c r="A50" s="1" t="n">
        <v>44</v>
      </c>
      <c r="B50" s="1" t="inlineStr">
        <is>
          <t>TB_044</t>
        </is>
      </c>
      <c r="C50" s="1" t="inlineStr">
        <is>
          <t>Thiết bị lấy mẫu khí thải</t>
        </is>
      </c>
      <c r="D50" s="1" t="inlineStr">
        <is>
          <t>Bộ</t>
        </is>
      </c>
      <c r="E50" s="24" t="n">
        <v>4.8</v>
      </c>
      <c r="F50" s="11" t="n">
        <v>583200</v>
      </c>
      <c r="G50" s="11">
        <f>ROUND(E50*F50, 0)</f>
        <v/>
      </c>
      <c r="H50" s="1" t="inlineStr">
        <is>
          <t>Tra cứu nguyên giá trên Mua sắm công để tính khấu hao ca máy theo TT 45/2013 và TT 20/2017</t>
        </is>
      </c>
    </row>
    <row r="51">
      <c r="A51" s="1" t="n">
        <v>45</v>
      </c>
      <c r="B51" s="1" t="inlineStr">
        <is>
          <t>TB_045</t>
        </is>
      </c>
      <c r="C51" s="1" t="inlineStr">
        <is>
          <t>Thiết bị lấy mẫu nước</t>
        </is>
      </c>
      <c r="D51" s="1" t="inlineStr">
        <is>
          <t>bộ</t>
        </is>
      </c>
      <c r="E51" s="24" t="n">
        <v>61.584</v>
      </c>
      <c r="F51" s="11" t="n">
        <v>144000</v>
      </c>
      <c r="G51" s="11">
        <f>ROUND(E51*F51, 0)</f>
        <v/>
      </c>
      <c r="H51" s="1" t="inlineStr">
        <is>
          <t>Tra cứu nguyên giá trên Mua sắm công để tính khấu hao ca máy theo TT 45/2013 và TT 20/2017</t>
        </is>
      </c>
    </row>
    <row r="52">
      <c r="A52" s="1" t="n">
        <v>46</v>
      </c>
      <c r="B52" s="1" t="inlineStr">
        <is>
          <t>TB_046</t>
        </is>
      </c>
      <c r="C52" s="1" t="inlineStr">
        <is>
          <t>Thiết bị lọc nước siêu sạch</t>
        </is>
      </c>
      <c r="D52" s="1" t="inlineStr">
        <is>
          <t>bộ</t>
        </is>
      </c>
      <c r="E52" s="24" t="n">
        <v>20.8</v>
      </c>
      <c r="F52" s="11" t="n">
        <v>75024</v>
      </c>
      <c r="G52" s="11">
        <f>ROUND(E52*F52, 0)</f>
        <v/>
      </c>
      <c r="H52" s="1" t="inlineStr">
        <is>
          <t>Tra cứu nguyên giá trên Mua sắm công để tính khấu hao ca máy theo TT 45/2013 và TT 20/2017</t>
        </is>
      </c>
    </row>
    <row r="53">
      <c r="A53" s="1" t="n">
        <v>47</v>
      </c>
      <c r="B53" s="1" t="inlineStr">
        <is>
          <t>TB_047</t>
        </is>
      </c>
      <c r="C53" s="1" t="inlineStr">
        <is>
          <t>Thiết bị phá mẫu</t>
        </is>
      </c>
      <c r="D53" s="1" t="inlineStr">
        <is>
          <t>bộ</t>
        </is>
      </c>
      <c r="E53" s="24" t="n">
        <v>124.4</v>
      </c>
      <c r="F53" s="11" t="n">
        <v>110640</v>
      </c>
      <c r="G53" s="11">
        <f>ROUND(E53*F53, 0)</f>
        <v/>
      </c>
      <c r="H53" s="1" t="inlineStr">
        <is>
          <t>Tra cứu nguyên giá trên Mua sắm công để tính khấu hao ca máy theo TT 45/2013 và TT 20/2017</t>
        </is>
      </c>
    </row>
    <row r="54">
      <c r="A54" s="1" t="n">
        <v>48</v>
      </c>
      <c r="B54" s="1" t="inlineStr">
        <is>
          <t>TB_048</t>
        </is>
      </c>
      <c r="C54" s="1" t="inlineStr">
        <is>
          <t>Thiết bị phản ứng COD</t>
        </is>
      </c>
      <c r="D54" s="1" t="inlineStr">
        <is>
          <t>bộ</t>
        </is>
      </c>
      <c r="E54" s="24" t="n">
        <v>12.32</v>
      </c>
      <c r="F54" s="11" t="n">
        <v>79560</v>
      </c>
      <c r="G54" s="11">
        <f>ROUND(E54*F54, 0)</f>
        <v/>
      </c>
      <c r="H54" s="1" t="inlineStr">
        <is>
          <t>Tra cứu nguyên giá trên Mua sắm công để tính khấu hao ca máy theo TT 45/2013 và TT 20/2017</t>
        </is>
      </c>
    </row>
    <row r="55">
      <c r="A55" s="1" t="n">
        <v>49</v>
      </c>
      <c r="B55" s="1" t="inlineStr">
        <is>
          <t>TB_049</t>
        </is>
      </c>
      <c r="C55" s="1" t="inlineStr">
        <is>
          <t>Thiết bị điều khiển lấy mẫu bụi</t>
        </is>
      </c>
      <c r="D55" s="1" t="inlineStr">
        <is>
          <t>Bộ</t>
        </is>
      </c>
      <c r="E55" s="24" t="n">
        <v>4.8</v>
      </c>
      <c r="F55" s="11" t="n">
        <v>295200</v>
      </c>
      <c r="G55" s="11">
        <f>ROUND(E55*F55, 0)</f>
        <v/>
      </c>
      <c r="H55" s="1" t="inlineStr">
        <is>
          <t>Tra cứu nguyên giá trên Mua sắm công để tính khấu hao ca máy theo TT 45/2013 và TT 20/2017</t>
        </is>
      </c>
    </row>
    <row r="56">
      <c r="A56" s="1" t="n">
        <v>50</v>
      </c>
      <c r="B56" s="1" t="inlineStr">
        <is>
          <t>TB_050</t>
        </is>
      </c>
      <c r="C56" s="1" t="inlineStr">
        <is>
          <t>Thiết bị đo</t>
        </is>
      </c>
      <c r="D56" s="1" t="inlineStr">
        <is>
          <t>bộ</t>
        </is>
      </c>
      <c r="E56" s="24" t="n">
        <v>17.6</v>
      </c>
      <c r="F56" s="11" t="n">
        <v>144000</v>
      </c>
      <c r="G56" s="11">
        <f>ROUND(E56*F56, 0)</f>
        <v/>
      </c>
      <c r="H56" s="1" t="inlineStr">
        <is>
          <t>Tra cứu nguyên giá trên Mua sắm công để tính khấu hao ca máy theo TT 45/2013 và TT 20/2017</t>
        </is>
      </c>
    </row>
    <row r="57">
      <c r="A57" s="1" t="n">
        <v>51</v>
      </c>
      <c r="B57" s="1" t="inlineStr">
        <is>
          <t>TB_051</t>
        </is>
      </c>
      <c r="C57" s="1" t="inlineStr">
        <is>
          <t>Thiết bị đo chênh áp</t>
        </is>
      </c>
      <c r="D57" s="1" t="inlineStr">
        <is>
          <t>Bộ</t>
        </is>
      </c>
      <c r="E57" s="24" t="n">
        <v>4.8</v>
      </c>
      <c r="F57" s="11" t="n">
        <v>295200</v>
      </c>
      <c r="G57" s="11">
        <f>ROUND(E57*F57, 0)</f>
        <v/>
      </c>
      <c r="H57" s="1" t="inlineStr">
        <is>
          <t>Tra cứu nguyên giá trên Mua sắm công để tính khấu hao ca máy theo TT 45/2013 và TT 20/2017</t>
        </is>
      </c>
    </row>
    <row r="58">
      <c r="A58" s="1" t="n">
        <v>52</v>
      </c>
      <c r="B58" s="1" t="inlineStr">
        <is>
          <t>TB_052</t>
        </is>
      </c>
      <c r="C58" s="1" t="inlineStr">
        <is>
          <t>Thiết bị đo hiện số</t>
        </is>
      </c>
      <c r="D58" s="1" t="inlineStr">
        <is>
          <t>bộ</t>
        </is>
      </c>
      <c r="E58" s="24" t="n">
        <v>13.52</v>
      </c>
      <c r="F58" s="11" t="n">
        <v>144000</v>
      </c>
      <c r="G58" s="11">
        <f>ROUND(E58*F58, 0)</f>
        <v/>
      </c>
      <c r="H58" s="1" t="inlineStr">
        <is>
          <t>Tra cứu nguyên giá trên Mua sắm công để tính khấu hao ca máy theo TT 45/2013 và TT 20/2017</t>
        </is>
      </c>
    </row>
    <row r="59">
      <c r="A59" s="1" t="n">
        <v>53</v>
      </c>
      <c r="B59" s="1" t="inlineStr">
        <is>
          <t>TB_053</t>
        </is>
      </c>
      <c r="C59" s="1" t="inlineStr">
        <is>
          <t>Thiết bị đo hiện số</t>
        </is>
      </c>
      <c r="D59" s="1" t="inlineStr">
        <is>
          <t>cái</t>
        </is>
      </c>
      <c r="E59" s="24" t="n">
        <v>6.4</v>
      </c>
      <c r="F59" s="11" t="n">
        <v>72000</v>
      </c>
      <c r="G59" s="11">
        <f>ROUND(E59*F59, 0)</f>
        <v/>
      </c>
      <c r="H59" s="1" t="inlineStr">
        <is>
          <t>Tra cứu nguyên giá trên Mua sắm công để tính khấu hao ca máy theo TT 45/2013 và TT 20/2017</t>
        </is>
      </c>
    </row>
    <row r="60">
      <c r="A60" s="1" t="n">
        <v>54</v>
      </c>
      <c r="B60" s="1" t="inlineStr">
        <is>
          <t>TB_054</t>
        </is>
      </c>
      <c r="C60" s="1" t="inlineStr">
        <is>
          <t>Thiết bị đo hiện số và lưu kết quả</t>
        </is>
      </c>
      <c r="D60" s="1" t="inlineStr">
        <is>
          <t>bộ</t>
        </is>
      </c>
      <c r="E60" s="24" t="n">
        <v>100.76</v>
      </c>
      <c r="F60" s="11" t="n">
        <v>180000</v>
      </c>
      <c r="G60" s="11">
        <f>ROUND(E60*F60, 0)</f>
        <v/>
      </c>
      <c r="H60" s="1" t="inlineStr">
        <is>
          <t>Tra cứu nguyên giá trên Mua sắm công để tính khấu hao ca máy theo TT 45/2013 và TT 20/2017</t>
        </is>
      </c>
    </row>
    <row r="61">
      <c r="A61" s="1" t="n">
        <v>55</v>
      </c>
      <c r="B61" s="1" t="inlineStr">
        <is>
          <t>TB_055</t>
        </is>
      </c>
      <c r="C61" s="1" t="inlineStr">
        <is>
          <t>Thiết bị đo hiện số và lưu kết quả</t>
        </is>
      </c>
      <c r="D61" s="1" t="inlineStr">
        <is>
          <t>cái</t>
        </is>
      </c>
      <c r="E61" s="24" t="n">
        <v>20.28</v>
      </c>
      <c r="F61" s="11" t="n">
        <v>180000</v>
      </c>
      <c r="G61" s="11">
        <f>ROUND(E61*F61, 0)</f>
        <v/>
      </c>
      <c r="H61" s="1" t="inlineStr">
        <is>
          <t>Tra cứu nguyên giá trên Mua sắm công để tính khấu hao ca máy theo TT 45/2013 và TT 20/2017</t>
        </is>
      </c>
    </row>
    <row r="62">
      <c r="A62" s="1" t="n">
        <v>56</v>
      </c>
      <c r="B62" s="1" t="inlineStr">
        <is>
          <t>TB_056</t>
        </is>
      </c>
      <c r="C62" s="1" t="inlineStr">
        <is>
          <t>Thiết bị đo tiếng ồn tích phân</t>
        </is>
      </c>
      <c r="D62" s="1" t="inlineStr">
        <is>
          <t>bộ</t>
        </is>
      </c>
      <c r="E62" s="24" t="n">
        <v>5</v>
      </c>
      <c r="F62" s="11" t="n">
        <v>144000</v>
      </c>
      <c r="G62" s="11">
        <f>ROUND(E62*F62, 0)</f>
        <v/>
      </c>
      <c r="H62" s="1" t="inlineStr">
        <is>
          <t>Tra cứu nguyên giá trên Mua sắm công để tính khấu hao ca máy theo TT 45/2013 và TT 20/2017</t>
        </is>
      </c>
    </row>
    <row r="63">
      <c r="A63" s="1" t="n">
        <v>57</v>
      </c>
      <c r="B63" s="1" t="inlineStr">
        <is>
          <t>TB_057</t>
        </is>
      </c>
      <c r="C63" s="1" t="inlineStr">
        <is>
          <t>Thiết bị đo đa chỉ tiêu</t>
        </is>
      </c>
      <c r="D63" s="1" t="inlineStr">
        <is>
          <t>bộ</t>
        </is>
      </c>
      <c r="E63" s="24" t="n">
        <v>17.4</v>
      </c>
      <c r="F63" s="11" t="n">
        <v>72000</v>
      </c>
      <c r="G63" s="11">
        <f>ROUND(E63*F63, 0)</f>
        <v/>
      </c>
      <c r="H63" s="1" t="inlineStr">
        <is>
          <t>Tra cứu nguyên giá trên Mua sắm công để tính khấu hao ca máy theo TT 45/2013 và TT 20/2017</t>
        </is>
      </c>
    </row>
    <row r="64">
      <c r="A64" s="1" t="n">
        <v>58</v>
      </c>
      <c r="B64" s="1" t="inlineStr">
        <is>
          <t>TB_058</t>
        </is>
      </c>
      <c r="C64" s="1" t="inlineStr">
        <is>
          <t>Thiết bị đo độ rung</t>
        </is>
      </c>
      <c r="D64" s="1" t="inlineStr">
        <is>
          <t>bộ</t>
        </is>
      </c>
      <c r="E64" s="24" t="n">
        <v>5</v>
      </c>
      <c r="F64" s="11" t="n">
        <v>144000</v>
      </c>
      <c r="G64" s="11">
        <f>ROUND(E64*F64, 0)</f>
        <v/>
      </c>
      <c r="H64" s="1" t="inlineStr">
        <is>
          <t>Tra cứu nguyên giá trên Mua sắm công để tính khấu hao ca máy theo TT 45/2013 và TT 20/2017</t>
        </is>
      </c>
    </row>
    <row r="65">
      <c r="A65" s="1" t="n">
        <v>59</v>
      </c>
      <c r="B65" s="1" t="inlineStr">
        <is>
          <t>TB_059</t>
        </is>
      </c>
      <c r="C65" s="1" t="inlineStr">
        <is>
          <t>Thiết bị định vị GPS</t>
        </is>
      </c>
      <c r="D65" s="1" t="inlineStr">
        <is>
          <t>bộ</t>
        </is>
      </c>
      <c r="E65" s="24" t="n">
        <v>1.296</v>
      </c>
      <c r="F65" s="11" t="n">
        <v>144000</v>
      </c>
      <c r="G65" s="11">
        <f>ROUND(E65*F65, 0)</f>
        <v/>
      </c>
      <c r="H65" s="1" t="inlineStr">
        <is>
          <t>Tra cứu nguyên giá trên Mua sắm công để tính khấu hao ca máy theo TT 45/2013 và TT 20/2017</t>
        </is>
      </c>
    </row>
    <row r="66">
      <c r="A66" s="1" t="n">
        <v>60</v>
      </c>
      <c r="B66" s="1" t="inlineStr">
        <is>
          <t>TB_060</t>
        </is>
      </c>
      <c r="C66" s="1" t="inlineStr">
        <is>
          <t>Tủ bảo quản mẫu</t>
        </is>
      </c>
      <c r="D66" s="1" t="inlineStr">
        <is>
          <t>cái</t>
        </is>
      </c>
      <c r="E66" s="24" t="n">
        <v>81.76000000000001</v>
      </c>
      <c r="F66" s="11" t="n">
        <v>74688</v>
      </c>
      <c r="G66" s="11">
        <f>ROUND(E66*F66, 0)</f>
        <v/>
      </c>
      <c r="H66" s="1" t="inlineStr">
        <is>
          <t>Tra cứu nguyên giá trên Mua sắm công để tính khấu hao ca máy theo TT 45/2013 và TT 20/2017</t>
        </is>
      </c>
    </row>
    <row r="67">
      <c r="A67" s="1" t="n">
        <v>61</v>
      </c>
      <c r="B67" s="1" t="inlineStr">
        <is>
          <t>TB_061</t>
        </is>
      </c>
      <c r="C67" s="1" t="inlineStr">
        <is>
          <t>Tủ bảo quản mẫu</t>
        </is>
      </c>
      <c r="D67" s="1" t="inlineStr">
        <is>
          <t>Cái</t>
        </is>
      </c>
      <c r="E67" s="24" t="n">
        <v>2.72</v>
      </c>
      <c r="F67" s="11" t="n">
        <v>74688</v>
      </c>
      <c r="G67" s="11">
        <f>ROUND(E67*F67, 0)</f>
        <v/>
      </c>
      <c r="H67" s="1" t="inlineStr">
        <is>
          <t>Tra cứu nguyên giá trên Mua sắm công để tính khấu hao ca máy theo TT 45/2013 và TT 20/2017</t>
        </is>
      </c>
    </row>
    <row r="68">
      <c r="A68" s="1" t="n">
        <v>62</v>
      </c>
      <c r="B68" s="1" t="inlineStr">
        <is>
          <t>TB_062</t>
        </is>
      </c>
      <c r="C68" s="1" t="inlineStr">
        <is>
          <t>Tủ hút</t>
        </is>
      </c>
      <c r="D68" s="1" t="inlineStr">
        <is>
          <t>cái</t>
        </is>
      </c>
      <c r="E68" s="24" t="n">
        <v>76</v>
      </c>
      <c r="F68" s="11" t="n">
        <v>73680</v>
      </c>
      <c r="G68" s="11">
        <f>ROUND(E68*F68, 0)</f>
        <v/>
      </c>
      <c r="H68" s="1" t="inlineStr">
        <is>
          <t>Tra cứu nguyên giá trên Mua sắm công để tính khấu hao ca máy theo TT 45/2013 và TT 20/2017</t>
        </is>
      </c>
    </row>
    <row r="69">
      <c r="A69" s="1" t="n">
        <v>63</v>
      </c>
      <c r="B69" s="1" t="inlineStr">
        <is>
          <t>TB_063</t>
        </is>
      </c>
      <c r="C69" s="1" t="inlineStr">
        <is>
          <t>Tủ lưu hóa chất</t>
        </is>
      </c>
      <c r="D69" s="1" t="inlineStr">
        <is>
          <t>cái</t>
        </is>
      </c>
      <c r="E69" s="24" t="n">
        <v>236.16</v>
      </c>
      <c r="F69" s="11" t="n">
        <v>74688</v>
      </c>
      <c r="G69" s="11">
        <f>ROUND(E69*F69, 0)</f>
        <v/>
      </c>
      <c r="H69" s="1" t="inlineStr">
        <is>
          <t>Tra cứu nguyên giá trên Mua sắm công để tính khấu hao ca máy theo TT 45/2013 và TT 20/2017</t>
        </is>
      </c>
    </row>
    <row r="70">
      <c r="A70" s="1" t="n">
        <v>64</v>
      </c>
      <c r="B70" s="1" t="inlineStr">
        <is>
          <t>TB_064</t>
        </is>
      </c>
      <c r="C70" s="1" t="inlineStr">
        <is>
          <t>Tủ lưu hóa chất</t>
        </is>
      </c>
      <c r="D70" s="1" t="inlineStr">
        <is>
          <t>Cái</t>
        </is>
      </c>
      <c r="E70" s="24" t="n">
        <v>12.8</v>
      </c>
      <c r="F70" s="11" t="n">
        <v>74688</v>
      </c>
      <c r="G70" s="11">
        <f>ROUND(E70*F70, 0)</f>
        <v/>
      </c>
      <c r="H70" s="1" t="inlineStr">
        <is>
          <t>Tra cứu nguyên giá trên Mua sắm công để tính khấu hao ca máy theo TT 45/2013 và TT 20/2017</t>
        </is>
      </c>
    </row>
    <row r="71">
      <c r="A71" s="1" t="n">
        <v>65</v>
      </c>
      <c r="B71" s="1" t="inlineStr">
        <is>
          <t>TB_065</t>
        </is>
      </c>
      <c r="C71" s="1" t="inlineStr">
        <is>
          <t>Tủ sấy</t>
        </is>
      </c>
      <c r="D71" s="1" t="inlineStr">
        <is>
          <t>cái</t>
        </is>
      </c>
      <c r="E71" s="24" t="n">
        <v>219.68</v>
      </c>
      <c r="F71" s="11" t="n">
        <v>45840</v>
      </c>
      <c r="G71" s="11">
        <f>ROUND(E71*F71, 0)</f>
        <v/>
      </c>
      <c r="H71" s="1" t="inlineStr">
        <is>
          <t>Tra cứu nguyên giá trên Mua sắm công để tính khấu hao ca máy theo TT 45/2013 và TT 20/2017</t>
        </is>
      </c>
    </row>
    <row r="72">
      <c r="A72" s="1" t="n">
        <v>66</v>
      </c>
      <c r="B72" s="1" t="inlineStr">
        <is>
          <t>TB_066</t>
        </is>
      </c>
      <c r="C72" s="1" t="inlineStr">
        <is>
          <t>Tủ sấy</t>
        </is>
      </c>
      <c r="D72" s="1" t="inlineStr">
        <is>
          <t>Cái</t>
        </is>
      </c>
      <c r="E72" s="24" t="n">
        <v>13</v>
      </c>
      <c r="F72" s="11" t="n">
        <v>45840</v>
      </c>
      <c r="G72" s="11">
        <f>ROUND(E72*F72, 0)</f>
        <v/>
      </c>
      <c r="H72" s="1" t="inlineStr">
        <is>
          <t>Tra cứu nguyên giá trên Mua sắm công để tính khấu hao ca máy theo TT 45/2013 và TT 20/2017</t>
        </is>
      </c>
    </row>
    <row r="73">
      <c r="A73" s="1" t="n">
        <v>67</v>
      </c>
      <c r="B73" s="1" t="inlineStr">
        <is>
          <t>TB_067</t>
        </is>
      </c>
      <c r="C73" s="1" t="inlineStr">
        <is>
          <t>Tủ sấy mẫu</t>
        </is>
      </c>
      <c r="D73" s="1" t="inlineStr">
        <is>
          <t>cái</t>
        </is>
      </c>
      <c r="E73" s="24" t="n">
        <v>16</v>
      </c>
      <c r="F73" s="11" t="n">
        <v>45840</v>
      </c>
      <c r="G73" s="11">
        <f>ROUND(E73*F73, 0)</f>
        <v/>
      </c>
      <c r="H73" s="1" t="inlineStr">
        <is>
          <t>Tra cứu nguyên giá trên Mua sắm công để tính khấu hao ca máy theo TT 45/2013 và TT 20/2017</t>
        </is>
      </c>
    </row>
    <row r="74">
      <c r="A74" s="1" t="n">
        <v>68</v>
      </c>
      <c r="B74" s="1" t="inlineStr">
        <is>
          <t>TB_068</t>
        </is>
      </c>
      <c r="C74" s="1" t="inlineStr">
        <is>
          <t>Tủ ủ BOD</t>
        </is>
      </c>
      <c r="D74" s="1" t="inlineStr">
        <is>
          <t>cái</t>
        </is>
      </c>
      <c r="E74" s="24" t="n">
        <v>4.8</v>
      </c>
      <c r="F74" s="11" t="n">
        <v>85440</v>
      </c>
      <c r="G74" s="11">
        <f>ROUND(E74*F74, 0)</f>
        <v/>
      </c>
      <c r="H74" s="1" t="inlineStr">
        <is>
          <t>Tra cứu nguyên giá trên Mua sắm công để tính khấu hao ca máy theo TT 45/2013 và TT 20/2017</t>
        </is>
      </c>
    </row>
    <row r="75">
      <c r="A75" s="1" t="n">
        <v>69</v>
      </c>
      <c r="B75" s="1" t="inlineStr">
        <is>
          <t>TB_069</t>
        </is>
      </c>
      <c r="C75" s="1" t="inlineStr">
        <is>
          <t>Điện</t>
        </is>
      </c>
      <c r="D75" s="1" t="inlineStr">
        <is>
          <t>kw</t>
        </is>
      </c>
      <c r="E75" s="24" t="n">
        <v>187.44</v>
      </c>
      <c r="F75" s="11" t="n">
        <v>72000</v>
      </c>
      <c r="G75" s="11">
        <f>ROUND(E75*F75, 0)</f>
        <v/>
      </c>
      <c r="H75" s="1" t="inlineStr">
        <is>
          <t>Tra cứu nguyên giá trên Mua sắm công để tính khấu hao ca máy theo TT 45/2013 và TT 20/2017</t>
        </is>
      </c>
    </row>
    <row r="76">
      <c r="A76" s="1" t="n">
        <v>70</v>
      </c>
      <c r="B76" s="1" t="inlineStr">
        <is>
          <t>TB_070</t>
        </is>
      </c>
      <c r="C76" s="1" t="inlineStr">
        <is>
          <t>Điện năng</t>
        </is>
      </c>
      <c r="D76" s="1" t="inlineStr">
        <is>
          <t>kw</t>
        </is>
      </c>
      <c r="E76" s="24" t="n">
        <v>10552.912</v>
      </c>
      <c r="F76" s="11" t="n">
        <v>72000</v>
      </c>
      <c r="G76" s="11">
        <f>ROUND(E76*F76, 0)</f>
        <v/>
      </c>
      <c r="H76" s="1" t="inlineStr">
        <is>
          <t>Tra cứu nguyên giá trên Mua sắm công để tính khấu hao ca máy theo TT 45/2013 và TT 20/2017</t>
        </is>
      </c>
    </row>
    <row r="77">
      <c r="A77" s="1" t="n">
        <v>71</v>
      </c>
      <c r="B77" s="1" t="inlineStr">
        <is>
          <t>TB_071</t>
        </is>
      </c>
      <c r="C77" s="1" t="inlineStr">
        <is>
          <t>Điện năng</t>
        </is>
      </c>
      <c r="D77" s="1" t="inlineStr">
        <is>
          <t>Kw</t>
        </is>
      </c>
      <c r="E77" s="24" t="n">
        <v>1454.76</v>
      </c>
      <c r="F77" s="11" t="n">
        <v>72000</v>
      </c>
      <c r="G77" s="11">
        <f>ROUND(E77*F77, 0)</f>
        <v/>
      </c>
      <c r="H77" s="1" t="inlineStr">
        <is>
          <t>Tra cứu nguyên giá trên Mua sắm công để tính khấu hao ca máy theo TT 45/2013 và TT 20/2017</t>
        </is>
      </c>
    </row>
    <row r="78">
      <c r="A78" s="1" t="n">
        <v>72</v>
      </c>
      <c r="B78" s="1" t="inlineStr">
        <is>
          <t>TB_072</t>
        </is>
      </c>
      <c r="C78" s="1" t="inlineStr">
        <is>
          <t>Đầu đo nhiệt độ</t>
        </is>
      </c>
      <c r="D78" s="1" t="inlineStr">
        <is>
          <t>Bộ</t>
        </is>
      </c>
      <c r="E78" s="24" t="n">
        <v>8.4</v>
      </c>
      <c r="F78" s="11" t="n">
        <v>144000</v>
      </c>
      <c r="G78" s="11">
        <f>ROUND(E78*F78, 0)</f>
        <v/>
      </c>
      <c r="H78" s="1" t="inlineStr">
        <is>
          <t>Tra cứu nguyên giá trên Mua sắm công để tính khấu hao ca máy theo TT 45/2013 và TT 20/2017</t>
        </is>
      </c>
    </row>
    <row r="79">
      <c r="A79" s="1" t="n">
        <v>73</v>
      </c>
      <c r="B79" s="1" t="inlineStr">
        <is>
          <t>M_KHAC</t>
        </is>
      </c>
      <c r="C79" s="1" t="inlineStr">
        <is>
          <t>Chi phí thiết bị phụ khác (5% máy chính)</t>
        </is>
      </c>
      <c r="D79" s="1" t="inlineStr">
        <is>
          <t>%</t>
        </is>
      </c>
      <c r="E79" s="1" t="inlineStr">
        <is>
          <t>5.0%</t>
        </is>
      </c>
      <c r="F79" s="11" t="inlineStr"/>
      <c r="G79" s="11">
        <f>ROUND(SUM(G7:G78)*'Hệ số'!$C$13, 0)</f>
        <v/>
      </c>
      <c r="H79" s="1" t="inlineStr">
        <is>
          <t>5% chi phí thiết bị phụ</t>
        </is>
      </c>
    </row>
    <row r="80">
      <c r="A80" s="25" t="inlineStr"/>
      <c r="B80" s="25" t="inlineStr"/>
      <c r="C80" s="25" t="inlineStr">
        <is>
          <t>CỘNG CHI PHÍ MÁY THI CÔNG:</t>
        </is>
      </c>
      <c r="D80" s="25" t="inlineStr"/>
      <c r="E80" s="25" t="inlineStr"/>
      <c r="F80" s="26" t="inlineStr"/>
      <c r="G80" s="26">
        <f>SUM(G7:G79)</f>
        <v/>
      </c>
      <c r="H80" s="25" t="inlineStr">
        <is>
          <t>Tổng chi phí máy (M)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32" customWidth="1" min="3" max="3"/>
    <col width="24" customWidth="1" min="4" max="4"/>
    <col width="10" customWidth="1" min="5" max="5"/>
  </cols>
  <sheetData>
    <row r="1">
      <c r="A1" s="5" t="inlineStr">
        <is>
          <t>BẢNG TỔNG HỢP DỰ TOÁN CHI PHÍ QUAN TRẮC MÔI TRƯỜNG</t>
        </is>
      </c>
      <c r="B1" s="6" t="n"/>
      <c r="C1" s="6" t="n"/>
      <c r="D1" s="6" t="n"/>
      <c r="E1" s="6" t="n"/>
    </row>
    <row r="2">
      <c r="A2" s="7">
        <f>'Công trình'!A3</f>
        <v/>
      </c>
      <c r="B2" s="6" t="n"/>
      <c r="C2" s="6" t="n"/>
      <c r="D2" s="6" t="n"/>
      <c r="E2" s="6" t="n"/>
    </row>
    <row r="3">
      <c r="A3" s="7">
        <f>'Công trình'!A4</f>
        <v/>
      </c>
      <c r="B3" s="6" t="n"/>
      <c r="C3" s="6" t="n"/>
      <c r="D3" s="6" t="n"/>
      <c r="E3" s="6" t="n"/>
    </row>
    <row r="4">
      <c r="A4" s="6" t="inlineStr">
        <is>
          <t>Đơn vị tính: đồng</t>
        </is>
      </c>
      <c r="B4" s="6" t="inlineStr"/>
      <c r="C4" s="6" t="inlineStr"/>
      <c r="D4" s="6" t="inlineStr"/>
      <c r="E4" s="6" t="inlineStr"/>
    </row>
    <row r="5">
      <c r="A5" s="28" t="n"/>
      <c r="B5" s="28" t="n"/>
      <c r="C5" s="28" t="n"/>
      <c r="D5" s="28" t="n"/>
      <c r="E5" s="28" t="n"/>
    </row>
    <row r="6">
      <c r="A6" s="29" t="inlineStr">
        <is>
          <t>STT</t>
        </is>
      </c>
      <c r="B6" s="22" t="inlineStr">
        <is>
          <t>NỘI DUNG CHI PHÍ</t>
        </is>
      </c>
      <c r="C6" s="22" t="inlineStr">
        <is>
          <t>CÁCH TÍNH / DIỄN GIẢI</t>
        </is>
      </c>
      <c r="D6" s="18" t="inlineStr">
        <is>
          <t>GIÁ TRỊ (VNĐ)</t>
        </is>
      </c>
      <c r="E6" s="29" t="inlineStr">
        <is>
          <t>KÝ HIỆU</t>
        </is>
      </c>
    </row>
    <row r="7">
      <c r="A7" s="20" t="inlineStr">
        <is>
          <t>I</t>
        </is>
      </c>
      <c r="B7" s="1" t="inlineStr">
        <is>
          <t>Chi phí trực tiếp (T = VL + DC + NC + M)</t>
        </is>
      </c>
      <c r="C7" s="1">
        <f>"VL + DC + NC + M"</f>
        <v/>
      </c>
      <c r="D7" s="11">
        <f>ROUND(D8+D10+D12+D14, 0)</f>
        <v/>
      </c>
      <c r="E7" s="20" t="inlineStr">
        <is>
          <t>T</t>
        </is>
      </c>
    </row>
    <row r="8">
      <c r="A8" s="20" t="inlineStr">
        <is>
          <t>1</t>
        </is>
      </c>
      <c r="B8" s="1" t="inlineStr">
        <is>
          <t>Chi phí vật liệu</t>
        </is>
      </c>
      <c r="C8" s="1">
        <f>"VLHT"</f>
        <v/>
      </c>
      <c r="D8" s="11">
        <f>ROUND(D8, 0)</f>
        <v/>
      </c>
      <c r="E8" s="20" t="inlineStr">
        <is>
          <t>VL</t>
        </is>
      </c>
    </row>
    <row r="9">
      <c r="A9" s="20" t="inlineStr"/>
      <c r="B9" s="1" t="inlineStr">
        <is>
          <t xml:space="preserve"> - Đơn giá vật liệu</t>
        </is>
      </c>
      <c r="C9" s="1" t="inlineStr">
        <is>
          <t>Theo bảng tổng hợp vật liệu</t>
        </is>
      </c>
      <c r="D9" s="11">
        <f>'Vật liệu'!$G$181</f>
        <v/>
      </c>
      <c r="E9" s="20" t="inlineStr">
        <is>
          <t>VLHT</t>
        </is>
      </c>
    </row>
    <row r="10">
      <c r="A10" s="20" t="inlineStr">
        <is>
          <t>2</t>
        </is>
      </c>
      <c r="B10" s="1" t="inlineStr">
        <is>
          <t>Chi phí công cụ dụng cụ</t>
        </is>
      </c>
      <c r="C10" s="1">
        <f>"DCHT"</f>
        <v/>
      </c>
      <c r="D10" s="11">
        <f>ROUND(D10, 0)</f>
        <v/>
      </c>
      <c r="E10" s="20" t="inlineStr">
        <is>
          <t>DC</t>
        </is>
      </c>
    </row>
    <row r="11">
      <c r="A11" s="20" t="inlineStr"/>
      <c r="B11" s="1" t="inlineStr">
        <is>
          <t xml:space="preserve"> - Đơn giá công cụ dụng cụ</t>
        </is>
      </c>
      <c r="C11" s="1" t="inlineStr">
        <is>
          <t>Theo bảng tổng hợp dụng cụ</t>
        </is>
      </c>
      <c r="D11" s="11">
        <f>'Công cụ dụng cụ'!$G$166</f>
        <v/>
      </c>
      <c r="E11" s="20" t="inlineStr">
        <is>
          <t>DCHT</t>
        </is>
      </c>
    </row>
    <row r="12">
      <c r="A12" s="20" t="inlineStr">
        <is>
          <t>3</t>
        </is>
      </c>
      <c r="B12" s="1" t="inlineStr">
        <is>
          <t>Chi phí nhân công</t>
        </is>
      </c>
      <c r="C12" s="1">
        <f>"NCHT"</f>
        <v/>
      </c>
      <c r="D12" s="11">
        <f>ROUND(D12, 0)</f>
        <v/>
      </c>
      <c r="E12" s="20" t="inlineStr">
        <is>
          <t>NC</t>
        </is>
      </c>
    </row>
    <row r="13">
      <c r="A13" s="20" t="inlineStr"/>
      <c r="B13" s="1" t="inlineStr">
        <is>
          <t xml:space="preserve"> - Đơn giá nhân công</t>
        </is>
      </c>
      <c r="C13" s="1" t="inlineStr">
        <is>
          <t>Theo bảng tổng hợp nhân công</t>
        </is>
      </c>
      <c r="D13" s="11">
        <f>'Nhân công'!$G$9</f>
        <v/>
      </c>
      <c r="E13" s="20" t="inlineStr">
        <is>
          <t>NCHT</t>
        </is>
      </c>
    </row>
    <row r="14">
      <c r="A14" s="20" t="inlineStr">
        <is>
          <t>4</t>
        </is>
      </c>
      <c r="B14" s="1" t="inlineStr">
        <is>
          <t>Chi phí máy và thiết bị thi công</t>
        </is>
      </c>
      <c r="C14" s="1">
        <f>"MHT"</f>
        <v/>
      </c>
      <c r="D14" s="11">
        <f>ROUND(D14, 0)</f>
        <v/>
      </c>
      <c r="E14" s="20" t="inlineStr">
        <is>
          <t>M</t>
        </is>
      </c>
    </row>
    <row r="15">
      <c r="A15" s="30" t="inlineStr"/>
      <c r="B15" s="31" t="inlineStr">
        <is>
          <t xml:space="preserve"> - Đơn giá máy thi công</t>
        </is>
      </c>
      <c r="C15" s="31" t="inlineStr">
        <is>
          <t>Theo bảng tổng hợp máy thi công</t>
        </is>
      </c>
      <c r="D15" s="9">
        <f>'Máy thi công'!$G$80</f>
        <v/>
      </c>
      <c r="E15" s="30" t="inlineStr">
        <is>
          <t>MHT</t>
        </is>
      </c>
    </row>
    <row r="16">
      <c r="A16" s="20" t="inlineStr">
        <is>
          <t>II</t>
        </is>
      </c>
      <c r="B16" s="1" t="inlineStr">
        <is>
          <t>Chi phí gián tiếp</t>
        </is>
      </c>
      <c r="C16" s="1">
        <f>"C + TT"</f>
        <v/>
      </c>
      <c r="D16" s="11">
        <f>D16+D17</f>
        <v/>
      </c>
      <c r="E16" s="20" t="inlineStr">
        <is>
          <t>GT</t>
        </is>
      </c>
    </row>
    <row r="17">
      <c r="A17" s="20" t="inlineStr">
        <is>
          <t>1</t>
        </is>
      </c>
      <c r="B17" s="1" t="inlineStr">
        <is>
          <t>Chi phí chung</t>
        </is>
      </c>
      <c r="C17" s="1">
        <f>"T x 20%"</f>
        <v/>
      </c>
      <c r="D17" s="11">
        <f>ROUND(D6*'Hệ số'!$C$4, 0)</f>
        <v/>
      </c>
      <c r="E17" s="20" t="inlineStr">
        <is>
          <t>C</t>
        </is>
      </c>
    </row>
    <row r="18">
      <c r="A18" s="30" t="inlineStr">
        <is>
          <t>2</t>
        </is>
      </c>
      <c r="B18" s="31" t="inlineStr">
        <is>
          <t>Chi phí một số công việc không xác định từ thiết kế</t>
        </is>
      </c>
      <c r="C18" s="31">
        <f>"T x 2,5%"</f>
        <v/>
      </c>
      <c r="D18" s="9">
        <f>ROUND(D6*'Hệ số'!$C$9, 0)</f>
        <v/>
      </c>
      <c r="E18" s="30" t="inlineStr">
        <is>
          <t>TT</t>
        </is>
      </c>
    </row>
    <row r="19">
      <c r="A19" s="29" t="inlineStr">
        <is>
          <t>III</t>
        </is>
      </c>
      <c r="B19" s="22" t="inlineStr">
        <is>
          <t>Thu nhập chịu thuế tính trước</t>
        </is>
      </c>
      <c r="C19" s="22">
        <f>"(T + GT) x 5,5%"</f>
        <v/>
      </c>
      <c r="D19" s="18">
        <f>ROUND((D6+D15)*'Hệ số'!$C$8, 0)</f>
        <v/>
      </c>
      <c r="E19" s="29" t="inlineStr">
        <is>
          <t>TL</t>
        </is>
      </c>
    </row>
    <row r="20">
      <c r="A20" s="20" t="inlineStr"/>
      <c r="B20" s="1" t="inlineStr">
        <is>
          <t>Chi phí trước thuế</t>
        </is>
      </c>
      <c r="C20" s="1">
        <f>"T + GT + TL"</f>
        <v/>
      </c>
      <c r="D20" s="11">
        <f>ROUND(D6+D15+D18, 0)</f>
        <v/>
      </c>
      <c r="E20" s="20" t="inlineStr">
        <is>
          <t>G</t>
        </is>
      </c>
    </row>
    <row r="21">
      <c r="A21" s="29" t="inlineStr">
        <is>
          <t>IV</t>
        </is>
      </c>
      <c r="B21" s="22" t="inlineStr">
        <is>
          <t>Thuế giá trị gia tăng</t>
        </is>
      </c>
      <c r="C21" s="22">
        <f>"G x 8%"</f>
        <v/>
      </c>
      <c r="D21" s="18">
        <f>ROUND(D19*'Hệ số'!$C$10, 0)</f>
        <v/>
      </c>
      <c r="E21" s="29" t="inlineStr">
        <is>
          <t>GTGT</t>
        </is>
      </c>
    </row>
    <row r="22">
      <c r="A22" s="20" t="inlineStr"/>
      <c r="B22" s="1" t="inlineStr">
        <is>
          <t>CHI PHÍ SAU THUẾ</t>
        </is>
      </c>
      <c r="C22" s="1">
        <f>"G + GTGT"</f>
        <v/>
      </c>
      <c r="D22" s="11">
        <f>ROUND(D19+D20, 0)</f>
        <v/>
      </c>
      <c r="E22" s="20" t="inlineStr">
        <is>
          <t>Gxd</t>
        </is>
      </c>
    </row>
    <row r="23">
      <c r="A23" s="29" t="inlineStr">
        <is>
          <t>V</t>
        </is>
      </c>
      <c r="B23" s="22" t="inlineStr">
        <is>
          <t>Chi phí nhà tạm để ở và điều hành</t>
        </is>
      </c>
      <c r="C23" s="22">
        <f>"G x 1,1% x (1 + 8%)"</f>
        <v/>
      </c>
      <c r="D23" s="18">
        <f>ROUND(D19*'Hệ số'!$C$6*(1+'Hệ số'!$C$10), 0)</f>
        <v/>
      </c>
      <c r="E23" s="29" t="inlineStr">
        <is>
          <t>LT</t>
        </is>
      </c>
    </row>
    <row r="24">
      <c r="A24" s="32" t="inlineStr"/>
      <c r="B24" s="25" t="inlineStr">
        <is>
          <t>TỔNG CỘNG KINH PHÍ GÓI THẦU</t>
        </is>
      </c>
      <c r="C24" s="25">
        <f>"Gxd + LT"</f>
        <v/>
      </c>
      <c r="D24" s="26">
        <f>ROUND(D21+D22, 0)</f>
        <v/>
      </c>
      <c r="E24" s="32" t="inlineStr">
        <is>
          <t>TTS</t>
        </is>
      </c>
    </row>
    <row r="25">
      <c r="A25" s="6" t="inlineStr"/>
      <c r="B25" s="6" t="inlineStr">
        <is>
          <t>LÀM TRÒN (ĐẾN HÀNG NGHÌN ĐỒNG)</t>
        </is>
      </c>
      <c r="C25" s="6">
        <f>"ROUND(D23, -3)"</f>
        <v/>
      </c>
      <c r="D25" s="6">
        <f>ROUND(D23, -3)</f>
        <v/>
      </c>
      <c r="E25" s="6" t="inlineStr">
        <is>
          <t>LTR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45" customWidth="1" min="3" max="3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>
      <c r="A1" s="6" t="inlineStr">
        <is>
          <t>BẢNG ĐƠN GIÁ CHI TIẾT 1 ĐƠN VỊ CÔNG TÁC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6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6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1" t="inlineStr">
        <is>
          <t>STT</t>
        </is>
      </c>
      <c r="B5" s="1" t="inlineStr">
        <is>
          <t>Mã hiệu đơn giá</t>
        </is>
      </c>
      <c r="C5" s="1" t="inlineStr">
        <is>
          <t>Tên công tác quan trắc</t>
        </is>
      </c>
      <c r="D5" s="1" t="inlineStr">
        <is>
          <t>Đơn vị</t>
        </is>
      </c>
      <c r="E5" s="11" t="inlineStr">
        <is>
          <t>ĐG Vật liệu (Đ/mẫu)</t>
        </is>
      </c>
      <c r="F5" s="11" t="inlineStr">
        <is>
          <t>ĐG Nhân công (Đ/mẫu)</t>
        </is>
      </c>
      <c r="G5" s="11" t="inlineStr">
        <is>
          <t>ĐG CCDC (Đ/mẫu)</t>
        </is>
      </c>
      <c r="H5" s="11" t="inlineStr">
        <is>
          <t>ĐG Máy thi công (Đ/mẫu)</t>
        </is>
      </c>
      <c r="I5" s="13" t="inlineStr">
        <is>
          <t>CỘNG CHI PHÍ TRỰC TIẾP 1 MẪU (T)</t>
        </is>
      </c>
      <c r="J5" s="1" t="inlineStr">
        <is>
          <t>Ghi chú quy chuẩn TT20</t>
        </is>
      </c>
    </row>
    <row r="6">
      <c r="A6" s="1" t="n">
        <v>1</v>
      </c>
      <c r="B6" s="1">
        <f>'Công trình'!C7</f>
        <v/>
      </c>
      <c r="C6" s="1">
        <f>'Công trình'!D7</f>
        <v/>
      </c>
      <c r="D6" s="1">
        <f>'Công trình'!E7</f>
        <v/>
      </c>
      <c r="E6" s="11">
        <f>'Công trình'!M7</f>
        <v/>
      </c>
      <c r="F6" s="11">
        <f>'Công trình'!N7</f>
        <v/>
      </c>
      <c r="G6" s="11">
        <f>'Công trình'!O7</f>
        <v/>
      </c>
      <c r="H6" s="11">
        <f>'Công trình'!P7</f>
        <v/>
      </c>
      <c r="I6" s="13">
        <f>E5+F5+G5+H5</f>
        <v/>
      </c>
      <c r="J6" s="1" t="inlineStr">
        <is>
          <t>Bao gồm lấy mẫu hiện trường và phân tích PTN</t>
        </is>
      </c>
    </row>
    <row r="7">
      <c r="A7" s="1" t="n">
        <v>2</v>
      </c>
      <c r="B7" s="1">
        <f>'Công trình'!C8</f>
        <v/>
      </c>
      <c r="C7" s="1">
        <f>'Công trình'!D8</f>
        <v/>
      </c>
      <c r="D7" s="1">
        <f>'Công trình'!E8</f>
        <v/>
      </c>
      <c r="E7" s="11">
        <f>'Công trình'!M8</f>
        <v/>
      </c>
      <c r="F7" s="11">
        <f>'Công trình'!N8</f>
        <v/>
      </c>
      <c r="G7" s="11">
        <f>'Công trình'!O8</f>
        <v/>
      </c>
      <c r="H7" s="11">
        <f>'Công trình'!P8</f>
        <v/>
      </c>
      <c r="I7" s="13">
        <f>E6+F6+G6+H6</f>
        <v/>
      </c>
      <c r="J7" s="1" t="inlineStr">
        <is>
          <t>Bao gồm lấy mẫu hiện trường và phân tích PTN</t>
        </is>
      </c>
    </row>
    <row r="8">
      <c r="A8" s="1" t="n">
        <v>3</v>
      </c>
      <c r="B8" s="1">
        <f>'Công trình'!C9</f>
        <v/>
      </c>
      <c r="C8" s="1">
        <f>'Công trình'!D9</f>
        <v/>
      </c>
      <c r="D8" s="1">
        <f>'Công trình'!E9</f>
        <v/>
      </c>
      <c r="E8" s="11">
        <f>'Công trình'!M9</f>
        <v/>
      </c>
      <c r="F8" s="11">
        <f>'Công trình'!N9</f>
        <v/>
      </c>
      <c r="G8" s="11">
        <f>'Công trình'!O9</f>
        <v/>
      </c>
      <c r="H8" s="11">
        <f>'Công trình'!P9</f>
        <v/>
      </c>
      <c r="I8" s="13">
        <f>E7+F7+G7+H7</f>
        <v/>
      </c>
      <c r="J8" s="1" t="inlineStr">
        <is>
          <t>Bao gồm lấy mẫu hiện trường và phân tích PTN</t>
        </is>
      </c>
    </row>
    <row r="9">
      <c r="A9" s="1" t="n">
        <v>4</v>
      </c>
      <c r="B9" s="1">
        <f>'Công trình'!C10</f>
        <v/>
      </c>
      <c r="C9" s="1">
        <f>'Công trình'!D10</f>
        <v/>
      </c>
      <c r="D9" s="1">
        <f>'Công trình'!E10</f>
        <v/>
      </c>
      <c r="E9" s="11">
        <f>'Công trình'!M10</f>
        <v/>
      </c>
      <c r="F9" s="11">
        <f>'Công trình'!N10</f>
        <v/>
      </c>
      <c r="G9" s="11">
        <f>'Công trình'!O10</f>
        <v/>
      </c>
      <c r="H9" s="11">
        <f>'Công trình'!P10</f>
        <v/>
      </c>
      <c r="I9" s="13">
        <f>E8+F8+G8+H8</f>
        <v/>
      </c>
      <c r="J9" s="1" t="inlineStr">
        <is>
          <t>Bao gồm lấy mẫu hiện trường và phân tích PTN</t>
        </is>
      </c>
    </row>
    <row r="10">
      <c r="A10" s="1" t="n">
        <v>5</v>
      </c>
      <c r="B10" s="1">
        <f>'Công trình'!C11</f>
        <v/>
      </c>
      <c r="C10" s="1">
        <f>'Công trình'!D11</f>
        <v/>
      </c>
      <c r="D10" s="1">
        <f>'Công trình'!E11</f>
        <v/>
      </c>
      <c r="E10" s="11">
        <f>'Công trình'!M11</f>
        <v/>
      </c>
      <c r="F10" s="11">
        <f>'Công trình'!N11</f>
        <v/>
      </c>
      <c r="G10" s="11">
        <f>'Công trình'!O11</f>
        <v/>
      </c>
      <c r="H10" s="11">
        <f>'Công trình'!P11</f>
        <v/>
      </c>
      <c r="I10" s="13">
        <f>E9+F9+G9+H9</f>
        <v/>
      </c>
      <c r="J10" s="1" t="inlineStr">
        <is>
          <t>Bao gồm lấy mẫu hiện trường và phân tích PTN</t>
        </is>
      </c>
    </row>
    <row r="11">
      <c r="A11" s="1" t="n">
        <v>6</v>
      </c>
      <c r="B11" s="1">
        <f>'Công trình'!C12</f>
        <v/>
      </c>
      <c r="C11" s="1">
        <f>'Công trình'!D12</f>
        <v/>
      </c>
      <c r="D11" s="1">
        <f>'Công trình'!E12</f>
        <v/>
      </c>
      <c r="E11" s="11">
        <f>'Công trình'!M12</f>
        <v/>
      </c>
      <c r="F11" s="11">
        <f>'Công trình'!N12</f>
        <v/>
      </c>
      <c r="G11" s="11">
        <f>'Công trình'!O12</f>
        <v/>
      </c>
      <c r="H11" s="11">
        <f>'Công trình'!P12</f>
        <v/>
      </c>
      <c r="I11" s="13">
        <f>E10+F10+G10+H10</f>
        <v/>
      </c>
      <c r="J11" s="1" t="inlineStr">
        <is>
          <t>Bao gồm lấy mẫu hiện trường và phân tích PTN</t>
        </is>
      </c>
    </row>
    <row r="12">
      <c r="A12" s="1" t="n">
        <v>7</v>
      </c>
      <c r="B12" s="1">
        <f>'Công trình'!C13</f>
        <v/>
      </c>
      <c r="C12" s="1">
        <f>'Công trình'!D13</f>
        <v/>
      </c>
      <c r="D12" s="1">
        <f>'Công trình'!E13</f>
        <v/>
      </c>
      <c r="E12" s="11">
        <f>'Công trình'!M13</f>
        <v/>
      </c>
      <c r="F12" s="11">
        <f>'Công trình'!N13</f>
        <v/>
      </c>
      <c r="G12" s="11">
        <f>'Công trình'!O13</f>
        <v/>
      </c>
      <c r="H12" s="11">
        <f>'Công trình'!P13</f>
        <v/>
      </c>
      <c r="I12" s="13">
        <f>E11+F11+G11+H11</f>
        <v/>
      </c>
      <c r="J12" s="1" t="inlineStr">
        <is>
          <t>Bao gồm lấy mẫu hiện trường và phân tích PTN</t>
        </is>
      </c>
    </row>
    <row r="13">
      <c r="A13" s="1" t="n">
        <v>8</v>
      </c>
      <c r="B13" s="1">
        <f>'Công trình'!C14</f>
        <v/>
      </c>
      <c r="C13" s="1">
        <f>'Công trình'!D14</f>
        <v/>
      </c>
      <c r="D13" s="1">
        <f>'Công trình'!E14</f>
        <v/>
      </c>
      <c r="E13" s="11">
        <f>'Công trình'!M14</f>
        <v/>
      </c>
      <c r="F13" s="11">
        <f>'Công trình'!N14</f>
        <v/>
      </c>
      <c r="G13" s="11">
        <f>'Công trình'!O14</f>
        <v/>
      </c>
      <c r="H13" s="11">
        <f>'Công trình'!P14</f>
        <v/>
      </c>
      <c r="I13" s="13">
        <f>E12+F12+G12+H12</f>
        <v/>
      </c>
      <c r="J13" s="1" t="inlineStr">
        <is>
          <t>Bao gồm lấy mẫu hiện trường và phân tích PTN</t>
        </is>
      </c>
    </row>
    <row r="14">
      <c r="A14" s="1" t="n">
        <v>9</v>
      </c>
      <c r="B14" s="1">
        <f>'Công trình'!C15</f>
        <v/>
      </c>
      <c r="C14" s="1">
        <f>'Công trình'!D15</f>
        <v/>
      </c>
      <c r="D14" s="1">
        <f>'Công trình'!E15</f>
        <v/>
      </c>
      <c r="E14" s="11">
        <f>'Công trình'!M15</f>
        <v/>
      </c>
      <c r="F14" s="11">
        <f>'Công trình'!N15</f>
        <v/>
      </c>
      <c r="G14" s="11">
        <f>'Công trình'!O15</f>
        <v/>
      </c>
      <c r="H14" s="11">
        <f>'Công trình'!P15</f>
        <v/>
      </c>
      <c r="I14" s="13">
        <f>E13+F13+G13+H13</f>
        <v/>
      </c>
      <c r="J14" s="1" t="inlineStr">
        <is>
          <t>Bao gồm lấy mẫu hiện trường và phân tích PTN</t>
        </is>
      </c>
    </row>
    <row r="15">
      <c r="A15" s="1" t="n">
        <v>10</v>
      </c>
      <c r="B15" s="1">
        <f>'Công trình'!C16</f>
        <v/>
      </c>
      <c r="C15" s="1">
        <f>'Công trình'!D16</f>
        <v/>
      </c>
      <c r="D15" s="1">
        <f>'Công trình'!E16</f>
        <v/>
      </c>
      <c r="E15" s="11">
        <f>'Công trình'!M16</f>
        <v/>
      </c>
      <c r="F15" s="11">
        <f>'Công trình'!N16</f>
        <v/>
      </c>
      <c r="G15" s="11">
        <f>'Công trình'!O16</f>
        <v/>
      </c>
      <c r="H15" s="11">
        <f>'Công trình'!P16</f>
        <v/>
      </c>
      <c r="I15" s="13">
        <f>E14+F14+G14+H14</f>
        <v/>
      </c>
      <c r="J15" s="1" t="inlineStr">
        <is>
          <t>Bao gồm lấy mẫu hiện trường và phân tích PTN</t>
        </is>
      </c>
    </row>
    <row r="16">
      <c r="A16" s="1" t="n">
        <v>11</v>
      </c>
      <c r="B16" s="1">
        <f>'Công trình'!C17</f>
        <v/>
      </c>
      <c r="C16" s="1">
        <f>'Công trình'!D17</f>
        <v/>
      </c>
      <c r="D16" s="1">
        <f>'Công trình'!E17</f>
        <v/>
      </c>
      <c r="E16" s="11">
        <f>'Công trình'!M17</f>
        <v/>
      </c>
      <c r="F16" s="11">
        <f>'Công trình'!N17</f>
        <v/>
      </c>
      <c r="G16" s="11">
        <f>'Công trình'!O17</f>
        <v/>
      </c>
      <c r="H16" s="11">
        <f>'Công trình'!P17</f>
        <v/>
      </c>
      <c r="I16" s="13">
        <f>E15+F15+G15+H15</f>
        <v/>
      </c>
      <c r="J16" s="1" t="inlineStr">
        <is>
          <t>Bao gồm lấy mẫu hiện trường và phân tích PTN</t>
        </is>
      </c>
    </row>
    <row r="17">
      <c r="A17" s="1" t="n">
        <v>12</v>
      </c>
      <c r="B17" s="1">
        <f>'Công trình'!C18</f>
        <v/>
      </c>
      <c r="C17" s="1">
        <f>'Công trình'!D18</f>
        <v/>
      </c>
      <c r="D17" s="1">
        <f>'Công trình'!E18</f>
        <v/>
      </c>
      <c r="E17" s="11">
        <f>'Công trình'!M18</f>
        <v/>
      </c>
      <c r="F17" s="11">
        <f>'Công trình'!N18</f>
        <v/>
      </c>
      <c r="G17" s="11">
        <f>'Công trình'!O18</f>
        <v/>
      </c>
      <c r="H17" s="11">
        <f>'Công trình'!P18</f>
        <v/>
      </c>
      <c r="I17" s="13">
        <f>E16+F16+G16+H16</f>
        <v/>
      </c>
      <c r="J17" s="1" t="inlineStr">
        <is>
          <t>Bao gồm lấy mẫu hiện trường và phân tích PTN</t>
        </is>
      </c>
    </row>
    <row r="18">
      <c r="A18" s="1" t="n">
        <v>13</v>
      </c>
      <c r="B18" s="1">
        <f>'Công trình'!C19</f>
        <v/>
      </c>
      <c r="C18" s="1">
        <f>'Công trình'!D19</f>
        <v/>
      </c>
      <c r="D18" s="1">
        <f>'Công trình'!E19</f>
        <v/>
      </c>
      <c r="E18" s="11">
        <f>'Công trình'!M19</f>
        <v/>
      </c>
      <c r="F18" s="11">
        <f>'Công trình'!N19</f>
        <v/>
      </c>
      <c r="G18" s="11">
        <f>'Công trình'!O19</f>
        <v/>
      </c>
      <c r="H18" s="11">
        <f>'Công trình'!P19</f>
        <v/>
      </c>
      <c r="I18" s="13">
        <f>E17+F17+G17+H17</f>
        <v/>
      </c>
      <c r="J18" s="1" t="inlineStr">
        <is>
          <t>Bao gồm lấy mẫu hiện trường và phân tích PTN</t>
        </is>
      </c>
    </row>
    <row r="19">
      <c r="A19" s="1" t="n">
        <v>14</v>
      </c>
      <c r="B19" s="1">
        <f>'Công trình'!C20</f>
        <v/>
      </c>
      <c r="C19" s="1">
        <f>'Công trình'!D20</f>
        <v/>
      </c>
      <c r="D19" s="1">
        <f>'Công trình'!E20</f>
        <v/>
      </c>
      <c r="E19" s="11">
        <f>'Công trình'!M20</f>
        <v/>
      </c>
      <c r="F19" s="11">
        <f>'Công trình'!N20</f>
        <v/>
      </c>
      <c r="G19" s="11">
        <f>'Công trình'!O20</f>
        <v/>
      </c>
      <c r="H19" s="11">
        <f>'Công trình'!P20</f>
        <v/>
      </c>
      <c r="I19" s="13">
        <f>E18+F18+G18+H18</f>
        <v/>
      </c>
      <c r="J19" s="1" t="inlineStr">
        <is>
          <t>Bao gồm lấy mẫu hiện trường và phân tích PTN</t>
        </is>
      </c>
    </row>
    <row r="20">
      <c r="A20" s="1" t="n">
        <v>15</v>
      </c>
      <c r="B20" s="1">
        <f>'Công trình'!C21</f>
        <v/>
      </c>
      <c r="C20" s="1">
        <f>'Công trình'!D21</f>
        <v/>
      </c>
      <c r="D20" s="1">
        <f>'Công trình'!E21</f>
        <v/>
      </c>
      <c r="E20" s="11">
        <f>'Công trình'!M21</f>
        <v/>
      </c>
      <c r="F20" s="11">
        <f>'Công trình'!N21</f>
        <v/>
      </c>
      <c r="G20" s="11">
        <f>'Công trình'!O21</f>
        <v/>
      </c>
      <c r="H20" s="11">
        <f>'Công trình'!P21</f>
        <v/>
      </c>
      <c r="I20" s="13">
        <f>E19+F19+G19+H19</f>
        <v/>
      </c>
      <c r="J20" s="1" t="inlineStr">
        <is>
          <t>Bao gồm lấy mẫu hiện trường và phân tích PTN</t>
        </is>
      </c>
    </row>
    <row r="21">
      <c r="A21" s="1" t="n">
        <v>16</v>
      </c>
      <c r="B21" s="1">
        <f>'Công trình'!C22</f>
        <v/>
      </c>
      <c r="C21" s="1">
        <f>'Công trình'!D22</f>
        <v/>
      </c>
      <c r="D21" s="1">
        <f>'Công trình'!E22</f>
        <v/>
      </c>
      <c r="E21" s="11">
        <f>'Công trình'!M22</f>
        <v/>
      </c>
      <c r="F21" s="11">
        <f>'Công trình'!N22</f>
        <v/>
      </c>
      <c r="G21" s="11">
        <f>'Công trình'!O22</f>
        <v/>
      </c>
      <c r="H21" s="11">
        <f>'Công trình'!P22</f>
        <v/>
      </c>
      <c r="I21" s="13">
        <f>E20+F20+G20+H20</f>
        <v/>
      </c>
      <c r="J21" s="1" t="inlineStr">
        <is>
          <t>Bao gồm lấy mẫu hiện trường và phân tích PTN</t>
        </is>
      </c>
    </row>
    <row r="22">
      <c r="A22" s="1" t="n">
        <v>17</v>
      </c>
      <c r="B22" s="1">
        <f>'Công trình'!C23</f>
        <v/>
      </c>
      <c r="C22" s="1">
        <f>'Công trình'!D23</f>
        <v/>
      </c>
      <c r="D22" s="1">
        <f>'Công trình'!E23</f>
        <v/>
      </c>
      <c r="E22" s="11">
        <f>'Công trình'!M23</f>
        <v/>
      </c>
      <c r="F22" s="11">
        <f>'Công trình'!N23</f>
        <v/>
      </c>
      <c r="G22" s="11">
        <f>'Công trình'!O23</f>
        <v/>
      </c>
      <c r="H22" s="11">
        <f>'Công trình'!P23</f>
        <v/>
      </c>
      <c r="I22" s="13">
        <f>E21+F21+G21+H21</f>
        <v/>
      </c>
      <c r="J22" s="1" t="inlineStr">
        <is>
          <t>Bao gồm lấy mẫu hiện trường và phân tích PTN</t>
        </is>
      </c>
    </row>
    <row r="23">
      <c r="A23" s="1" t="n">
        <v>18</v>
      </c>
      <c r="B23" s="1">
        <f>'Công trình'!C24</f>
        <v/>
      </c>
      <c r="C23" s="1">
        <f>'Công trình'!D24</f>
        <v/>
      </c>
      <c r="D23" s="1">
        <f>'Công trình'!E24</f>
        <v/>
      </c>
      <c r="E23" s="11">
        <f>'Công trình'!M24</f>
        <v/>
      </c>
      <c r="F23" s="11">
        <f>'Công trình'!N24</f>
        <v/>
      </c>
      <c r="G23" s="11">
        <f>'Công trình'!O24</f>
        <v/>
      </c>
      <c r="H23" s="11">
        <f>'Công trình'!P24</f>
        <v/>
      </c>
      <c r="I23" s="13">
        <f>E22+F22+G22+H22</f>
        <v/>
      </c>
      <c r="J23" s="1" t="inlineStr">
        <is>
          <t>Bao gồm lấy mẫu hiện trường và phân tích PTN</t>
        </is>
      </c>
    </row>
    <row r="24">
      <c r="A24" s="1" t="n">
        <v>19</v>
      </c>
      <c r="B24" s="1">
        <f>'Công trình'!C25</f>
        <v/>
      </c>
      <c r="C24" s="1">
        <f>'Công trình'!D25</f>
        <v/>
      </c>
      <c r="D24" s="1">
        <f>'Công trình'!E25</f>
        <v/>
      </c>
      <c r="E24" s="11">
        <f>'Công trình'!M25</f>
        <v/>
      </c>
      <c r="F24" s="11">
        <f>'Công trình'!N25</f>
        <v/>
      </c>
      <c r="G24" s="11">
        <f>'Công trình'!O25</f>
        <v/>
      </c>
      <c r="H24" s="11">
        <f>'Công trình'!P25</f>
        <v/>
      </c>
      <c r="I24" s="13">
        <f>E23+F23+G23+H23</f>
        <v/>
      </c>
      <c r="J24" s="1" t="inlineStr">
        <is>
          <t>Bao gồm lấy mẫu hiện trường và phân tích PTN</t>
        </is>
      </c>
    </row>
    <row r="25">
      <c r="A25" s="1" t="n">
        <v>20</v>
      </c>
      <c r="B25" s="1">
        <f>'Công trình'!C26</f>
        <v/>
      </c>
      <c r="C25" s="1">
        <f>'Công trình'!D26</f>
        <v/>
      </c>
      <c r="D25" s="1">
        <f>'Công trình'!E26</f>
        <v/>
      </c>
      <c r="E25" s="11">
        <f>'Công trình'!M26</f>
        <v/>
      </c>
      <c r="F25" s="11">
        <f>'Công trình'!N26</f>
        <v/>
      </c>
      <c r="G25" s="11">
        <f>'Công trình'!O26</f>
        <v/>
      </c>
      <c r="H25" s="11">
        <f>'Công trình'!P26</f>
        <v/>
      </c>
      <c r="I25" s="13">
        <f>E24+F24+G24+H24</f>
        <v/>
      </c>
      <c r="J25" s="1" t="inlineStr">
        <is>
          <t>Bao gồm lấy mẫu hiện trường và phân tích PTN</t>
        </is>
      </c>
    </row>
    <row r="26">
      <c r="A26" s="1" t="n">
        <v>21</v>
      </c>
      <c r="B26" s="1">
        <f>'Công trình'!C27</f>
        <v/>
      </c>
      <c r="C26" s="1">
        <f>'Công trình'!D27</f>
        <v/>
      </c>
      <c r="D26" s="1">
        <f>'Công trình'!E27</f>
        <v/>
      </c>
      <c r="E26" s="11">
        <f>'Công trình'!M27</f>
        <v/>
      </c>
      <c r="F26" s="11">
        <f>'Công trình'!N27</f>
        <v/>
      </c>
      <c r="G26" s="11">
        <f>'Công trình'!O27</f>
        <v/>
      </c>
      <c r="H26" s="11">
        <f>'Công trình'!P27</f>
        <v/>
      </c>
      <c r="I26" s="13">
        <f>E25+F25+G25+H25</f>
        <v/>
      </c>
      <c r="J26" s="1" t="inlineStr">
        <is>
          <t>Bao gồm lấy mẫu hiện trường và phân tích PTN</t>
        </is>
      </c>
    </row>
    <row r="27">
      <c r="A27" s="1" t="n">
        <v>22</v>
      </c>
      <c r="B27" s="1">
        <f>'Công trình'!C28</f>
        <v/>
      </c>
      <c r="C27" s="1">
        <f>'Công trình'!D28</f>
        <v/>
      </c>
      <c r="D27" s="1">
        <f>'Công trình'!E28</f>
        <v/>
      </c>
      <c r="E27" s="11">
        <f>'Công trình'!M28</f>
        <v/>
      </c>
      <c r="F27" s="11">
        <f>'Công trình'!N28</f>
        <v/>
      </c>
      <c r="G27" s="11">
        <f>'Công trình'!O28</f>
        <v/>
      </c>
      <c r="H27" s="11">
        <f>'Công trình'!P28</f>
        <v/>
      </c>
      <c r="I27" s="13">
        <f>E26+F26+G26+H26</f>
        <v/>
      </c>
      <c r="J27" s="1" t="inlineStr">
        <is>
          <t>Bao gồm lấy mẫu hiện trường và phân tích PTN</t>
        </is>
      </c>
    </row>
    <row r="28">
      <c r="A28" s="1" t="n">
        <v>23</v>
      </c>
      <c r="B28" s="1">
        <f>'Công trình'!C29</f>
        <v/>
      </c>
      <c r="C28" s="1">
        <f>'Công trình'!D29</f>
        <v/>
      </c>
      <c r="D28" s="1">
        <f>'Công trình'!E29</f>
        <v/>
      </c>
      <c r="E28" s="11">
        <f>'Công trình'!M29</f>
        <v/>
      </c>
      <c r="F28" s="11">
        <f>'Công trình'!N29</f>
        <v/>
      </c>
      <c r="G28" s="11">
        <f>'Công trình'!O29</f>
        <v/>
      </c>
      <c r="H28" s="11">
        <f>'Công trình'!P29</f>
        <v/>
      </c>
      <c r="I28" s="13">
        <f>E27+F27+G27+H27</f>
        <v/>
      </c>
      <c r="J28" s="1" t="inlineStr">
        <is>
          <t>Bao gồm lấy mẫu hiện trường và phân tích PTN</t>
        </is>
      </c>
    </row>
    <row r="29">
      <c r="A29" s="1" t="n">
        <v>24</v>
      </c>
      <c r="B29" s="1">
        <f>'Công trình'!C30</f>
        <v/>
      </c>
      <c r="C29" s="1">
        <f>'Công trình'!D30</f>
        <v/>
      </c>
      <c r="D29" s="1">
        <f>'Công trình'!E30</f>
        <v/>
      </c>
      <c r="E29" s="11">
        <f>'Công trình'!M30</f>
        <v/>
      </c>
      <c r="F29" s="11">
        <f>'Công trình'!N30</f>
        <v/>
      </c>
      <c r="G29" s="11">
        <f>'Công trình'!O30</f>
        <v/>
      </c>
      <c r="H29" s="11">
        <f>'Công trình'!P30</f>
        <v/>
      </c>
      <c r="I29" s="13">
        <f>E28+F28+G28+H28</f>
        <v/>
      </c>
      <c r="J29" s="1" t="inlineStr">
        <is>
          <t>Bao gồm lấy mẫu hiện trường và phân tích PTN</t>
        </is>
      </c>
    </row>
    <row r="30">
      <c r="A30" s="1" t="n">
        <v>25</v>
      </c>
      <c r="B30" s="1">
        <f>'Công trình'!C31</f>
        <v/>
      </c>
      <c r="C30" s="1">
        <f>'Công trình'!D31</f>
        <v/>
      </c>
      <c r="D30" s="1">
        <f>'Công trình'!E31</f>
        <v/>
      </c>
      <c r="E30" s="11">
        <f>'Công trình'!M31</f>
        <v/>
      </c>
      <c r="F30" s="11">
        <f>'Công trình'!N31</f>
        <v/>
      </c>
      <c r="G30" s="11">
        <f>'Công trình'!O31</f>
        <v/>
      </c>
      <c r="H30" s="11">
        <f>'Công trình'!P31</f>
        <v/>
      </c>
      <c r="I30" s="13">
        <f>E29+F29+G29+H29</f>
        <v/>
      </c>
      <c r="J30" s="1" t="inlineStr">
        <is>
          <t>Bao gồm lấy mẫu hiện trường và phân tích PTN</t>
        </is>
      </c>
    </row>
    <row r="31">
      <c r="A31" s="1" t="n">
        <v>26</v>
      </c>
      <c r="B31" s="1">
        <f>'Công trình'!C32</f>
        <v/>
      </c>
      <c r="C31" s="1">
        <f>'Công trình'!D32</f>
        <v/>
      </c>
      <c r="D31" s="1">
        <f>'Công trình'!E32</f>
        <v/>
      </c>
      <c r="E31" s="11">
        <f>'Công trình'!M32</f>
        <v/>
      </c>
      <c r="F31" s="11">
        <f>'Công trình'!N32</f>
        <v/>
      </c>
      <c r="G31" s="11">
        <f>'Công trình'!O32</f>
        <v/>
      </c>
      <c r="H31" s="11">
        <f>'Công trình'!P32</f>
        <v/>
      </c>
      <c r="I31" s="13">
        <f>E30+F30+G30+H30</f>
        <v/>
      </c>
      <c r="J31" s="1" t="inlineStr">
        <is>
          <t>Bao gồm lấy mẫu hiện trường và phân tích PTN</t>
        </is>
      </c>
    </row>
    <row r="32">
      <c r="A32" s="1" t="n">
        <v>27</v>
      </c>
      <c r="B32" s="1">
        <f>'Công trình'!C33</f>
        <v/>
      </c>
      <c r="C32" s="1">
        <f>'Công trình'!D33</f>
        <v/>
      </c>
      <c r="D32" s="1">
        <f>'Công trình'!E33</f>
        <v/>
      </c>
      <c r="E32" s="11">
        <f>'Công trình'!M33</f>
        <v/>
      </c>
      <c r="F32" s="11">
        <f>'Công trình'!N33</f>
        <v/>
      </c>
      <c r="G32" s="11">
        <f>'Công trình'!O33</f>
        <v/>
      </c>
      <c r="H32" s="11">
        <f>'Công trình'!P33</f>
        <v/>
      </c>
      <c r="I32" s="13">
        <f>E31+F31+G31+H31</f>
        <v/>
      </c>
      <c r="J32" s="1" t="inlineStr">
        <is>
          <t>Bao gồm lấy mẫu hiện trường và phân tích PTN</t>
        </is>
      </c>
    </row>
    <row r="33">
      <c r="A33" s="1" t="n">
        <v>28</v>
      </c>
      <c r="B33" s="1">
        <f>'Công trình'!C34</f>
        <v/>
      </c>
      <c r="C33" s="1">
        <f>'Công trình'!D34</f>
        <v/>
      </c>
      <c r="D33" s="1">
        <f>'Công trình'!E34</f>
        <v/>
      </c>
      <c r="E33" s="11">
        <f>'Công trình'!M34</f>
        <v/>
      </c>
      <c r="F33" s="11">
        <f>'Công trình'!N34</f>
        <v/>
      </c>
      <c r="G33" s="11">
        <f>'Công trình'!O34</f>
        <v/>
      </c>
      <c r="H33" s="11">
        <f>'Công trình'!P34</f>
        <v/>
      </c>
      <c r="I33" s="13">
        <f>E32+F32+G32+H32</f>
        <v/>
      </c>
      <c r="J33" s="1" t="inlineStr">
        <is>
          <t>Bao gồm lấy mẫu hiện trường và phân tích PTN</t>
        </is>
      </c>
    </row>
    <row r="34">
      <c r="A34" s="1" t="n">
        <v>29</v>
      </c>
      <c r="B34" s="1">
        <f>'Công trình'!C35</f>
        <v/>
      </c>
      <c r="C34" s="1">
        <f>'Công trình'!D35</f>
        <v/>
      </c>
      <c r="D34" s="1">
        <f>'Công trình'!E35</f>
        <v/>
      </c>
      <c r="E34" s="11">
        <f>'Công trình'!M35</f>
        <v/>
      </c>
      <c r="F34" s="11">
        <f>'Công trình'!N35</f>
        <v/>
      </c>
      <c r="G34" s="11">
        <f>'Công trình'!O35</f>
        <v/>
      </c>
      <c r="H34" s="11">
        <f>'Công trình'!P35</f>
        <v/>
      </c>
      <c r="I34" s="13">
        <f>E33+F33+G33+H33</f>
        <v/>
      </c>
      <c r="J34" s="1" t="inlineStr">
        <is>
          <t>Bao gồm lấy mẫu hiện trường và phân tích PTN</t>
        </is>
      </c>
    </row>
    <row r="35">
      <c r="A35" s="1" t="n">
        <v>30</v>
      </c>
      <c r="B35" s="1">
        <f>'Công trình'!C36</f>
        <v/>
      </c>
      <c r="C35" s="1">
        <f>'Công trình'!D36</f>
        <v/>
      </c>
      <c r="D35" s="1">
        <f>'Công trình'!E36</f>
        <v/>
      </c>
      <c r="E35" s="11">
        <f>'Công trình'!M36</f>
        <v/>
      </c>
      <c r="F35" s="11">
        <f>'Công trình'!N36</f>
        <v/>
      </c>
      <c r="G35" s="11">
        <f>'Công trình'!O36</f>
        <v/>
      </c>
      <c r="H35" s="11">
        <f>'Công trình'!P36</f>
        <v/>
      </c>
      <c r="I35" s="13">
        <f>E34+F34+G34+H34</f>
        <v/>
      </c>
      <c r="J35" s="1" t="inlineStr">
        <is>
          <t>Bao gồm lấy mẫu hiện trường và phân tích PTN</t>
        </is>
      </c>
    </row>
    <row r="36">
      <c r="A36" s="1" t="n">
        <v>31</v>
      </c>
      <c r="B36" s="1">
        <f>'Công trình'!C37</f>
        <v/>
      </c>
      <c r="C36" s="1">
        <f>'Công trình'!D37</f>
        <v/>
      </c>
      <c r="D36" s="1">
        <f>'Công trình'!E37</f>
        <v/>
      </c>
      <c r="E36" s="11">
        <f>'Công trình'!M37</f>
        <v/>
      </c>
      <c r="F36" s="11">
        <f>'Công trình'!N37</f>
        <v/>
      </c>
      <c r="G36" s="11">
        <f>'Công trình'!O37</f>
        <v/>
      </c>
      <c r="H36" s="11">
        <f>'Công trình'!P37</f>
        <v/>
      </c>
      <c r="I36" s="13">
        <f>E35+F35+G35+H35</f>
        <v/>
      </c>
      <c r="J36" s="1" t="inlineStr">
        <is>
          <t>Bao gồm lấy mẫu hiện trường và phân tích PTN</t>
        </is>
      </c>
    </row>
    <row r="37">
      <c r="A37" s="1" t="n">
        <v>32</v>
      </c>
      <c r="B37" s="1">
        <f>'Công trình'!C38</f>
        <v/>
      </c>
      <c r="C37" s="1">
        <f>'Công trình'!D38</f>
        <v/>
      </c>
      <c r="D37" s="1">
        <f>'Công trình'!E38</f>
        <v/>
      </c>
      <c r="E37" s="11">
        <f>'Công trình'!M38</f>
        <v/>
      </c>
      <c r="F37" s="11">
        <f>'Công trình'!N38</f>
        <v/>
      </c>
      <c r="G37" s="11">
        <f>'Công trình'!O38</f>
        <v/>
      </c>
      <c r="H37" s="11">
        <f>'Công trình'!P38</f>
        <v/>
      </c>
      <c r="I37" s="13">
        <f>E36+F36+G36+H36</f>
        <v/>
      </c>
      <c r="J37" s="1" t="inlineStr">
        <is>
          <t>Bao gồm lấy mẫu hiện trường và phân tích PTN</t>
        </is>
      </c>
    </row>
    <row r="38">
      <c r="A38" s="1" t="n">
        <v>33</v>
      </c>
      <c r="B38" s="1">
        <f>'Công trình'!C39</f>
        <v/>
      </c>
      <c r="C38" s="1">
        <f>'Công trình'!D39</f>
        <v/>
      </c>
      <c r="D38" s="1">
        <f>'Công trình'!E39</f>
        <v/>
      </c>
      <c r="E38" s="11">
        <f>'Công trình'!M39</f>
        <v/>
      </c>
      <c r="F38" s="11">
        <f>'Công trình'!N39</f>
        <v/>
      </c>
      <c r="G38" s="11">
        <f>'Công trình'!O39</f>
        <v/>
      </c>
      <c r="H38" s="11">
        <f>'Công trình'!P39</f>
        <v/>
      </c>
      <c r="I38" s="13">
        <f>E37+F37+G37+H37</f>
        <v/>
      </c>
      <c r="J38" s="1" t="inlineStr">
        <is>
          <t>Bao gồm lấy mẫu hiện trường và phân tích PTN</t>
        </is>
      </c>
    </row>
    <row r="39">
      <c r="A39" s="1" t="n">
        <v>34</v>
      </c>
      <c r="B39" s="1">
        <f>'Công trình'!C40</f>
        <v/>
      </c>
      <c r="C39" s="1">
        <f>'Công trình'!D40</f>
        <v/>
      </c>
      <c r="D39" s="1">
        <f>'Công trình'!E40</f>
        <v/>
      </c>
      <c r="E39" s="11">
        <f>'Công trình'!M40</f>
        <v/>
      </c>
      <c r="F39" s="11">
        <f>'Công trình'!N40</f>
        <v/>
      </c>
      <c r="G39" s="11">
        <f>'Công trình'!O40</f>
        <v/>
      </c>
      <c r="H39" s="11">
        <f>'Công trình'!P40</f>
        <v/>
      </c>
      <c r="I39" s="13">
        <f>E38+F38+G38+H38</f>
        <v/>
      </c>
      <c r="J39" s="1" t="inlineStr">
        <is>
          <t>Bao gồm lấy mẫu hiện trường và phân tích PTN</t>
        </is>
      </c>
    </row>
    <row r="40">
      <c r="A40" s="1" t="n">
        <v>35</v>
      </c>
      <c r="B40" s="1">
        <f>'Công trình'!C41</f>
        <v/>
      </c>
      <c r="C40" s="1">
        <f>'Công trình'!D41</f>
        <v/>
      </c>
      <c r="D40" s="1">
        <f>'Công trình'!E41</f>
        <v/>
      </c>
      <c r="E40" s="11">
        <f>'Công trình'!M41</f>
        <v/>
      </c>
      <c r="F40" s="11">
        <f>'Công trình'!N41</f>
        <v/>
      </c>
      <c r="G40" s="11">
        <f>'Công trình'!O41</f>
        <v/>
      </c>
      <c r="H40" s="11">
        <f>'Công trình'!P41</f>
        <v/>
      </c>
      <c r="I40" s="13">
        <f>E39+F39+G39+H39</f>
        <v/>
      </c>
      <c r="J40" s="1" t="inlineStr">
        <is>
          <t>Bao gồm lấy mẫu hiện trường và phân tích PTN</t>
        </is>
      </c>
    </row>
    <row r="41">
      <c r="A41" s="1" t="n">
        <v>36</v>
      </c>
      <c r="B41" s="1">
        <f>'Công trình'!C42</f>
        <v/>
      </c>
      <c r="C41" s="1">
        <f>'Công trình'!D42</f>
        <v/>
      </c>
      <c r="D41" s="1">
        <f>'Công trình'!E42</f>
        <v/>
      </c>
      <c r="E41" s="11">
        <f>'Công trình'!M42</f>
        <v/>
      </c>
      <c r="F41" s="11">
        <f>'Công trình'!N42</f>
        <v/>
      </c>
      <c r="G41" s="11">
        <f>'Công trình'!O42</f>
        <v/>
      </c>
      <c r="H41" s="11">
        <f>'Công trình'!P42</f>
        <v/>
      </c>
      <c r="I41" s="13">
        <f>E40+F40+G40+H40</f>
        <v/>
      </c>
      <c r="J41" s="1" t="inlineStr">
        <is>
          <t>Bao gồm lấy mẫu hiện trường và phân tích PTN</t>
        </is>
      </c>
    </row>
    <row r="42">
      <c r="A42" s="1" t="n">
        <v>37</v>
      </c>
      <c r="B42" s="1">
        <f>'Công trình'!C43</f>
        <v/>
      </c>
      <c r="C42" s="1">
        <f>'Công trình'!D43</f>
        <v/>
      </c>
      <c r="D42" s="1">
        <f>'Công trình'!E43</f>
        <v/>
      </c>
      <c r="E42" s="11">
        <f>'Công trình'!M43</f>
        <v/>
      </c>
      <c r="F42" s="11">
        <f>'Công trình'!N43</f>
        <v/>
      </c>
      <c r="G42" s="11">
        <f>'Công trình'!O43</f>
        <v/>
      </c>
      <c r="H42" s="11">
        <f>'Công trình'!P43</f>
        <v/>
      </c>
      <c r="I42" s="13">
        <f>E41+F41+G41+H41</f>
        <v/>
      </c>
      <c r="J42" s="1" t="inlineStr">
        <is>
          <t>Bao gồm lấy mẫu hiện trường và phân tích PTN</t>
        </is>
      </c>
    </row>
    <row r="43">
      <c r="A43" s="1" t="n">
        <v>38</v>
      </c>
      <c r="B43" s="1">
        <f>'Công trình'!C44</f>
        <v/>
      </c>
      <c r="C43" s="1">
        <f>'Công trình'!D44</f>
        <v/>
      </c>
      <c r="D43" s="1">
        <f>'Công trình'!E44</f>
        <v/>
      </c>
      <c r="E43" s="11">
        <f>'Công trình'!M44</f>
        <v/>
      </c>
      <c r="F43" s="11">
        <f>'Công trình'!N44</f>
        <v/>
      </c>
      <c r="G43" s="11">
        <f>'Công trình'!O44</f>
        <v/>
      </c>
      <c r="H43" s="11">
        <f>'Công trình'!P44</f>
        <v/>
      </c>
      <c r="I43" s="13">
        <f>E42+F42+G42+H42</f>
        <v/>
      </c>
      <c r="J43" s="1" t="inlineStr">
        <is>
          <t>Bao gồm lấy mẫu hiện trường và phân tích PTN</t>
        </is>
      </c>
    </row>
    <row r="44">
      <c r="A44" s="1" t="n">
        <v>39</v>
      </c>
      <c r="B44" s="1">
        <f>'Công trình'!C45</f>
        <v/>
      </c>
      <c r="C44" s="1">
        <f>'Công trình'!D45</f>
        <v/>
      </c>
      <c r="D44" s="1">
        <f>'Công trình'!E45</f>
        <v/>
      </c>
      <c r="E44" s="11">
        <f>'Công trình'!M45</f>
        <v/>
      </c>
      <c r="F44" s="11">
        <f>'Công trình'!N45</f>
        <v/>
      </c>
      <c r="G44" s="11">
        <f>'Công trình'!O45</f>
        <v/>
      </c>
      <c r="H44" s="11">
        <f>'Công trình'!P45</f>
        <v/>
      </c>
      <c r="I44" s="13">
        <f>E43+F43+G43+H43</f>
        <v/>
      </c>
      <c r="J44" s="1" t="inlineStr">
        <is>
          <t>Bao gồm lấy mẫu hiện trường và phân tích PTN</t>
        </is>
      </c>
    </row>
    <row r="45">
      <c r="A45" s="1" t="n">
        <v>40</v>
      </c>
      <c r="B45" s="1">
        <f>'Công trình'!C46</f>
        <v/>
      </c>
      <c r="C45" s="1">
        <f>'Công trình'!D46</f>
        <v/>
      </c>
      <c r="D45" s="1">
        <f>'Công trình'!E46</f>
        <v/>
      </c>
      <c r="E45" s="11">
        <f>'Công trình'!M46</f>
        <v/>
      </c>
      <c r="F45" s="11">
        <f>'Công trình'!N46</f>
        <v/>
      </c>
      <c r="G45" s="11">
        <f>'Công trình'!O46</f>
        <v/>
      </c>
      <c r="H45" s="11">
        <f>'Công trình'!P46</f>
        <v/>
      </c>
      <c r="I45" s="13">
        <f>E44+F44+G44+H44</f>
        <v/>
      </c>
      <c r="J45" s="1" t="inlineStr">
        <is>
          <t>Bao gồm lấy mẫu hiện trường và phân tích PTN</t>
        </is>
      </c>
    </row>
    <row r="46">
      <c r="A46" s="1" t="n">
        <v>41</v>
      </c>
      <c r="B46" s="1">
        <f>'Công trình'!C47</f>
        <v/>
      </c>
      <c r="C46" s="1">
        <f>'Công trình'!D47</f>
        <v/>
      </c>
      <c r="D46" s="1">
        <f>'Công trình'!E47</f>
        <v/>
      </c>
      <c r="E46" s="11">
        <f>'Công trình'!M47</f>
        <v/>
      </c>
      <c r="F46" s="11">
        <f>'Công trình'!N47</f>
        <v/>
      </c>
      <c r="G46" s="11">
        <f>'Công trình'!O47</f>
        <v/>
      </c>
      <c r="H46" s="11">
        <f>'Công trình'!P47</f>
        <v/>
      </c>
      <c r="I46" s="13">
        <f>E45+F45+G45+H45</f>
        <v/>
      </c>
      <c r="J46" s="1" t="inlineStr">
        <is>
          <t>Bao gồm lấy mẫu hiện trường và phân tích PTN</t>
        </is>
      </c>
    </row>
    <row r="47">
      <c r="A47" s="1" t="n">
        <v>42</v>
      </c>
      <c r="B47" s="1">
        <f>'Công trình'!C48</f>
        <v/>
      </c>
      <c r="C47" s="1">
        <f>'Công trình'!D48</f>
        <v/>
      </c>
      <c r="D47" s="1">
        <f>'Công trình'!E48</f>
        <v/>
      </c>
      <c r="E47" s="11">
        <f>'Công trình'!M48</f>
        <v/>
      </c>
      <c r="F47" s="11">
        <f>'Công trình'!N48</f>
        <v/>
      </c>
      <c r="G47" s="11">
        <f>'Công trình'!O48</f>
        <v/>
      </c>
      <c r="H47" s="11">
        <f>'Công trình'!P48</f>
        <v/>
      </c>
      <c r="I47" s="13">
        <f>E46+F46+G46+H46</f>
        <v/>
      </c>
      <c r="J47" s="1" t="inlineStr">
        <is>
          <t>Bao gồm lấy mẫu hiện trường và phân tích PTN</t>
        </is>
      </c>
    </row>
    <row r="48">
      <c r="A48" s="1" t="n">
        <v>43</v>
      </c>
      <c r="B48" s="1">
        <f>'Công trình'!C49</f>
        <v/>
      </c>
      <c r="C48" s="1">
        <f>'Công trình'!D49</f>
        <v/>
      </c>
      <c r="D48" s="1">
        <f>'Công trình'!E49</f>
        <v/>
      </c>
      <c r="E48" s="11">
        <f>'Công trình'!M49</f>
        <v/>
      </c>
      <c r="F48" s="11">
        <f>'Công trình'!N49</f>
        <v/>
      </c>
      <c r="G48" s="11">
        <f>'Công trình'!O49</f>
        <v/>
      </c>
      <c r="H48" s="11">
        <f>'Công trình'!P49</f>
        <v/>
      </c>
      <c r="I48" s="13">
        <f>E47+F47+G47+H47</f>
        <v/>
      </c>
      <c r="J48" s="1" t="inlineStr">
        <is>
          <t>Bao gồm lấy mẫu hiện trường và phân tích PTN</t>
        </is>
      </c>
    </row>
    <row r="49">
      <c r="A49" s="1" t="n">
        <v>44</v>
      </c>
      <c r="B49" s="1">
        <f>'Công trình'!C50</f>
        <v/>
      </c>
      <c r="C49" s="1">
        <f>'Công trình'!D50</f>
        <v/>
      </c>
      <c r="D49" s="1">
        <f>'Công trình'!E50</f>
        <v/>
      </c>
      <c r="E49" s="11">
        <f>'Công trình'!M50</f>
        <v/>
      </c>
      <c r="F49" s="11">
        <f>'Công trình'!N50</f>
        <v/>
      </c>
      <c r="G49" s="11">
        <f>'Công trình'!O50</f>
        <v/>
      </c>
      <c r="H49" s="11">
        <f>'Công trình'!P50</f>
        <v/>
      </c>
      <c r="I49" s="13">
        <f>E48+F48+G48+H48</f>
        <v/>
      </c>
      <c r="J49" s="1" t="inlineStr">
        <is>
          <t>Bao gồm lấy mẫu hiện trường và phân tích PTN</t>
        </is>
      </c>
    </row>
    <row r="50">
      <c r="A50" s="1" t="n">
        <v>45</v>
      </c>
      <c r="B50" s="1">
        <f>'Công trình'!C51</f>
        <v/>
      </c>
      <c r="C50" s="1">
        <f>'Công trình'!D51</f>
        <v/>
      </c>
      <c r="D50" s="1">
        <f>'Công trình'!E51</f>
        <v/>
      </c>
      <c r="E50" s="11">
        <f>'Công trình'!M51</f>
        <v/>
      </c>
      <c r="F50" s="11">
        <f>'Công trình'!N51</f>
        <v/>
      </c>
      <c r="G50" s="11">
        <f>'Công trình'!O51</f>
        <v/>
      </c>
      <c r="H50" s="11">
        <f>'Công trình'!P51</f>
        <v/>
      </c>
      <c r="I50" s="13">
        <f>E49+F49+G49+H49</f>
        <v/>
      </c>
      <c r="J50" s="1" t="inlineStr">
        <is>
          <t>Bao gồm lấy mẫu hiện trường và phân tích PTN</t>
        </is>
      </c>
    </row>
    <row r="51">
      <c r="A51" s="1" t="n">
        <v>46</v>
      </c>
      <c r="B51" s="1">
        <f>'Công trình'!C52</f>
        <v/>
      </c>
      <c r="C51" s="1">
        <f>'Công trình'!D52</f>
        <v/>
      </c>
      <c r="D51" s="1">
        <f>'Công trình'!E52</f>
        <v/>
      </c>
      <c r="E51" s="11">
        <f>'Công trình'!M52</f>
        <v/>
      </c>
      <c r="F51" s="11">
        <f>'Công trình'!N52</f>
        <v/>
      </c>
      <c r="G51" s="11">
        <f>'Công trình'!O52</f>
        <v/>
      </c>
      <c r="H51" s="11">
        <f>'Công trình'!P52</f>
        <v/>
      </c>
      <c r="I51" s="13">
        <f>E50+F50+G50+H50</f>
        <v/>
      </c>
      <c r="J51" s="1" t="inlineStr">
        <is>
          <t>Bao gồm lấy mẫu hiện trường và phân tích PTN</t>
        </is>
      </c>
    </row>
    <row r="52">
      <c r="A52" s="1" t="n">
        <v>47</v>
      </c>
      <c r="B52" s="1">
        <f>'Công trình'!C53</f>
        <v/>
      </c>
      <c r="C52" s="1">
        <f>'Công trình'!D53</f>
        <v/>
      </c>
      <c r="D52" s="1">
        <f>'Công trình'!E53</f>
        <v/>
      </c>
      <c r="E52" s="11">
        <f>'Công trình'!M53</f>
        <v/>
      </c>
      <c r="F52" s="11">
        <f>'Công trình'!N53</f>
        <v/>
      </c>
      <c r="G52" s="11">
        <f>'Công trình'!O53</f>
        <v/>
      </c>
      <c r="H52" s="11">
        <f>'Công trình'!P53</f>
        <v/>
      </c>
      <c r="I52" s="13">
        <f>E51+F51+G51+H51</f>
        <v/>
      </c>
      <c r="J52" s="1" t="inlineStr">
        <is>
          <t>Bao gồm lấy mẫu hiện trường và phân tích PTN</t>
        </is>
      </c>
    </row>
    <row r="53">
      <c r="A53" s="1" t="n">
        <v>48</v>
      </c>
      <c r="B53" s="1">
        <f>'Công trình'!C54</f>
        <v/>
      </c>
      <c r="C53" s="1">
        <f>'Công trình'!D54</f>
        <v/>
      </c>
      <c r="D53" s="1">
        <f>'Công trình'!E54</f>
        <v/>
      </c>
      <c r="E53" s="11">
        <f>'Công trình'!M54</f>
        <v/>
      </c>
      <c r="F53" s="11">
        <f>'Công trình'!N54</f>
        <v/>
      </c>
      <c r="G53" s="11">
        <f>'Công trình'!O54</f>
        <v/>
      </c>
      <c r="H53" s="11">
        <f>'Công trình'!P54</f>
        <v/>
      </c>
      <c r="I53" s="13">
        <f>E52+F52+G52+H52</f>
        <v/>
      </c>
      <c r="J53" s="1" t="inlineStr">
        <is>
          <t>Bao gồm lấy mẫu hiện trường và phân tích PTN</t>
        </is>
      </c>
    </row>
    <row r="54">
      <c r="A54" s="1" t="n">
        <v>49</v>
      </c>
      <c r="B54" s="1">
        <f>'Công trình'!C55</f>
        <v/>
      </c>
      <c r="C54" s="1">
        <f>'Công trình'!D55</f>
        <v/>
      </c>
      <c r="D54" s="1">
        <f>'Công trình'!E55</f>
        <v/>
      </c>
      <c r="E54" s="11">
        <f>'Công trình'!M55</f>
        <v/>
      </c>
      <c r="F54" s="11">
        <f>'Công trình'!N55</f>
        <v/>
      </c>
      <c r="G54" s="11">
        <f>'Công trình'!O55</f>
        <v/>
      </c>
      <c r="H54" s="11">
        <f>'Công trình'!P55</f>
        <v/>
      </c>
      <c r="I54" s="13">
        <f>E53+F53+G53+H53</f>
        <v/>
      </c>
      <c r="J54" s="1" t="inlineStr">
        <is>
          <t>Bao gồm lấy mẫu hiện trường và phân tích PTN</t>
        </is>
      </c>
    </row>
    <row r="55">
      <c r="A55" s="1" t="n">
        <v>50</v>
      </c>
      <c r="B55" s="1">
        <f>'Công trình'!C56</f>
        <v/>
      </c>
      <c r="C55" s="1">
        <f>'Công trình'!D56</f>
        <v/>
      </c>
      <c r="D55" s="1">
        <f>'Công trình'!E56</f>
        <v/>
      </c>
      <c r="E55" s="11">
        <f>'Công trình'!M56</f>
        <v/>
      </c>
      <c r="F55" s="11">
        <f>'Công trình'!N56</f>
        <v/>
      </c>
      <c r="G55" s="11">
        <f>'Công trình'!O56</f>
        <v/>
      </c>
      <c r="H55" s="11">
        <f>'Công trình'!P56</f>
        <v/>
      </c>
      <c r="I55" s="13">
        <f>E54+F54+G54+H54</f>
        <v/>
      </c>
      <c r="J55" s="1" t="inlineStr">
        <is>
          <t>Bao gồm lấy mẫu hiện trường và phân tích PTN</t>
        </is>
      </c>
    </row>
    <row r="56">
      <c r="A56" s="1" t="n">
        <v>51</v>
      </c>
      <c r="B56" s="1">
        <f>'Công trình'!C57</f>
        <v/>
      </c>
      <c r="C56" s="1">
        <f>'Công trình'!D57</f>
        <v/>
      </c>
      <c r="D56" s="1">
        <f>'Công trình'!E57</f>
        <v/>
      </c>
      <c r="E56" s="11">
        <f>'Công trình'!M57</f>
        <v/>
      </c>
      <c r="F56" s="11">
        <f>'Công trình'!N57</f>
        <v/>
      </c>
      <c r="G56" s="11">
        <f>'Công trình'!O57</f>
        <v/>
      </c>
      <c r="H56" s="11">
        <f>'Công trình'!P57</f>
        <v/>
      </c>
      <c r="I56" s="13">
        <f>E55+F55+G55+H55</f>
        <v/>
      </c>
      <c r="J56" s="1" t="inlineStr">
        <is>
          <t>Bao gồm lấy mẫu hiện trường và phân tích PTN</t>
        </is>
      </c>
    </row>
    <row r="57">
      <c r="A57" s="1" t="n">
        <v>52</v>
      </c>
      <c r="B57" s="1">
        <f>'Công trình'!C58</f>
        <v/>
      </c>
      <c r="C57" s="1">
        <f>'Công trình'!D58</f>
        <v/>
      </c>
      <c r="D57" s="1">
        <f>'Công trình'!E58</f>
        <v/>
      </c>
      <c r="E57" s="11">
        <f>'Công trình'!M58</f>
        <v/>
      </c>
      <c r="F57" s="11">
        <f>'Công trình'!N58</f>
        <v/>
      </c>
      <c r="G57" s="11">
        <f>'Công trình'!O58</f>
        <v/>
      </c>
      <c r="H57" s="11">
        <f>'Công trình'!P58</f>
        <v/>
      </c>
      <c r="I57" s="13">
        <f>E56+F56+G56+H56</f>
        <v/>
      </c>
      <c r="J57" s="1" t="inlineStr">
        <is>
          <t>Bao gồm lấy mẫu hiện trường và phân tích PTN</t>
        </is>
      </c>
    </row>
    <row r="58">
      <c r="A58" s="1" t="n">
        <v>53</v>
      </c>
      <c r="B58" s="1">
        <f>'Công trình'!C59</f>
        <v/>
      </c>
      <c r="C58" s="1">
        <f>'Công trình'!D59</f>
        <v/>
      </c>
      <c r="D58" s="1">
        <f>'Công trình'!E59</f>
        <v/>
      </c>
      <c r="E58" s="11">
        <f>'Công trình'!M59</f>
        <v/>
      </c>
      <c r="F58" s="11">
        <f>'Công trình'!N59</f>
        <v/>
      </c>
      <c r="G58" s="11">
        <f>'Công trình'!O59</f>
        <v/>
      </c>
      <c r="H58" s="11">
        <f>'Công trình'!P59</f>
        <v/>
      </c>
      <c r="I58" s="13">
        <f>E57+F57+G57+H57</f>
        <v/>
      </c>
      <c r="J58" s="1" t="inlineStr">
        <is>
          <t>Bao gồm lấy mẫu hiện trường và phân tích PTN</t>
        </is>
      </c>
    </row>
    <row r="59">
      <c r="A59" s="1" t="n">
        <v>54</v>
      </c>
      <c r="B59" s="1">
        <f>'Công trình'!C60</f>
        <v/>
      </c>
      <c r="C59" s="1">
        <f>'Công trình'!D60</f>
        <v/>
      </c>
      <c r="D59" s="1">
        <f>'Công trình'!E60</f>
        <v/>
      </c>
      <c r="E59" s="11">
        <f>'Công trình'!M60</f>
        <v/>
      </c>
      <c r="F59" s="11">
        <f>'Công trình'!N60</f>
        <v/>
      </c>
      <c r="G59" s="11">
        <f>'Công trình'!O60</f>
        <v/>
      </c>
      <c r="H59" s="11">
        <f>'Công trình'!P60</f>
        <v/>
      </c>
      <c r="I59" s="13">
        <f>E58+F58+G58+H58</f>
        <v/>
      </c>
      <c r="J59" s="1" t="inlineStr">
        <is>
          <t>Bao gồm lấy mẫu hiện trường và phân tích PTN</t>
        </is>
      </c>
    </row>
    <row r="60">
      <c r="A60" s="1" t="n">
        <v>55</v>
      </c>
      <c r="B60" s="1">
        <f>'Công trình'!C61</f>
        <v/>
      </c>
      <c r="C60" s="1">
        <f>'Công trình'!D61</f>
        <v/>
      </c>
      <c r="D60" s="1">
        <f>'Công trình'!E61</f>
        <v/>
      </c>
      <c r="E60" s="11">
        <f>'Công trình'!M61</f>
        <v/>
      </c>
      <c r="F60" s="11">
        <f>'Công trình'!N61</f>
        <v/>
      </c>
      <c r="G60" s="11">
        <f>'Công trình'!O61</f>
        <v/>
      </c>
      <c r="H60" s="11">
        <f>'Công trình'!P61</f>
        <v/>
      </c>
      <c r="I60" s="13">
        <f>E59+F59+G59+H59</f>
        <v/>
      </c>
      <c r="J60" s="1" t="inlineStr">
        <is>
          <t>Bao gồm lấy mẫu hiện trường và phân tích PTN</t>
        </is>
      </c>
    </row>
    <row r="61">
      <c r="A61" s="1" t="n">
        <v>56</v>
      </c>
      <c r="B61" s="1">
        <f>'Công trình'!C62</f>
        <v/>
      </c>
      <c r="C61" s="1">
        <f>'Công trình'!D62</f>
        <v/>
      </c>
      <c r="D61" s="1">
        <f>'Công trình'!E62</f>
        <v/>
      </c>
      <c r="E61" s="11">
        <f>'Công trình'!M62</f>
        <v/>
      </c>
      <c r="F61" s="11">
        <f>'Công trình'!N62</f>
        <v/>
      </c>
      <c r="G61" s="11">
        <f>'Công trình'!O62</f>
        <v/>
      </c>
      <c r="H61" s="11">
        <f>'Công trình'!P62</f>
        <v/>
      </c>
      <c r="I61" s="13">
        <f>E60+F60+G60+H60</f>
        <v/>
      </c>
      <c r="J61" s="1" t="inlineStr">
        <is>
          <t>Bao gồm lấy mẫu hiện trường và phân tích PTN</t>
        </is>
      </c>
    </row>
    <row r="62">
      <c r="A62" s="1" t="n">
        <v>57</v>
      </c>
      <c r="B62" s="1">
        <f>'Công trình'!C63</f>
        <v/>
      </c>
      <c r="C62" s="1">
        <f>'Công trình'!D63</f>
        <v/>
      </c>
      <c r="D62" s="1">
        <f>'Công trình'!E63</f>
        <v/>
      </c>
      <c r="E62" s="11">
        <f>'Công trình'!M63</f>
        <v/>
      </c>
      <c r="F62" s="11">
        <f>'Công trình'!N63</f>
        <v/>
      </c>
      <c r="G62" s="11">
        <f>'Công trình'!O63</f>
        <v/>
      </c>
      <c r="H62" s="11">
        <f>'Công trình'!P63</f>
        <v/>
      </c>
      <c r="I62" s="13">
        <f>E61+F61+G61+H61</f>
        <v/>
      </c>
      <c r="J62" s="1" t="inlineStr">
        <is>
          <t>Bao gồm lấy mẫu hiện trường và phân tích PTN</t>
        </is>
      </c>
    </row>
    <row r="63">
      <c r="A63" s="1" t="n">
        <v>58</v>
      </c>
      <c r="B63" s="1">
        <f>'Công trình'!C64</f>
        <v/>
      </c>
      <c r="C63" s="1">
        <f>'Công trình'!D64</f>
        <v/>
      </c>
      <c r="D63" s="1">
        <f>'Công trình'!E64</f>
        <v/>
      </c>
      <c r="E63" s="11">
        <f>'Công trình'!M64</f>
        <v/>
      </c>
      <c r="F63" s="11">
        <f>'Công trình'!N64</f>
        <v/>
      </c>
      <c r="G63" s="11">
        <f>'Công trình'!O64</f>
        <v/>
      </c>
      <c r="H63" s="11">
        <f>'Công trình'!P64</f>
        <v/>
      </c>
      <c r="I63" s="13">
        <f>E62+F62+G62+H62</f>
        <v/>
      </c>
      <c r="J63" s="1" t="inlineStr">
        <is>
          <t>Bao gồm lấy mẫu hiện trường và phân tích PTN</t>
        </is>
      </c>
    </row>
    <row r="64">
      <c r="A64" s="1" t="n">
        <v>59</v>
      </c>
      <c r="B64" s="1">
        <f>'Công trình'!C65</f>
        <v/>
      </c>
      <c r="C64" s="1">
        <f>'Công trình'!D65</f>
        <v/>
      </c>
      <c r="D64" s="1">
        <f>'Công trình'!E65</f>
        <v/>
      </c>
      <c r="E64" s="11">
        <f>'Công trình'!M65</f>
        <v/>
      </c>
      <c r="F64" s="11">
        <f>'Công trình'!N65</f>
        <v/>
      </c>
      <c r="G64" s="11">
        <f>'Công trình'!O65</f>
        <v/>
      </c>
      <c r="H64" s="11">
        <f>'Công trình'!P65</f>
        <v/>
      </c>
      <c r="I64" s="13">
        <f>E63+F63+G63+H63</f>
        <v/>
      </c>
      <c r="J64" s="1" t="inlineStr">
        <is>
          <t>Bao gồm lấy mẫu hiện trường và phân tích PTN</t>
        </is>
      </c>
    </row>
    <row r="65">
      <c r="A65" s="6" t="n">
        <v>60</v>
      </c>
      <c r="B65" s="6">
        <f>'Công trình'!C66</f>
        <v/>
      </c>
      <c r="C65" s="6">
        <f>'Công trình'!D66</f>
        <v/>
      </c>
      <c r="D65" s="6">
        <f>'Công trình'!E66</f>
        <v/>
      </c>
      <c r="E65" s="6">
        <f>'Công trình'!M66</f>
        <v/>
      </c>
      <c r="F65" s="6">
        <f>'Công trình'!N66</f>
        <v/>
      </c>
      <c r="G65" s="6">
        <f>'Công trình'!O66</f>
        <v/>
      </c>
      <c r="H65" s="6">
        <f>'Công trình'!P66</f>
        <v/>
      </c>
      <c r="I65" s="6">
        <f>E64+F64+G64+H64</f>
        <v/>
      </c>
      <c r="J65" s="6" t="inlineStr">
        <is>
          <t>Bao gồm lấy mẫu hiện trường và phân tích PTN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2026-10-29T08:53:19Z</dcterms:created>
  <dcterms:modified xmlns:dcterms="http://purl.org/dc/terms/" xmlns:xsi="http://www.w3.org/2001/XMLSchema-instance" xsi:type="dcterms:W3CDTF">2026-10-29T08:53:20Z</dcterms:modified>
</cp:coreProperties>
</file>