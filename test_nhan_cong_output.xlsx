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ông trình" sheetId="1" state="visible" r:id="rId1"/>
    <sheet xmlns:r="http://schemas.openxmlformats.org/officeDocument/2006/relationships" name="Hao phí VT" sheetId="2" state="visible" r:id="rId2"/>
    <sheet xmlns:r="http://schemas.openxmlformats.org/officeDocument/2006/relationships" name="Nhân cô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color rgb="000000FF"/>
      <sz val="11"/>
    </font>
    <font>
      <name val="Times New Roman"/>
      <b val="1"/>
      <sz val="15"/>
    </font>
    <font>
      <name val="Times New Roman"/>
      <i val="1"/>
      <sz val="11"/>
    </font>
    <font>
      <name val="Times New Roman"/>
      <sz val="11"/>
    </font>
    <font>
      <name val="Times New Roman"/>
      <b val="1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1" fillId="3" borderId="2" pivotButton="0" quotePrefix="0" xfId="0"/>
    <xf numFmtId="164" fontId="1" fillId="3" borderId="2" pivotButton="0" quotePrefix="0" xfId="0"/>
    <xf numFmtId="3" fontId="1" fillId="3" borderId="2" pivotButton="0" quotePrefix="0" xfId="0"/>
    <xf numFmtId="3" fontId="6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CHI TIẾT KHỐI LƯỢNG CÔNG TRÌNH QUAN TRẮC MÔI TRƯỜNG</t>
        </is>
      </c>
    </row>
    <row r="2">
      <c r="A2" t="inlineStr">
        <is>
          <t>(Căn cứ Quyết định...)</t>
        </is>
      </c>
    </row>
    <row r="3">
      <c r="A3" t="inlineStr">
        <is>
          <t>CÔNG TRÌNH: Quan trắc môi trường cho NMNĐ Vĩnh Tân 4</t>
        </is>
      </c>
    </row>
    <row r="4">
      <c r="A4" t="inlineStr">
        <is>
          <t>HẠNG MỤC: Toàn bộ khối lượng quan trắc</t>
        </is>
      </c>
    </row>
    <row r="6">
      <c r="A6" t="inlineStr">
        <is>
          <t>STT</t>
        </is>
      </c>
      <c r="B6" t="inlineStr">
        <is>
          <t>Ký hiệu vị trí</t>
        </is>
      </c>
      <c r="C6" t="inlineStr">
        <is>
          <t>Mã hiệu công tác</t>
        </is>
      </c>
      <c r="D6" t="inlineStr">
        <is>
          <t>Danh mục công tác quan trắc</t>
        </is>
      </c>
      <c r="E6" t="inlineStr">
        <is>
          <t>Đơn vị</t>
        </is>
      </c>
    </row>
    <row r="7">
      <c r="A7" t="inlineStr"/>
      <c r="B7" t="inlineStr"/>
      <c r="C7" t="inlineStr"/>
      <c r="D7" t="inlineStr">
        <is>
          <t>PHẦN: GIÁM SÁT KHÔNG KHÍ XUNG QUANH</t>
        </is>
      </c>
      <c r="E7" t="inlineStr"/>
    </row>
    <row r="8">
      <c r="A8" t="inlineStr">
        <is>
          <t>1</t>
        </is>
      </c>
      <c r="B8" t="inlineStr">
        <is>
          <t>K1</t>
        </is>
      </c>
      <c r="C8" t="inlineStr">
        <is>
          <t>KK1a</t>
        </is>
      </c>
      <c r="D8" t="inlineStr">
        <is>
          <t>Nhiệt độ</t>
        </is>
      </c>
      <c r="E8" t="inlineStr">
        <is>
          <t>°C</t>
        </is>
      </c>
    </row>
    <row r="9">
      <c r="A9" t="inlineStr">
        <is>
          <t>2</t>
        </is>
      </c>
      <c r="B9" t="inlineStr">
        <is>
          <t>K1</t>
        </is>
      </c>
      <c r="C9" t="inlineStr">
        <is>
          <t>KK1b</t>
        </is>
      </c>
      <c r="D9" t="inlineStr">
        <is>
          <t>Độ ẩm</t>
        </is>
      </c>
      <c r="E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HAO PHÍ VẬT TƯ</t>
        </is>
      </c>
    </row>
    <row r="6">
      <c r="A6" t="inlineStr">
        <is>
          <t>STT</t>
        </is>
      </c>
      <c r="B6" t="inlineStr">
        <is>
          <t>KK1a</t>
        </is>
      </c>
      <c r="C6" t="inlineStr">
        <is>
          <t>Tên vật tư</t>
        </is>
      </c>
      <c r="D6" t="inlineStr">
        <is>
          <t>Đơn vị</t>
        </is>
      </c>
      <c r="E6" t="inlineStr">
        <is>
          <t>Tên nhân công/máy</t>
        </is>
      </c>
      <c r="F6" t="inlineStr"/>
      <c r="G6" t="inlineStr"/>
      <c r="H6" t="inlineStr"/>
      <c r="I6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BẢNG TỔNG HỢP NHÂN CÔNG VÀ CHÊNH LỆCH GIÁ</t>
        </is>
      </c>
    </row>
    <row r="2">
      <c r="A2" s="2" t="inlineStr">
        <is>
          <t>(Căn cứ theo 5898/SXD-QLXD ngày 02/7/2026 của SXD tỉnh Lâm Đồng)</t>
        </is>
      </c>
    </row>
    <row r="3">
      <c r="A3" s="2" t="inlineStr">
        <is>
          <t>CÔNG TRÌNH: Quan trắc môi trường cho NMNĐ Vĩnh Tân 4</t>
        </is>
      </c>
    </row>
    <row r="4">
      <c r="A4" s="2" t="inlineStr">
        <is>
          <t>HẠNG MỤC: Toàn bộ khối lượng quan trắc môi trường</t>
        </is>
      </c>
    </row>
    <row r="5">
      <c r="Q5" t="inlineStr">
        <is>
          <t>Đơn vị: đồng</t>
        </is>
      </c>
    </row>
    <row r="6">
      <c r="A6" s="3" t="inlineStr">
        <is>
          <t>STT</t>
        </is>
      </c>
      <c r="B6" s="3" t="inlineStr">
        <is>
          <t>Mã hiệu</t>
        </is>
      </c>
      <c r="C6" s="3" t="inlineStr"/>
      <c r="D6" s="3" t="inlineStr"/>
      <c r="E6" s="3" t="inlineStr">
        <is>
          <t>Tên vật tư</t>
        </is>
      </c>
      <c r="F6" s="3" t="inlineStr"/>
      <c r="G6" s="3" t="inlineStr"/>
      <c r="H6" s="3" t="inlineStr">
        <is>
          <t>Đơn vị</t>
        </is>
      </c>
      <c r="I6" s="3" t="inlineStr"/>
      <c r="J6" s="3" t="inlineStr">
        <is>
          <t>Khối lượng</t>
        </is>
      </c>
      <c r="K6" s="3" t="inlineStr">
        <is>
          <t>Giá gốc</t>
        </is>
      </c>
      <c r="L6" s="3" t="inlineStr"/>
      <c r="M6" s="3" t="inlineStr"/>
      <c r="N6" s="3" t="inlineStr">
        <is>
          <t>Giá hiện tại</t>
        </is>
      </c>
      <c r="O6" s="3" t="inlineStr">
        <is>
          <t>Chênh lệch</t>
        </is>
      </c>
      <c r="P6" s="3" t="inlineStr">
        <is>
          <t>Tổng chênh</t>
        </is>
      </c>
      <c r="Q6" s="3" t="inlineStr">
        <is>
          <t>Thành tiền</t>
        </is>
      </c>
    </row>
    <row r="7">
      <c r="A7" s="4" t="n">
        <v>1</v>
      </c>
      <c r="B7" s="4" t="inlineStr">
        <is>
          <t>NC_001</t>
        </is>
      </c>
      <c r="C7" s="4" t="inlineStr"/>
      <c r="D7" s="4" t="inlineStr"/>
      <c r="E7" s="4" t="inlineStr">
        <is>
          <t>Nhân công khảo sát bậc 3/7</t>
        </is>
      </c>
      <c r="F7" s="4" t="inlineStr"/>
      <c r="G7" s="4" t="inlineStr"/>
      <c r="H7" s="4" t="inlineStr">
        <is>
          <t>công</t>
        </is>
      </c>
      <c r="I7" s="4" t="inlineStr"/>
      <c r="J7" s="5">
        <f>ROUND(SUM(J8:J8), 4)</f>
        <v/>
      </c>
      <c r="K7" s="6" t="n">
        <v>0</v>
      </c>
      <c r="L7" s="4" t="inlineStr"/>
      <c r="M7" s="4" t="inlineStr"/>
      <c r="N7" s="6" t="n">
        <v>268124</v>
      </c>
      <c r="O7" s="6">
        <f>N7-K7</f>
        <v/>
      </c>
      <c r="P7" s="6">
        <f>ROUND(J7*O7, 0)</f>
        <v/>
      </c>
      <c r="Q7" s="6">
        <f>ROUND(J7*N7, 0)</f>
        <v/>
      </c>
    </row>
    <row r="8">
      <c r="A8" s="4" t="inlineStr"/>
      <c r="B8" s="4">
        <f>'Công trình'!A8</f>
        <v/>
      </c>
      <c r="C8" s="4" t="inlineStr"/>
      <c r="D8" s="4" t="inlineStr"/>
      <c r="E8" s="4">
        <f>'Công trình'!D8</f>
        <v/>
      </c>
      <c r="F8" s="4" t="inlineStr"/>
      <c r="G8" s="4" t="inlineStr"/>
      <c r="H8" s="4" t="inlineStr"/>
      <c r="I8" s="4" t="inlineStr"/>
      <c r="J8" s="5">
        <f>0.5</f>
        <v/>
      </c>
      <c r="K8" s="6" t="inlineStr"/>
      <c r="L8" s="4" t="inlineStr"/>
      <c r="M8" s="4" t="inlineStr"/>
      <c r="N8" s="6" t="inlineStr"/>
      <c r="O8" s="6" t="inlineStr"/>
      <c r="P8" s="6">
        <f>ROUND(J8*O8, 0)</f>
        <v/>
      </c>
      <c r="Q8" s="6">
        <f>ROUND(J8*N8, 0)</f>
        <v/>
      </c>
    </row>
    <row r="9">
      <c r="A9" s="7" t="inlineStr"/>
      <c r="B9" s="7" t="inlineStr"/>
      <c r="C9" s="7" t="inlineStr">
        <is>
          <t>Cộng nhân công:</t>
        </is>
      </c>
      <c r="D9" s="7" t="inlineStr"/>
      <c r="E9" s="7" t="inlineStr"/>
      <c r="F9" s="7" t="inlineStr"/>
      <c r="G9" s="7" t="inlineStr"/>
      <c r="H9" s="7" t="inlineStr"/>
      <c r="I9" s="7" t="inlineStr"/>
      <c r="J9" s="8" t="inlineStr"/>
      <c r="K9" s="9" t="inlineStr"/>
      <c r="L9" s="7" t="inlineStr"/>
      <c r="M9" s="7" t="inlineStr"/>
      <c r="N9" s="9" t="inlineStr"/>
      <c r="O9" s="9" t="inlineStr"/>
      <c r="P9" s="10">
        <f>SUM(P7:P8)</f>
        <v/>
      </c>
      <c r="Q9" s="10">
        <f>SUM(Q7:Q8)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2026-10-30T08:36:41Z</dcterms:created>
  <dcterms:modified xmlns:dcterms="http://purl.org/dc/terms/" xmlns:xsi="http://www.w3.org/2001/XMLSchema-instance" xsi:type="dcterms:W3CDTF">2026-10-30T08:36:41Z</dcterms:modified>
</cp:coreProperties>
</file>